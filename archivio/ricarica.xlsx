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94C941BD-8264-674B-BAA8-A7D9BDD4F7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GS5" sheetId="1" r:id="rId1"/>
    <sheet name="Formule v1.1" sheetId="2" r:id="rId2"/>
    <sheet name="Dati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1" i="2" l="1"/>
  <c r="N1001" i="2"/>
  <c r="A1001" i="2"/>
  <c r="M1001" i="2"/>
  <c r="L1001" i="2"/>
  <c r="H1001" i="2"/>
  <c r="K1001" i="2"/>
  <c r="B1001" i="2"/>
  <c r="C1001" i="2"/>
  <c r="I1001" i="2"/>
  <c r="D1001" i="2"/>
  <c r="E1001" i="2"/>
  <c r="F1001" i="2"/>
  <c r="G1001" i="2"/>
  <c r="J1000" i="2"/>
  <c r="N1000" i="2"/>
  <c r="A1000" i="2"/>
  <c r="M1000" i="2"/>
  <c r="L1000" i="2"/>
  <c r="H1000" i="2"/>
  <c r="K1000" i="2"/>
  <c r="B1000" i="2"/>
  <c r="C1000" i="2"/>
  <c r="I1000" i="2"/>
  <c r="D1000" i="2"/>
  <c r="E1000" i="2"/>
  <c r="F1000" i="2"/>
  <c r="G1000" i="2"/>
  <c r="J999" i="2"/>
  <c r="N999" i="2"/>
  <c r="A999" i="2"/>
  <c r="M999" i="2"/>
  <c r="L999" i="2"/>
  <c r="H999" i="2"/>
  <c r="K999" i="2"/>
  <c r="B999" i="2"/>
  <c r="C999" i="2"/>
  <c r="I999" i="2"/>
  <c r="D999" i="2"/>
  <c r="E999" i="2"/>
  <c r="F999" i="2"/>
  <c r="G999" i="2"/>
  <c r="J998" i="2"/>
  <c r="N998" i="2"/>
  <c r="A998" i="2"/>
  <c r="M998" i="2"/>
  <c r="L998" i="2"/>
  <c r="H998" i="2"/>
  <c r="K998" i="2"/>
  <c r="B998" i="2"/>
  <c r="C998" i="2"/>
  <c r="I998" i="2"/>
  <c r="D998" i="2"/>
  <c r="E998" i="2"/>
  <c r="F998" i="2"/>
  <c r="G998" i="2"/>
  <c r="J997" i="2"/>
  <c r="N997" i="2"/>
  <c r="A997" i="2"/>
  <c r="M997" i="2"/>
  <c r="L997" i="2"/>
  <c r="H997" i="2"/>
  <c r="K997" i="2"/>
  <c r="B997" i="2"/>
  <c r="C997" i="2"/>
  <c r="I997" i="2"/>
  <c r="D997" i="2"/>
  <c r="E997" i="2"/>
  <c r="F997" i="2"/>
  <c r="G997" i="2"/>
  <c r="J996" i="2"/>
  <c r="N996" i="2"/>
  <c r="A996" i="2"/>
  <c r="M996" i="2"/>
  <c r="L996" i="2"/>
  <c r="H996" i="2"/>
  <c r="K996" i="2"/>
  <c r="B996" i="2"/>
  <c r="C996" i="2"/>
  <c r="I996" i="2"/>
  <c r="D996" i="2"/>
  <c r="E996" i="2"/>
  <c r="F996" i="2"/>
  <c r="G996" i="2"/>
  <c r="J995" i="2"/>
  <c r="N995" i="2"/>
  <c r="A995" i="2"/>
  <c r="M995" i="2"/>
  <c r="L995" i="2"/>
  <c r="H995" i="2"/>
  <c r="K995" i="2"/>
  <c r="B995" i="2"/>
  <c r="C995" i="2"/>
  <c r="I995" i="2"/>
  <c r="D995" i="2"/>
  <c r="E995" i="2"/>
  <c r="F995" i="2"/>
  <c r="G995" i="2"/>
  <c r="J994" i="2"/>
  <c r="N994" i="2"/>
  <c r="A994" i="2"/>
  <c r="M994" i="2"/>
  <c r="L994" i="2"/>
  <c r="H994" i="2"/>
  <c r="K994" i="2"/>
  <c r="B994" i="2"/>
  <c r="C994" i="2"/>
  <c r="I994" i="2"/>
  <c r="D994" i="2"/>
  <c r="E994" i="2"/>
  <c r="F994" i="2"/>
  <c r="G994" i="2"/>
  <c r="J993" i="2"/>
  <c r="N993" i="2"/>
  <c r="A993" i="2"/>
  <c r="M993" i="2"/>
  <c r="L993" i="2"/>
  <c r="H993" i="2"/>
  <c r="K993" i="2"/>
  <c r="B993" i="2"/>
  <c r="C993" i="2"/>
  <c r="I993" i="2"/>
  <c r="D993" i="2"/>
  <c r="E993" i="2"/>
  <c r="F993" i="2"/>
  <c r="G993" i="2"/>
  <c r="J992" i="2"/>
  <c r="N992" i="2"/>
  <c r="A992" i="2"/>
  <c r="M992" i="2"/>
  <c r="L992" i="2"/>
  <c r="H992" i="2"/>
  <c r="K992" i="2"/>
  <c r="B992" i="2"/>
  <c r="C992" i="2"/>
  <c r="I992" i="2"/>
  <c r="D992" i="2"/>
  <c r="E992" i="2"/>
  <c r="F992" i="2"/>
  <c r="G992" i="2"/>
  <c r="J991" i="2"/>
  <c r="N991" i="2"/>
  <c r="A991" i="2"/>
  <c r="M991" i="2"/>
  <c r="L991" i="2"/>
  <c r="H991" i="2"/>
  <c r="K991" i="2"/>
  <c r="B991" i="2"/>
  <c r="C991" i="2"/>
  <c r="I991" i="2"/>
  <c r="D991" i="2"/>
  <c r="E991" i="2"/>
  <c r="F991" i="2"/>
  <c r="G991" i="2"/>
  <c r="J990" i="2"/>
  <c r="N990" i="2"/>
  <c r="A990" i="2"/>
  <c r="M990" i="2"/>
  <c r="L990" i="2"/>
  <c r="H990" i="2"/>
  <c r="K990" i="2"/>
  <c r="B990" i="2"/>
  <c r="C990" i="2"/>
  <c r="I990" i="2"/>
  <c r="D990" i="2"/>
  <c r="E990" i="2"/>
  <c r="F990" i="2"/>
  <c r="G990" i="2"/>
  <c r="J989" i="2"/>
  <c r="N989" i="2"/>
  <c r="A989" i="2"/>
  <c r="M989" i="2"/>
  <c r="L989" i="2"/>
  <c r="H989" i="2"/>
  <c r="K989" i="2"/>
  <c r="B989" i="2"/>
  <c r="C989" i="2"/>
  <c r="I989" i="2"/>
  <c r="D989" i="2"/>
  <c r="E989" i="2"/>
  <c r="F989" i="2"/>
  <c r="G989" i="2"/>
  <c r="J988" i="2"/>
  <c r="N988" i="2"/>
  <c r="A988" i="2"/>
  <c r="M988" i="2"/>
  <c r="L988" i="2"/>
  <c r="H988" i="2"/>
  <c r="K988" i="2"/>
  <c r="B988" i="2"/>
  <c r="C988" i="2"/>
  <c r="I988" i="2"/>
  <c r="D988" i="2"/>
  <c r="E988" i="2"/>
  <c r="F988" i="2"/>
  <c r="G988" i="2"/>
  <c r="J987" i="2"/>
  <c r="N987" i="2"/>
  <c r="A987" i="2"/>
  <c r="M987" i="2"/>
  <c r="L987" i="2"/>
  <c r="H987" i="2"/>
  <c r="K987" i="2"/>
  <c r="B987" i="2"/>
  <c r="C987" i="2"/>
  <c r="I987" i="2"/>
  <c r="D987" i="2"/>
  <c r="E987" i="2"/>
  <c r="F987" i="2"/>
  <c r="G987" i="2"/>
  <c r="J986" i="2"/>
  <c r="N986" i="2"/>
  <c r="A986" i="2"/>
  <c r="M986" i="2"/>
  <c r="L986" i="2"/>
  <c r="H986" i="2"/>
  <c r="K986" i="2"/>
  <c r="B986" i="2"/>
  <c r="C986" i="2"/>
  <c r="I986" i="2"/>
  <c r="D986" i="2"/>
  <c r="E986" i="2"/>
  <c r="F986" i="2"/>
  <c r="G986" i="2"/>
  <c r="J985" i="2"/>
  <c r="N985" i="2"/>
  <c r="A985" i="2"/>
  <c r="M985" i="2"/>
  <c r="L985" i="2"/>
  <c r="H985" i="2"/>
  <c r="K985" i="2"/>
  <c r="B985" i="2"/>
  <c r="C985" i="2"/>
  <c r="I985" i="2"/>
  <c r="D985" i="2"/>
  <c r="E985" i="2"/>
  <c r="F985" i="2"/>
  <c r="G985" i="2"/>
  <c r="J984" i="2"/>
  <c r="N984" i="2"/>
  <c r="A984" i="2"/>
  <c r="M984" i="2"/>
  <c r="L984" i="2"/>
  <c r="H984" i="2"/>
  <c r="K984" i="2"/>
  <c r="B984" i="2"/>
  <c r="C984" i="2"/>
  <c r="I984" i="2"/>
  <c r="D984" i="2"/>
  <c r="E984" i="2"/>
  <c r="F984" i="2"/>
  <c r="G984" i="2"/>
  <c r="J983" i="2"/>
  <c r="N983" i="2"/>
  <c r="A983" i="2"/>
  <c r="M983" i="2"/>
  <c r="L983" i="2"/>
  <c r="H983" i="2"/>
  <c r="K983" i="2"/>
  <c r="B983" i="2"/>
  <c r="C983" i="2"/>
  <c r="I983" i="2"/>
  <c r="D983" i="2"/>
  <c r="E983" i="2"/>
  <c r="F983" i="2"/>
  <c r="G983" i="2"/>
  <c r="J982" i="2"/>
  <c r="N982" i="2"/>
  <c r="A982" i="2"/>
  <c r="M982" i="2"/>
  <c r="L982" i="2"/>
  <c r="H982" i="2"/>
  <c r="K982" i="2"/>
  <c r="B982" i="2"/>
  <c r="C982" i="2"/>
  <c r="I982" i="2"/>
  <c r="D982" i="2"/>
  <c r="E982" i="2"/>
  <c r="F982" i="2"/>
  <c r="G982" i="2"/>
  <c r="J981" i="2"/>
  <c r="N981" i="2"/>
  <c r="A981" i="2"/>
  <c r="M981" i="2"/>
  <c r="L981" i="2"/>
  <c r="H981" i="2"/>
  <c r="K981" i="2"/>
  <c r="B981" i="2"/>
  <c r="C981" i="2"/>
  <c r="I981" i="2"/>
  <c r="D981" i="2"/>
  <c r="E981" i="2"/>
  <c r="F981" i="2"/>
  <c r="G981" i="2"/>
  <c r="J980" i="2"/>
  <c r="N980" i="2"/>
  <c r="A980" i="2"/>
  <c r="M980" i="2"/>
  <c r="L980" i="2"/>
  <c r="H980" i="2"/>
  <c r="K980" i="2"/>
  <c r="B980" i="2"/>
  <c r="C980" i="2"/>
  <c r="I980" i="2"/>
  <c r="D980" i="2"/>
  <c r="E980" i="2"/>
  <c r="F980" i="2"/>
  <c r="G980" i="2"/>
  <c r="J979" i="2"/>
  <c r="N979" i="2"/>
  <c r="A979" i="2"/>
  <c r="M979" i="2"/>
  <c r="L979" i="2"/>
  <c r="H979" i="2"/>
  <c r="K979" i="2"/>
  <c r="B979" i="2"/>
  <c r="C979" i="2"/>
  <c r="I979" i="2"/>
  <c r="D979" i="2"/>
  <c r="E979" i="2"/>
  <c r="F979" i="2"/>
  <c r="G979" i="2"/>
  <c r="J978" i="2"/>
  <c r="N978" i="2"/>
  <c r="A978" i="2"/>
  <c r="M978" i="2"/>
  <c r="L978" i="2"/>
  <c r="H978" i="2"/>
  <c r="K978" i="2"/>
  <c r="B978" i="2"/>
  <c r="C978" i="2"/>
  <c r="I978" i="2"/>
  <c r="D978" i="2"/>
  <c r="E978" i="2"/>
  <c r="F978" i="2"/>
  <c r="G978" i="2"/>
  <c r="J977" i="2"/>
  <c r="N977" i="2"/>
  <c r="A977" i="2"/>
  <c r="M977" i="2"/>
  <c r="L977" i="2"/>
  <c r="H977" i="2"/>
  <c r="K977" i="2"/>
  <c r="B977" i="2"/>
  <c r="C977" i="2"/>
  <c r="I977" i="2"/>
  <c r="D977" i="2"/>
  <c r="E977" i="2"/>
  <c r="F977" i="2"/>
  <c r="G977" i="2"/>
  <c r="J976" i="2"/>
  <c r="N976" i="2"/>
  <c r="A976" i="2"/>
  <c r="M976" i="2"/>
  <c r="L976" i="2"/>
  <c r="H976" i="2"/>
  <c r="K976" i="2"/>
  <c r="B976" i="2"/>
  <c r="C976" i="2"/>
  <c r="I976" i="2"/>
  <c r="D976" i="2"/>
  <c r="E976" i="2"/>
  <c r="F976" i="2"/>
  <c r="G976" i="2"/>
  <c r="J975" i="2"/>
  <c r="N975" i="2"/>
  <c r="A975" i="2"/>
  <c r="M975" i="2"/>
  <c r="L975" i="2"/>
  <c r="H975" i="2"/>
  <c r="K975" i="2"/>
  <c r="B975" i="2"/>
  <c r="C975" i="2"/>
  <c r="I975" i="2"/>
  <c r="D975" i="2"/>
  <c r="E975" i="2"/>
  <c r="F975" i="2"/>
  <c r="G975" i="2"/>
  <c r="J974" i="2"/>
  <c r="N974" i="2"/>
  <c r="A974" i="2"/>
  <c r="M974" i="2"/>
  <c r="L974" i="2"/>
  <c r="H974" i="2"/>
  <c r="K974" i="2"/>
  <c r="B974" i="2"/>
  <c r="C974" i="2"/>
  <c r="I974" i="2"/>
  <c r="D974" i="2"/>
  <c r="E974" i="2"/>
  <c r="F974" i="2"/>
  <c r="G974" i="2"/>
  <c r="J973" i="2"/>
  <c r="N973" i="2"/>
  <c r="A973" i="2"/>
  <c r="M973" i="2"/>
  <c r="L973" i="2"/>
  <c r="H973" i="2"/>
  <c r="K973" i="2"/>
  <c r="B973" i="2"/>
  <c r="C973" i="2"/>
  <c r="I973" i="2"/>
  <c r="D973" i="2"/>
  <c r="E973" i="2"/>
  <c r="F973" i="2"/>
  <c r="G973" i="2"/>
  <c r="J972" i="2"/>
  <c r="N972" i="2"/>
  <c r="A972" i="2"/>
  <c r="M972" i="2"/>
  <c r="L972" i="2"/>
  <c r="H972" i="2"/>
  <c r="K972" i="2"/>
  <c r="B972" i="2"/>
  <c r="C972" i="2"/>
  <c r="I972" i="2"/>
  <c r="D972" i="2"/>
  <c r="E972" i="2"/>
  <c r="F972" i="2"/>
  <c r="G972" i="2"/>
  <c r="J971" i="2"/>
  <c r="N971" i="2"/>
  <c r="A971" i="2"/>
  <c r="M971" i="2"/>
  <c r="L971" i="2"/>
  <c r="H971" i="2"/>
  <c r="K971" i="2"/>
  <c r="B971" i="2"/>
  <c r="C971" i="2"/>
  <c r="I971" i="2"/>
  <c r="D971" i="2"/>
  <c r="E971" i="2"/>
  <c r="F971" i="2"/>
  <c r="G971" i="2"/>
  <c r="J970" i="2"/>
  <c r="N970" i="2"/>
  <c r="A970" i="2"/>
  <c r="M970" i="2"/>
  <c r="L970" i="2"/>
  <c r="H970" i="2"/>
  <c r="K970" i="2"/>
  <c r="B970" i="2"/>
  <c r="C970" i="2"/>
  <c r="I970" i="2"/>
  <c r="D970" i="2"/>
  <c r="E970" i="2"/>
  <c r="F970" i="2"/>
  <c r="G970" i="2"/>
  <c r="J969" i="2"/>
  <c r="N969" i="2"/>
  <c r="A969" i="2"/>
  <c r="M969" i="2"/>
  <c r="L969" i="2"/>
  <c r="H969" i="2"/>
  <c r="K969" i="2"/>
  <c r="B969" i="2"/>
  <c r="C969" i="2"/>
  <c r="I969" i="2"/>
  <c r="D969" i="2"/>
  <c r="E969" i="2"/>
  <c r="F969" i="2"/>
  <c r="G969" i="2"/>
  <c r="J968" i="2"/>
  <c r="N968" i="2"/>
  <c r="A968" i="2"/>
  <c r="M968" i="2"/>
  <c r="L968" i="2"/>
  <c r="H968" i="2"/>
  <c r="K968" i="2"/>
  <c r="B968" i="2"/>
  <c r="C968" i="2"/>
  <c r="I968" i="2"/>
  <c r="D968" i="2"/>
  <c r="E968" i="2"/>
  <c r="F968" i="2"/>
  <c r="G968" i="2"/>
  <c r="J967" i="2"/>
  <c r="N967" i="2"/>
  <c r="A967" i="2"/>
  <c r="M967" i="2"/>
  <c r="L967" i="2"/>
  <c r="H967" i="2"/>
  <c r="K967" i="2"/>
  <c r="B967" i="2"/>
  <c r="C967" i="2"/>
  <c r="I967" i="2"/>
  <c r="D967" i="2"/>
  <c r="E967" i="2"/>
  <c r="F967" i="2"/>
  <c r="G967" i="2"/>
  <c r="J966" i="2"/>
  <c r="N966" i="2"/>
  <c r="A966" i="2"/>
  <c r="M966" i="2"/>
  <c r="L966" i="2"/>
  <c r="H966" i="2"/>
  <c r="K966" i="2"/>
  <c r="B966" i="2"/>
  <c r="C966" i="2"/>
  <c r="I966" i="2"/>
  <c r="D966" i="2"/>
  <c r="E966" i="2"/>
  <c r="F966" i="2"/>
  <c r="G966" i="2"/>
  <c r="J965" i="2"/>
  <c r="N965" i="2"/>
  <c r="A965" i="2"/>
  <c r="M965" i="2"/>
  <c r="L965" i="2"/>
  <c r="H965" i="2"/>
  <c r="K965" i="2"/>
  <c r="B965" i="2"/>
  <c r="C965" i="2"/>
  <c r="I965" i="2"/>
  <c r="D965" i="2"/>
  <c r="E965" i="2"/>
  <c r="F965" i="2"/>
  <c r="G965" i="2"/>
  <c r="J964" i="2"/>
  <c r="N964" i="2"/>
  <c r="A964" i="2"/>
  <c r="M964" i="2"/>
  <c r="L964" i="2"/>
  <c r="H964" i="2"/>
  <c r="K964" i="2"/>
  <c r="B964" i="2"/>
  <c r="C964" i="2"/>
  <c r="I964" i="2"/>
  <c r="D964" i="2"/>
  <c r="E964" i="2"/>
  <c r="F964" i="2"/>
  <c r="G964" i="2"/>
  <c r="J963" i="2"/>
  <c r="N963" i="2"/>
  <c r="A963" i="2"/>
  <c r="M963" i="2"/>
  <c r="L963" i="2"/>
  <c r="H963" i="2"/>
  <c r="K963" i="2"/>
  <c r="B963" i="2"/>
  <c r="C963" i="2"/>
  <c r="I963" i="2"/>
  <c r="D963" i="2"/>
  <c r="E963" i="2"/>
  <c r="F963" i="2"/>
  <c r="G963" i="2"/>
  <c r="J962" i="2"/>
  <c r="N962" i="2"/>
  <c r="A962" i="2"/>
  <c r="M962" i="2"/>
  <c r="L962" i="2"/>
  <c r="H962" i="2"/>
  <c r="K962" i="2"/>
  <c r="B962" i="2"/>
  <c r="C962" i="2"/>
  <c r="I962" i="2"/>
  <c r="D962" i="2"/>
  <c r="E962" i="2"/>
  <c r="F962" i="2"/>
  <c r="G962" i="2"/>
  <c r="J961" i="2"/>
  <c r="N961" i="2"/>
  <c r="A961" i="2"/>
  <c r="M961" i="2"/>
  <c r="L961" i="2"/>
  <c r="H961" i="2"/>
  <c r="K961" i="2"/>
  <c r="B961" i="2"/>
  <c r="C961" i="2"/>
  <c r="I961" i="2"/>
  <c r="D961" i="2"/>
  <c r="E961" i="2"/>
  <c r="F961" i="2"/>
  <c r="G961" i="2"/>
  <c r="J960" i="2"/>
  <c r="N960" i="2"/>
  <c r="A960" i="2"/>
  <c r="M960" i="2"/>
  <c r="L960" i="2"/>
  <c r="H960" i="2"/>
  <c r="K960" i="2"/>
  <c r="B960" i="2"/>
  <c r="C960" i="2"/>
  <c r="I960" i="2"/>
  <c r="D960" i="2"/>
  <c r="E960" i="2"/>
  <c r="F960" i="2"/>
  <c r="G960" i="2"/>
  <c r="J959" i="2"/>
  <c r="N959" i="2"/>
  <c r="A959" i="2"/>
  <c r="M959" i="2"/>
  <c r="L959" i="2"/>
  <c r="H959" i="2"/>
  <c r="K959" i="2"/>
  <c r="B959" i="2"/>
  <c r="C959" i="2"/>
  <c r="I959" i="2"/>
  <c r="D959" i="2"/>
  <c r="E959" i="2"/>
  <c r="F959" i="2"/>
  <c r="G959" i="2"/>
  <c r="J958" i="2"/>
  <c r="N958" i="2"/>
  <c r="A958" i="2"/>
  <c r="M958" i="2"/>
  <c r="L958" i="2"/>
  <c r="H958" i="2"/>
  <c r="K958" i="2"/>
  <c r="B958" i="2"/>
  <c r="C958" i="2"/>
  <c r="I958" i="2"/>
  <c r="D958" i="2"/>
  <c r="E958" i="2"/>
  <c r="F958" i="2"/>
  <c r="G958" i="2"/>
  <c r="J957" i="2"/>
  <c r="N957" i="2"/>
  <c r="A957" i="2"/>
  <c r="M957" i="2"/>
  <c r="L957" i="2"/>
  <c r="H957" i="2"/>
  <c r="K957" i="2"/>
  <c r="B957" i="2"/>
  <c r="C957" i="2"/>
  <c r="I957" i="2"/>
  <c r="D957" i="2"/>
  <c r="E957" i="2"/>
  <c r="F957" i="2"/>
  <c r="G957" i="2"/>
  <c r="J956" i="2"/>
  <c r="N956" i="2"/>
  <c r="A956" i="2"/>
  <c r="M956" i="2"/>
  <c r="L956" i="2"/>
  <c r="H956" i="2"/>
  <c r="K956" i="2"/>
  <c r="B956" i="2"/>
  <c r="C956" i="2"/>
  <c r="I956" i="2"/>
  <c r="D956" i="2"/>
  <c r="E956" i="2"/>
  <c r="F956" i="2"/>
  <c r="G956" i="2"/>
  <c r="J955" i="2"/>
  <c r="N955" i="2"/>
  <c r="A955" i="2"/>
  <c r="M955" i="2"/>
  <c r="L955" i="2"/>
  <c r="H955" i="2"/>
  <c r="K955" i="2"/>
  <c r="B955" i="2"/>
  <c r="C955" i="2"/>
  <c r="I955" i="2"/>
  <c r="D955" i="2"/>
  <c r="E955" i="2"/>
  <c r="F955" i="2"/>
  <c r="G955" i="2"/>
  <c r="J954" i="2"/>
  <c r="N954" i="2"/>
  <c r="A954" i="2"/>
  <c r="M954" i="2"/>
  <c r="L954" i="2"/>
  <c r="H954" i="2"/>
  <c r="K954" i="2"/>
  <c r="B954" i="2"/>
  <c r="C954" i="2"/>
  <c r="I954" i="2"/>
  <c r="D954" i="2"/>
  <c r="E954" i="2"/>
  <c r="F954" i="2"/>
  <c r="G954" i="2"/>
  <c r="J953" i="2"/>
  <c r="N953" i="2"/>
  <c r="A953" i="2"/>
  <c r="M953" i="2"/>
  <c r="L953" i="2"/>
  <c r="H953" i="2"/>
  <c r="K953" i="2"/>
  <c r="B953" i="2"/>
  <c r="C953" i="2"/>
  <c r="I953" i="2"/>
  <c r="D953" i="2"/>
  <c r="E953" i="2"/>
  <c r="F953" i="2"/>
  <c r="G953" i="2"/>
  <c r="J952" i="2"/>
  <c r="N952" i="2"/>
  <c r="A952" i="2"/>
  <c r="M952" i="2"/>
  <c r="L952" i="2"/>
  <c r="H952" i="2"/>
  <c r="K952" i="2"/>
  <c r="B952" i="2"/>
  <c r="C952" i="2"/>
  <c r="I952" i="2"/>
  <c r="D952" i="2"/>
  <c r="E952" i="2"/>
  <c r="F952" i="2"/>
  <c r="G952" i="2"/>
  <c r="J951" i="2"/>
  <c r="N951" i="2"/>
  <c r="A951" i="2"/>
  <c r="M951" i="2"/>
  <c r="L951" i="2"/>
  <c r="H951" i="2"/>
  <c r="K951" i="2"/>
  <c r="B951" i="2"/>
  <c r="C951" i="2"/>
  <c r="I951" i="2"/>
  <c r="D951" i="2"/>
  <c r="E951" i="2"/>
  <c r="F951" i="2"/>
  <c r="G951" i="2"/>
  <c r="J950" i="2"/>
  <c r="N950" i="2"/>
  <c r="A950" i="2"/>
  <c r="M950" i="2"/>
  <c r="L950" i="2"/>
  <c r="H950" i="2"/>
  <c r="K950" i="2"/>
  <c r="B950" i="2"/>
  <c r="C950" i="2"/>
  <c r="I950" i="2"/>
  <c r="D950" i="2"/>
  <c r="E950" i="2"/>
  <c r="F950" i="2"/>
  <c r="G950" i="2"/>
  <c r="J949" i="2"/>
  <c r="N949" i="2"/>
  <c r="A949" i="2"/>
  <c r="M949" i="2"/>
  <c r="L949" i="2"/>
  <c r="H949" i="2"/>
  <c r="K949" i="2"/>
  <c r="B949" i="2"/>
  <c r="C949" i="2"/>
  <c r="I949" i="2"/>
  <c r="D949" i="2"/>
  <c r="E949" i="2"/>
  <c r="F949" i="2"/>
  <c r="G949" i="2"/>
  <c r="J948" i="2"/>
  <c r="N948" i="2"/>
  <c r="A948" i="2"/>
  <c r="M948" i="2"/>
  <c r="L948" i="2"/>
  <c r="H948" i="2"/>
  <c r="K948" i="2"/>
  <c r="B948" i="2"/>
  <c r="C948" i="2"/>
  <c r="I948" i="2"/>
  <c r="D948" i="2"/>
  <c r="E948" i="2"/>
  <c r="F948" i="2"/>
  <c r="G948" i="2"/>
  <c r="J947" i="2"/>
  <c r="N947" i="2"/>
  <c r="A947" i="2"/>
  <c r="M947" i="2"/>
  <c r="L947" i="2"/>
  <c r="H947" i="2"/>
  <c r="K947" i="2"/>
  <c r="B947" i="2"/>
  <c r="C947" i="2"/>
  <c r="I947" i="2"/>
  <c r="D947" i="2"/>
  <c r="E947" i="2"/>
  <c r="F947" i="2"/>
  <c r="G947" i="2"/>
  <c r="J946" i="2"/>
  <c r="N946" i="2"/>
  <c r="A946" i="2"/>
  <c r="M946" i="2"/>
  <c r="L946" i="2"/>
  <c r="H946" i="2"/>
  <c r="K946" i="2"/>
  <c r="B946" i="2"/>
  <c r="C946" i="2"/>
  <c r="I946" i="2"/>
  <c r="D946" i="2"/>
  <c r="E946" i="2"/>
  <c r="F946" i="2"/>
  <c r="G946" i="2"/>
  <c r="J945" i="2"/>
  <c r="N945" i="2"/>
  <c r="A945" i="2"/>
  <c r="M945" i="2"/>
  <c r="L945" i="2"/>
  <c r="H945" i="2"/>
  <c r="K945" i="2"/>
  <c r="B945" i="2"/>
  <c r="C945" i="2"/>
  <c r="I945" i="2"/>
  <c r="D945" i="2"/>
  <c r="E945" i="2"/>
  <c r="F945" i="2"/>
  <c r="G945" i="2"/>
  <c r="J944" i="2"/>
  <c r="N944" i="2"/>
  <c r="A944" i="2"/>
  <c r="M944" i="2"/>
  <c r="L944" i="2"/>
  <c r="H944" i="2"/>
  <c r="K944" i="2"/>
  <c r="B944" i="2"/>
  <c r="C944" i="2"/>
  <c r="I944" i="2"/>
  <c r="D944" i="2"/>
  <c r="E944" i="2"/>
  <c r="F944" i="2"/>
  <c r="G944" i="2"/>
  <c r="J943" i="2"/>
  <c r="N943" i="2"/>
  <c r="A943" i="2"/>
  <c r="M943" i="2"/>
  <c r="L943" i="2"/>
  <c r="H943" i="2"/>
  <c r="K943" i="2"/>
  <c r="B943" i="2"/>
  <c r="C943" i="2"/>
  <c r="I943" i="2"/>
  <c r="D943" i="2"/>
  <c r="E943" i="2"/>
  <c r="F943" i="2"/>
  <c r="G943" i="2"/>
  <c r="J942" i="2"/>
  <c r="N942" i="2"/>
  <c r="A942" i="2"/>
  <c r="M942" i="2"/>
  <c r="L942" i="2"/>
  <c r="H942" i="2"/>
  <c r="K942" i="2"/>
  <c r="B942" i="2"/>
  <c r="C942" i="2"/>
  <c r="I942" i="2"/>
  <c r="D942" i="2"/>
  <c r="E942" i="2"/>
  <c r="F942" i="2"/>
  <c r="G942" i="2"/>
  <c r="J941" i="2"/>
  <c r="N941" i="2"/>
  <c r="A941" i="2"/>
  <c r="M941" i="2"/>
  <c r="L941" i="2"/>
  <c r="H941" i="2"/>
  <c r="K941" i="2"/>
  <c r="B941" i="2"/>
  <c r="C941" i="2"/>
  <c r="I941" i="2"/>
  <c r="D941" i="2"/>
  <c r="E941" i="2"/>
  <c r="F941" i="2"/>
  <c r="G941" i="2"/>
  <c r="J940" i="2"/>
  <c r="N940" i="2"/>
  <c r="A940" i="2"/>
  <c r="M940" i="2"/>
  <c r="L940" i="2"/>
  <c r="H940" i="2"/>
  <c r="K940" i="2"/>
  <c r="B940" i="2"/>
  <c r="C940" i="2"/>
  <c r="I940" i="2"/>
  <c r="D940" i="2"/>
  <c r="E940" i="2"/>
  <c r="F940" i="2"/>
  <c r="G940" i="2"/>
  <c r="J939" i="2"/>
  <c r="N939" i="2"/>
  <c r="A939" i="2"/>
  <c r="M939" i="2"/>
  <c r="L939" i="2"/>
  <c r="H939" i="2"/>
  <c r="K939" i="2"/>
  <c r="B939" i="2"/>
  <c r="C939" i="2"/>
  <c r="I939" i="2"/>
  <c r="D939" i="2"/>
  <c r="E939" i="2"/>
  <c r="F939" i="2"/>
  <c r="G939" i="2"/>
  <c r="J938" i="2"/>
  <c r="N938" i="2"/>
  <c r="A938" i="2"/>
  <c r="M938" i="2"/>
  <c r="L938" i="2"/>
  <c r="H938" i="2"/>
  <c r="K938" i="2"/>
  <c r="B938" i="2"/>
  <c r="C938" i="2"/>
  <c r="I938" i="2"/>
  <c r="D938" i="2"/>
  <c r="E938" i="2"/>
  <c r="F938" i="2"/>
  <c r="G938" i="2"/>
  <c r="J937" i="2"/>
  <c r="N937" i="2"/>
  <c r="A937" i="2"/>
  <c r="M937" i="2"/>
  <c r="L937" i="2"/>
  <c r="H937" i="2"/>
  <c r="K937" i="2"/>
  <c r="B937" i="2"/>
  <c r="C937" i="2"/>
  <c r="I937" i="2"/>
  <c r="D937" i="2"/>
  <c r="E937" i="2"/>
  <c r="F937" i="2"/>
  <c r="G937" i="2"/>
  <c r="J936" i="2"/>
  <c r="N936" i="2"/>
  <c r="A936" i="2"/>
  <c r="M936" i="2"/>
  <c r="L936" i="2"/>
  <c r="H936" i="2"/>
  <c r="K936" i="2"/>
  <c r="B936" i="2"/>
  <c r="C936" i="2"/>
  <c r="I936" i="2"/>
  <c r="D936" i="2"/>
  <c r="E936" i="2"/>
  <c r="F936" i="2"/>
  <c r="G936" i="2"/>
  <c r="J935" i="2"/>
  <c r="N935" i="2"/>
  <c r="A935" i="2"/>
  <c r="M935" i="2"/>
  <c r="L935" i="2"/>
  <c r="H935" i="2"/>
  <c r="K935" i="2"/>
  <c r="B935" i="2"/>
  <c r="C935" i="2"/>
  <c r="I935" i="2"/>
  <c r="D935" i="2"/>
  <c r="E935" i="2"/>
  <c r="F935" i="2"/>
  <c r="G935" i="2"/>
  <c r="J934" i="2"/>
  <c r="N934" i="2"/>
  <c r="A934" i="2"/>
  <c r="M934" i="2"/>
  <c r="L934" i="2"/>
  <c r="H934" i="2"/>
  <c r="K934" i="2"/>
  <c r="B934" i="2"/>
  <c r="C934" i="2"/>
  <c r="I934" i="2"/>
  <c r="D934" i="2"/>
  <c r="E934" i="2"/>
  <c r="F934" i="2"/>
  <c r="G934" i="2"/>
  <c r="J933" i="2"/>
  <c r="N933" i="2"/>
  <c r="A933" i="2"/>
  <c r="M933" i="2"/>
  <c r="L933" i="2"/>
  <c r="H933" i="2"/>
  <c r="K933" i="2"/>
  <c r="B933" i="2"/>
  <c r="C933" i="2"/>
  <c r="I933" i="2"/>
  <c r="D933" i="2"/>
  <c r="E933" i="2"/>
  <c r="F933" i="2"/>
  <c r="G933" i="2"/>
  <c r="J932" i="2"/>
  <c r="N932" i="2"/>
  <c r="A932" i="2"/>
  <c r="M932" i="2"/>
  <c r="L932" i="2"/>
  <c r="H932" i="2"/>
  <c r="K932" i="2"/>
  <c r="B932" i="2"/>
  <c r="C932" i="2"/>
  <c r="I932" i="2"/>
  <c r="D932" i="2"/>
  <c r="E932" i="2"/>
  <c r="F932" i="2"/>
  <c r="G932" i="2"/>
  <c r="J931" i="2"/>
  <c r="N931" i="2"/>
  <c r="A931" i="2"/>
  <c r="M931" i="2"/>
  <c r="L931" i="2"/>
  <c r="H931" i="2"/>
  <c r="K931" i="2"/>
  <c r="B931" i="2"/>
  <c r="C931" i="2"/>
  <c r="I931" i="2"/>
  <c r="D931" i="2"/>
  <c r="E931" i="2"/>
  <c r="F931" i="2"/>
  <c r="G931" i="2"/>
  <c r="J930" i="2"/>
  <c r="N930" i="2"/>
  <c r="A930" i="2"/>
  <c r="M930" i="2"/>
  <c r="L930" i="2"/>
  <c r="H930" i="2"/>
  <c r="K930" i="2"/>
  <c r="B930" i="2"/>
  <c r="C930" i="2"/>
  <c r="I930" i="2"/>
  <c r="D930" i="2"/>
  <c r="E930" i="2"/>
  <c r="F930" i="2"/>
  <c r="G930" i="2"/>
  <c r="J929" i="2"/>
  <c r="N929" i="2"/>
  <c r="A929" i="2"/>
  <c r="M929" i="2"/>
  <c r="L929" i="2"/>
  <c r="H929" i="2"/>
  <c r="K929" i="2"/>
  <c r="B929" i="2"/>
  <c r="C929" i="2"/>
  <c r="I929" i="2"/>
  <c r="D929" i="2"/>
  <c r="E929" i="2"/>
  <c r="F929" i="2"/>
  <c r="G929" i="2"/>
  <c r="J928" i="2"/>
  <c r="N928" i="2"/>
  <c r="A928" i="2"/>
  <c r="M928" i="2"/>
  <c r="L928" i="2"/>
  <c r="H928" i="2"/>
  <c r="K928" i="2"/>
  <c r="B928" i="2"/>
  <c r="C928" i="2"/>
  <c r="I928" i="2"/>
  <c r="D928" i="2"/>
  <c r="E928" i="2"/>
  <c r="F928" i="2"/>
  <c r="G928" i="2"/>
  <c r="J927" i="2"/>
  <c r="N927" i="2"/>
  <c r="A927" i="2"/>
  <c r="M927" i="2"/>
  <c r="L927" i="2"/>
  <c r="H927" i="2"/>
  <c r="K927" i="2"/>
  <c r="B927" i="2"/>
  <c r="C927" i="2"/>
  <c r="I927" i="2"/>
  <c r="D927" i="2"/>
  <c r="E927" i="2"/>
  <c r="F927" i="2"/>
  <c r="G927" i="2"/>
  <c r="J926" i="2"/>
  <c r="N926" i="2"/>
  <c r="A926" i="2"/>
  <c r="M926" i="2"/>
  <c r="L926" i="2"/>
  <c r="H926" i="2"/>
  <c r="K926" i="2"/>
  <c r="B926" i="2"/>
  <c r="C926" i="2"/>
  <c r="I926" i="2"/>
  <c r="D926" i="2"/>
  <c r="E926" i="2"/>
  <c r="F926" i="2"/>
  <c r="G926" i="2"/>
  <c r="J925" i="2"/>
  <c r="N925" i="2"/>
  <c r="A925" i="2"/>
  <c r="M925" i="2"/>
  <c r="L925" i="2"/>
  <c r="H925" i="2"/>
  <c r="K925" i="2"/>
  <c r="B925" i="2"/>
  <c r="C925" i="2"/>
  <c r="I925" i="2"/>
  <c r="D925" i="2"/>
  <c r="E925" i="2"/>
  <c r="F925" i="2"/>
  <c r="G925" i="2"/>
  <c r="J924" i="2"/>
  <c r="N924" i="2"/>
  <c r="A924" i="2"/>
  <c r="M924" i="2"/>
  <c r="L924" i="2"/>
  <c r="H924" i="2"/>
  <c r="K924" i="2"/>
  <c r="B924" i="2"/>
  <c r="C924" i="2"/>
  <c r="I924" i="2"/>
  <c r="D924" i="2"/>
  <c r="E924" i="2"/>
  <c r="F924" i="2"/>
  <c r="G924" i="2"/>
  <c r="J923" i="2"/>
  <c r="N923" i="2"/>
  <c r="A923" i="2"/>
  <c r="M923" i="2"/>
  <c r="L923" i="2"/>
  <c r="H923" i="2"/>
  <c r="K923" i="2"/>
  <c r="B923" i="2"/>
  <c r="C923" i="2"/>
  <c r="I923" i="2"/>
  <c r="D923" i="2"/>
  <c r="E923" i="2"/>
  <c r="F923" i="2"/>
  <c r="G923" i="2"/>
  <c r="J922" i="2"/>
  <c r="N922" i="2"/>
  <c r="A922" i="2"/>
  <c r="M922" i="2"/>
  <c r="L922" i="2"/>
  <c r="H922" i="2"/>
  <c r="K922" i="2"/>
  <c r="B922" i="2"/>
  <c r="C922" i="2"/>
  <c r="I922" i="2"/>
  <c r="D922" i="2"/>
  <c r="E922" i="2"/>
  <c r="F922" i="2"/>
  <c r="G922" i="2"/>
  <c r="J921" i="2"/>
  <c r="N921" i="2"/>
  <c r="A921" i="2"/>
  <c r="M921" i="2"/>
  <c r="L921" i="2"/>
  <c r="H921" i="2"/>
  <c r="K921" i="2"/>
  <c r="B921" i="2"/>
  <c r="C921" i="2"/>
  <c r="I921" i="2"/>
  <c r="D921" i="2"/>
  <c r="E921" i="2"/>
  <c r="F921" i="2"/>
  <c r="G921" i="2"/>
  <c r="J920" i="2"/>
  <c r="N920" i="2"/>
  <c r="A920" i="2"/>
  <c r="M920" i="2"/>
  <c r="L920" i="2"/>
  <c r="H920" i="2"/>
  <c r="K920" i="2"/>
  <c r="B920" i="2"/>
  <c r="C920" i="2"/>
  <c r="I920" i="2"/>
  <c r="D920" i="2"/>
  <c r="E920" i="2"/>
  <c r="F920" i="2"/>
  <c r="G920" i="2"/>
  <c r="J919" i="2"/>
  <c r="N919" i="2"/>
  <c r="A919" i="2"/>
  <c r="M919" i="2"/>
  <c r="L919" i="2"/>
  <c r="H919" i="2"/>
  <c r="K919" i="2"/>
  <c r="B919" i="2"/>
  <c r="C919" i="2"/>
  <c r="I919" i="2"/>
  <c r="D919" i="2"/>
  <c r="E919" i="2"/>
  <c r="F919" i="2"/>
  <c r="G919" i="2"/>
  <c r="J918" i="2"/>
  <c r="N918" i="2"/>
  <c r="A918" i="2"/>
  <c r="M918" i="2"/>
  <c r="L918" i="2"/>
  <c r="H918" i="2"/>
  <c r="K918" i="2"/>
  <c r="B918" i="2"/>
  <c r="C918" i="2"/>
  <c r="I918" i="2"/>
  <c r="D918" i="2"/>
  <c r="E918" i="2"/>
  <c r="F918" i="2"/>
  <c r="G918" i="2"/>
  <c r="J917" i="2"/>
  <c r="N917" i="2"/>
  <c r="A917" i="2"/>
  <c r="M917" i="2"/>
  <c r="L917" i="2"/>
  <c r="H917" i="2"/>
  <c r="K917" i="2"/>
  <c r="B917" i="2"/>
  <c r="C917" i="2"/>
  <c r="I917" i="2"/>
  <c r="D917" i="2"/>
  <c r="E917" i="2"/>
  <c r="F917" i="2"/>
  <c r="G917" i="2"/>
  <c r="J916" i="2"/>
  <c r="N916" i="2"/>
  <c r="A916" i="2"/>
  <c r="M916" i="2"/>
  <c r="L916" i="2"/>
  <c r="H916" i="2"/>
  <c r="K916" i="2"/>
  <c r="B916" i="2"/>
  <c r="C916" i="2"/>
  <c r="I916" i="2"/>
  <c r="D916" i="2"/>
  <c r="E916" i="2"/>
  <c r="F916" i="2"/>
  <c r="G916" i="2"/>
  <c r="J915" i="2"/>
  <c r="N915" i="2"/>
  <c r="A915" i="2"/>
  <c r="M915" i="2"/>
  <c r="L915" i="2"/>
  <c r="H915" i="2"/>
  <c r="K915" i="2"/>
  <c r="B915" i="2"/>
  <c r="C915" i="2"/>
  <c r="I915" i="2"/>
  <c r="D915" i="2"/>
  <c r="E915" i="2"/>
  <c r="F915" i="2"/>
  <c r="G915" i="2"/>
  <c r="J914" i="2"/>
  <c r="N914" i="2"/>
  <c r="A914" i="2"/>
  <c r="M914" i="2"/>
  <c r="L914" i="2"/>
  <c r="H914" i="2"/>
  <c r="K914" i="2"/>
  <c r="B914" i="2"/>
  <c r="C914" i="2"/>
  <c r="I914" i="2"/>
  <c r="D914" i="2"/>
  <c r="E914" i="2"/>
  <c r="F914" i="2"/>
  <c r="G914" i="2"/>
  <c r="J913" i="2"/>
  <c r="N913" i="2"/>
  <c r="A913" i="2"/>
  <c r="M913" i="2"/>
  <c r="L913" i="2"/>
  <c r="H913" i="2"/>
  <c r="K913" i="2"/>
  <c r="B913" i="2"/>
  <c r="C913" i="2"/>
  <c r="I913" i="2"/>
  <c r="D913" i="2"/>
  <c r="E913" i="2"/>
  <c r="F913" i="2"/>
  <c r="G913" i="2"/>
  <c r="J912" i="2"/>
  <c r="N912" i="2"/>
  <c r="A912" i="2"/>
  <c r="M912" i="2"/>
  <c r="L912" i="2"/>
  <c r="H912" i="2"/>
  <c r="K912" i="2"/>
  <c r="B912" i="2"/>
  <c r="C912" i="2"/>
  <c r="I912" i="2"/>
  <c r="D912" i="2"/>
  <c r="E912" i="2"/>
  <c r="F912" i="2"/>
  <c r="G912" i="2"/>
  <c r="J911" i="2"/>
  <c r="N911" i="2"/>
  <c r="A911" i="2"/>
  <c r="M911" i="2"/>
  <c r="L911" i="2"/>
  <c r="H911" i="2"/>
  <c r="K911" i="2"/>
  <c r="B911" i="2"/>
  <c r="C911" i="2"/>
  <c r="I911" i="2"/>
  <c r="D911" i="2"/>
  <c r="E911" i="2"/>
  <c r="F911" i="2"/>
  <c r="G911" i="2"/>
  <c r="J910" i="2"/>
  <c r="N910" i="2"/>
  <c r="A910" i="2"/>
  <c r="M910" i="2"/>
  <c r="L910" i="2"/>
  <c r="H910" i="2"/>
  <c r="K910" i="2"/>
  <c r="B910" i="2"/>
  <c r="C910" i="2"/>
  <c r="I910" i="2"/>
  <c r="D910" i="2"/>
  <c r="E910" i="2"/>
  <c r="F910" i="2"/>
  <c r="G910" i="2"/>
  <c r="J909" i="2"/>
  <c r="N909" i="2"/>
  <c r="A909" i="2"/>
  <c r="M909" i="2"/>
  <c r="L909" i="2"/>
  <c r="H909" i="2"/>
  <c r="K909" i="2"/>
  <c r="B909" i="2"/>
  <c r="C909" i="2"/>
  <c r="I909" i="2"/>
  <c r="D909" i="2"/>
  <c r="E909" i="2"/>
  <c r="F909" i="2"/>
  <c r="G909" i="2"/>
  <c r="J908" i="2"/>
  <c r="N908" i="2"/>
  <c r="A908" i="2"/>
  <c r="M908" i="2"/>
  <c r="L908" i="2"/>
  <c r="H908" i="2"/>
  <c r="K908" i="2"/>
  <c r="B908" i="2"/>
  <c r="C908" i="2"/>
  <c r="I908" i="2"/>
  <c r="D908" i="2"/>
  <c r="E908" i="2"/>
  <c r="F908" i="2"/>
  <c r="G908" i="2"/>
  <c r="J907" i="2"/>
  <c r="N907" i="2"/>
  <c r="A907" i="2"/>
  <c r="M907" i="2"/>
  <c r="L907" i="2"/>
  <c r="H907" i="2"/>
  <c r="K907" i="2"/>
  <c r="B907" i="2"/>
  <c r="C907" i="2"/>
  <c r="I907" i="2"/>
  <c r="D907" i="2"/>
  <c r="E907" i="2"/>
  <c r="F907" i="2"/>
  <c r="G907" i="2"/>
  <c r="J906" i="2"/>
  <c r="N906" i="2"/>
  <c r="A906" i="2"/>
  <c r="M906" i="2"/>
  <c r="L906" i="2"/>
  <c r="H906" i="2"/>
  <c r="K906" i="2"/>
  <c r="B906" i="2"/>
  <c r="C906" i="2"/>
  <c r="I906" i="2"/>
  <c r="D906" i="2"/>
  <c r="E906" i="2"/>
  <c r="F906" i="2"/>
  <c r="G906" i="2"/>
  <c r="J905" i="2"/>
  <c r="N905" i="2"/>
  <c r="A905" i="2"/>
  <c r="M905" i="2"/>
  <c r="L905" i="2"/>
  <c r="H905" i="2"/>
  <c r="K905" i="2"/>
  <c r="B905" i="2"/>
  <c r="C905" i="2"/>
  <c r="I905" i="2"/>
  <c r="D905" i="2"/>
  <c r="E905" i="2"/>
  <c r="F905" i="2"/>
  <c r="G905" i="2"/>
  <c r="J904" i="2"/>
  <c r="N904" i="2"/>
  <c r="A904" i="2"/>
  <c r="M904" i="2"/>
  <c r="L904" i="2"/>
  <c r="H904" i="2"/>
  <c r="K904" i="2"/>
  <c r="B904" i="2"/>
  <c r="C904" i="2"/>
  <c r="I904" i="2"/>
  <c r="D904" i="2"/>
  <c r="E904" i="2"/>
  <c r="F904" i="2"/>
  <c r="G904" i="2"/>
  <c r="J903" i="2"/>
  <c r="N903" i="2"/>
  <c r="A903" i="2"/>
  <c r="M903" i="2"/>
  <c r="L903" i="2"/>
  <c r="H903" i="2"/>
  <c r="K903" i="2"/>
  <c r="B903" i="2"/>
  <c r="C903" i="2"/>
  <c r="I903" i="2"/>
  <c r="D903" i="2"/>
  <c r="E903" i="2"/>
  <c r="F903" i="2"/>
  <c r="G903" i="2"/>
  <c r="J902" i="2"/>
  <c r="N902" i="2"/>
  <c r="A902" i="2"/>
  <c r="M902" i="2"/>
  <c r="L902" i="2"/>
  <c r="H902" i="2"/>
  <c r="K902" i="2"/>
  <c r="B902" i="2"/>
  <c r="C902" i="2"/>
  <c r="I902" i="2"/>
  <c r="D902" i="2"/>
  <c r="E902" i="2"/>
  <c r="F902" i="2"/>
  <c r="G902" i="2"/>
  <c r="J901" i="2"/>
  <c r="N901" i="2"/>
  <c r="A901" i="2"/>
  <c r="M901" i="2"/>
  <c r="L901" i="2"/>
  <c r="H901" i="2"/>
  <c r="K901" i="2"/>
  <c r="B901" i="2"/>
  <c r="C901" i="2"/>
  <c r="I901" i="2"/>
  <c r="D901" i="2"/>
  <c r="E901" i="2"/>
  <c r="F901" i="2"/>
  <c r="G901" i="2"/>
  <c r="J900" i="2"/>
  <c r="N900" i="2"/>
  <c r="A900" i="2"/>
  <c r="M900" i="2"/>
  <c r="L900" i="2"/>
  <c r="H900" i="2"/>
  <c r="K900" i="2"/>
  <c r="B900" i="2"/>
  <c r="C900" i="2"/>
  <c r="I900" i="2"/>
  <c r="D900" i="2"/>
  <c r="E900" i="2"/>
  <c r="F900" i="2"/>
  <c r="G900" i="2"/>
  <c r="J899" i="2"/>
  <c r="N899" i="2"/>
  <c r="A899" i="2"/>
  <c r="M899" i="2"/>
  <c r="L899" i="2"/>
  <c r="H899" i="2"/>
  <c r="K899" i="2"/>
  <c r="B899" i="2"/>
  <c r="C899" i="2"/>
  <c r="I899" i="2"/>
  <c r="D899" i="2"/>
  <c r="E899" i="2"/>
  <c r="F899" i="2"/>
  <c r="G899" i="2"/>
  <c r="J898" i="2"/>
  <c r="N898" i="2"/>
  <c r="A898" i="2"/>
  <c r="M898" i="2"/>
  <c r="L898" i="2"/>
  <c r="H898" i="2"/>
  <c r="K898" i="2"/>
  <c r="B898" i="2"/>
  <c r="C898" i="2"/>
  <c r="I898" i="2"/>
  <c r="D898" i="2"/>
  <c r="E898" i="2"/>
  <c r="F898" i="2"/>
  <c r="G898" i="2"/>
  <c r="J897" i="2"/>
  <c r="N897" i="2"/>
  <c r="A897" i="2"/>
  <c r="M897" i="2"/>
  <c r="L897" i="2"/>
  <c r="H897" i="2"/>
  <c r="K897" i="2"/>
  <c r="B897" i="2"/>
  <c r="C897" i="2"/>
  <c r="I897" i="2"/>
  <c r="D897" i="2"/>
  <c r="E897" i="2"/>
  <c r="F897" i="2"/>
  <c r="G897" i="2"/>
  <c r="J896" i="2"/>
  <c r="N896" i="2"/>
  <c r="A896" i="2"/>
  <c r="M896" i="2"/>
  <c r="L896" i="2"/>
  <c r="H896" i="2"/>
  <c r="K896" i="2"/>
  <c r="B896" i="2"/>
  <c r="C896" i="2"/>
  <c r="I896" i="2"/>
  <c r="D896" i="2"/>
  <c r="E896" i="2"/>
  <c r="F896" i="2"/>
  <c r="G896" i="2"/>
  <c r="J895" i="2"/>
  <c r="N895" i="2"/>
  <c r="A895" i="2"/>
  <c r="M895" i="2"/>
  <c r="L895" i="2"/>
  <c r="H895" i="2"/>
  <c r="K895" i="2"/>
  <c r="B895" i="2"/>
  <c r="C895" i="2"/>
  <c r="I895" i="2"/>
  <c r="D895" i="2"/>
  <c r="E895" i="2"/>
  <c r="F895" i="2"/>
  <c r="G895" i="2"/>
  <c r="J894" i="2"/>
  <c r="N894" i="2"/>
  <c r="A894" i="2"/>
  <c r="M894" i="2"/>
  <c r="L894" i="2"/>
  <c r="H894" i="2"/>
  <c r="K894" i="2"/>
  <c r="B894" i="2"/>
  <c r="C894" i="2"/>
  <c r="I894" i="2"/>
  <c r="D894" i="2"/>
  <c r="E894" i="2"/>
  <c r="F894" i="2"/>
  <c r="G894" i="2"/>
  <c r="J893" i="2"/>
  <c r="N893" i="2"/>
  <c r="A893" i="2"/>
  <c r="M893" i="2"/>
  <c r="L893" i="2"/>
  <c r="H893" i="2"/>
  <c r="K893" i="2"/>
  <c r="B893" i="2"/>
  <c r="C893" i="2"/>
  <c r="I893" i="2"/>
  <c r="D893" i="2"/>
  <c r="E893" i="2"/>
  <c r="F893" i="2"/>
  <c r="G893" i="2"/>
  <c r="J892" i="2"/>
  <c r="N892" i="2"/>
  <c r="A892" i="2"/>
  <c r="M892" i="2"/>
  <c r="L892" i="2"/>
  <c r="H892" i="2"/>
  <c r="K892" i="2"/>
  <c r="B892" i="2"/>
  <c r="C892" i="2"/>
  <c r="I892" i="2"/>
  <c r="D892" i="2"/>
  <c r="E892" i="2"/>
  <c r="F892" i="2"/>
  <c r="G892" i="2"/>
  <c r="J891" i="2"/>
  <c r="N891" i="2"/>
  <c r="A891" i="2"/>
  <c r="M891" i="2"/>
  <c r="L891" i="2"/>
  <c r="H891" i="2"/>
  <c r="K891" i="2"/>
  <c r="B891" i="2"/>
  <c r="C891" i="2"/>
  <c r="I891" i="2"/>
  <c r="D891" i="2"/>
  <c r="E891" i="2"/>
  <c r="F891" i="2"/>
  <c r="G891" i="2"/>
  <c r="J890" i="2"/>
  <c r="N890" i="2"/>
  <c r="A890" i="2"/>
  <c r="M890" i="2"/>
  <c r="L890" i="2"/>
  <c r="H890" i="2"/>
  <c r="K890" i="2"/>
  <c r="B890" i="2"/>
  <c r="C890" i="2"/>
  <c r="I890" i="2"/>
  <c r="D890" i="2"/>
  <c r="E890" i="2"/>
  <c r="F890" i="2"/>
  <c r="G890" i="2"/>
  <c r="J889" i="2"/>
  <c r="N889" i="2"/>
  <c r="A889" i="2"/>
  <c r="M889" i="2"/>
  <c r="L889" i="2"/>
  <c r="H889" i="2"/>
  <c r="K889" i="2"/>
  <c r="B889" i="2"/>
  <c r="C889" i="2"/>
  <c r="I889" i="2"/>
  <c r="D889" i="2"/>
  <c r="E889" i="2"/>
  <c r="F889" i="2"/>
  <c r="G889" i="2"/>
  <c r="J888" i="2"/>
  <c r="N888" i="2"/>
  <c r="A888" i="2"/>
  <c r="M888" i="2"/>
  <c r="L888" i="2"/>
  <c r="H888" i="2"/>
  <c r="K888" i="2"/>
  <c r="B888" i="2"/>
  <c r="C888" i="2"/>
  <c r="I888" i="2"/>
  <c r="D888" i="2"/>
  <c r="E888" i="2"/>
  <c r="F888" i="2"/>
  <c r="G888" i="2"/>
  <c r="J887" i="2"/>
  <c r="N887" i="2"/>
  <c r="A887" i="2"/>
  <c r="M887" i="2"/>
  <c r="L887" i="2"/>
  <c r="H887" i="2"/>
  <c r="K887" i="2"/>
  <c r="B887" i="2"/>
  <c r="C887" i="2"/>
  <c r="I887" i="2"/>
  <c r="D887" i="2"/>
  <c r="E887" i="2"/>
  <c r="F887" i="2"/>
  <c r="G887" i="2"/>
  <c r="J886" i="2"/>
  <c r="N886" i="2"/>
  <c r="A886" i="2"/>
  <c r="M886" i="2"/>
  <c r="L886" i="2"/>
  <c r="H886" i="2"/>
  <c r="K886" i="2"/>
  <c r="B886" i="2"/>
  <c r="C886" i="2"/>
  <c r="I886" i="2"/>
  <c r="D886" i="2"/>
  <c r="E886" i="2"/>
  <c r="F886" i="2"/>
  <c r="G886" i="2"/>
  <c r="J885" i="2"/>
  <c r="N885" i="2"/>
  <c r="A885" i="2"/>
  <c r="M885" i="2"/>
  <c r="L885" i="2"/>
  <c r="H885" i="2"/>
  <c r="K885" i="2"/>
  <c r="B885" i="2"/>
  <c r="C885" i="2"/>
  <c r="I885" i="2"/>
  <c r="D885" i="2"/>
  <c r="E885" i="2"/>
  <c r="F885" i="2"/>
  <c r="G885" i="2"/>
  <c r="J884" i="2"/>
  <c r="N884" i="2"/>
  <c r="A884" i="2"/>
  <c r="M884" i="2"/>
  <c r="L884" i="2"/>
  <c r="H884" i="2"/>
  <c r="K884" i="2"/>
  <c r="B884" i="2"/>
  <c r="C884" i="2"/>
  <c r="I884" i="2"/>
  <c r="D884" i="2"/>
  <c r="E884" i="2"/>
  <c r="F884" i="2"/>
  <c r="G884" i="2"/>
  <c r="J883" i="2"/>
  <c r="N883" i="2"/>
  <c r="A883" i="2"/>
  <c r="M883" i="2"/>
  <c r="L883" i="2"/>
  <c r="H883" i="2"/>
  <c r="K883" i="2"/>
  <c r="B883" i="2"/>
  <c r="C883" i="2"/>
  <c r="I883" i="2"/>
  <c r="D883" i="2"/>
  <c r="E883" i="2"/>
  <c r="F883" i="2"/>
  <c r="G883" i="2"/>
  <c r="J882" i="2"/>
  <c r="N882" i="2"/>
  <c r="A882" i="2"/>
  <c r="M882" i="2"/>
  <c r="L882" i="2"/>
  <c r="H882" i="2"/>
  <c r="K882" i="2"/>
  <c r="B882" i="2"/>
  <c r="C882" i="2"/>
  <c r="I882" i="2"/>
  <c r="D882" i="2"/>
  <c r="E882" i="2"/>
  <c r="F882" i="2"/>
  <c r="G882" i="2"/>
  <c r="J881" i="2"/>
  <c r="N881" i="2"/>
  <c r="A881" i="2"/>
  <c r="M881" i="2"/>
  <c r="L881" i="2"/>
  <c r="H881" i="2"/>
  <c r="K881" i="2"/>
  <c r="B881" i="2"/>
  <c r="C881" i="2"/>
  <c r="I881" i="2"/>
  <c r="D881" i="2"/>
  <c r="E881" i="2"/>
  <c r="F881" i="2"/>
  <c r="G881" i="2"/>
  <c r="J880" i="2"/>
  <c r="N880" i="2"/>
  <c r="A880" i="2"/>
  <c r="M880" i="2"/>
  <c r="L880" i="2"/>
  <c r="H880" i="2"/>
  <c r="K880" i="2"/>
  <c r="B880" i="2"/>
  <c r="C880" i="2"/>
  <c r="I880" i="2"/>
  <c r="D880" i="2"/>
  <c r="E880" i="2"/>
  <c r="F880" i="2"/>
  <c r="G880" i="2"/>
  <c r="J879" i="2"/>
  <c r="N879" i="2"/>
  <c r="A879" i="2"/>
  <c r="M879" i="2"/>
  <c r="L879" i="2"/>
  <c r="H879" i="2"/>
  <c r="K879" i="2"/>
  <c r="B879" i="2"/>
  <c r="C879" i="2"/>
  <c r="I879" i="2"/>
  <c r="D879" i="2"/>
  <c r="E879" i="2"/>
  <c r="F879" i="2"/>
  <c r="G879" i="2"/>
  <c r="J878" i="2"/>
  <c r="N878" i="2"/>
  <c r="A878" i="2"/>
  <c r="M878" i="2"/>
  <c r="L878" i="2"/>
  <c r="H878" i="2"/>
  <c r="K878" i="2"/>
  <c r="B878" i="2"/>
  <c r="C878" i="2"/>
  <c r="I878" i="2"/>
  <c r="D878" i="2"/>
  <c r="E878" i="2"/>
  <c r="F878" i="2"/>
  <c r="G878" i="2"/>
  <c r="J877" i="2"/>
  <c r="N877" i="2"/>
  <c r="A877" i="2"/>
  <c r="M877" i="2"/>
  <c r="L877" i="2"/>
  <c r="H877" i="2"/>
  <c r="K877" i="2"/>
  <c r="B877" i="2"/>
  <c r="C877" i="2"/>
  <c r="I877" i="2"/>
  <c r="D877" i="2"/>
  <c r="E877" i="2"/>
  <c r="F877" i="2"/>
  <c r="G877" i="2"/>
  <c r="J876" i="2"/>
  <c r="N876" i="2"/>
  <c r="A876" i="2"/>
  <c r="M876" i="2"/>
  <c r="L876" i="2"/>
  <c r="H876" i="2"/>
  <c r="K876" i="2"/>
  <c r="B876" i="2"/>
  <c r="C876" i="2"/>
  <c r="I876" i="2"/>
  <c r="D876" i="2"/>
  <c r="E876" i="2"/>
  <c r="F876" i="2"/>
  <c r="G876" i="2"/>
  <c r="J875" i="2"/>
  <c r="N875" i="2"/>
  <c r="A875" i="2"/>
  <c r="M875" i="2"/>
  <c r="L875" i="2"/>
  <c r="H875" i="2"/>
  <c r="K875" i="2"/>
  <c r="B875" i="2"/>
  <c r="C875" i="2"/>
  <c r="I875" i="2"/>
  <c r="D875" i="2"/>
  <c r="E875" i="2"/>
  <c r="F875" i="2"/>
  <c r="G875" i="2"/>
  <c r="J874" i="2"/>
  <c r="N874" i="2"/>
  <c r="A874" i="2"/>
  <c r="M874" i="2"/>
  <c r="L874" i="2"/>
  <c r="H874" i="2"/>
  <c r="K874" i="2"/>
  <c r="B874" i="2"/>
  <c r="C874" i="2"/>
  <c r="I874" i="2"/>
  <c r="D874" i="2"/>
  <c r="E874" i="2"/>
  <c r="F874" i="2"/>
  <c r="G874" i="2"/>
  <c r="J873" i="2"/>
  <c r="N873" i="2"/>
  <c r="A873" i="2"/>
  <c r="M873" i="2"/>
  <c r="L873" i="2"/>
  <c r="H873" i="2"/>
  <c r="K873" i="2"/>
  <c r="B873" i="2"/>
  <c r="C873" i="2"/>
  <c r="I873" i="2"/>
  <c r="D873" i="2"/>
  <c r="E873" i="2"/>
  <c r="F873" i="2"/>
  <c r="G873" i="2"/>
  <c r="J872" i="2"/>
  <c r="N872" i="2"/>
  <c r="A872" i="2"/>
  <c r="M872" i="2"/>
  <c r="L872" i="2"/>
  <c r="H872" i="2"/>
  <c r="K872" i="2"/>
  <c r="B872" i="2"/>
  <c r="C872" i="2"/>
  <c r="I872" i="2"/>
  <c r="D872" i="2"/>
  <c r="E872" i="2"/>
  <c r="F872" i="2"/>
  <c r="G872" i="2"/>
  <c r="J871" i="2"/>
  <c r="N871" i="2"/>
  <c r="A871" i="2"/>
  <c r="M871" i="2"/>
  <c r="L871" i="2"/>
  <c r="H871" i="2"/>
  <c r="K871" i="2"/>
  <c r="B871" i="2"/>
  <c r="C871" i="2"/>
  <c r="I871" i="2"/>
  <c r="D871" i="2"/>
  <c r="E871" i="2"/>
  <c r="F871" i="2"/>
  <c r="G871" i="2"/>
  <c r="J870" i="2"/>
  <c r="N870" i="2"/>
  <c r="A870" i="2"/>
  <c r="M870" i="2"/>
  <c r="L870" i="2"/>
  <c r="H870" i="2"/>
  <c r="K870" i="2"/>
  <c r="B870" i="2"/>
  <c r="C870" i="2"/>
  <c r="I870" i="2"/>
  <c r="D870" i="2"/>
  <c r="E870" i="2"/>
  <c r="F870" i="2"/>
  <c r="G870" i="2"/>
  <c r="J869" i="2"/>
  <c r="N869" i="2"/>
  <c r="A869" i="2"/>
  <c r="M869" i="2"/>
  <c r="L869" i="2"/>
  <c r="H869" i="2"/>
  <c r="K869" i="2"/>
  <c r="B869" i="2"/>
  <c r="C869" i="2"/>
  <c r="I869" i="2"/>
  <c r="D869" i="2"/>
  <c r="E869" i="2"/>
  <c r="F869" i="2"/>
  <c r="G869" i="2"/>
  <c r="J868" i="2"/>
  <c r="N868" i="2"/>
  <c r="A868" i="2"/>
  <c r="M868" i="2"/>
  <c r="L868" i="2"/>
  <c r="H868" i="2"/>
  <c r="K868" i="2"/>
  <c r="B868" i="2"/>
  <c r="C868" i="2"/>
  <c r="I868" i="2"/>
  <c r="D868" i="2"/>
  <c r="E868" i="2"/>
  <c r="F868" i="2"/>
  <c r="G868" i="2"/>
  <c r="J867" i="2"/>
  <c r="N867" i="2"/>
  <c r="A867" i="2"/>
  <c r="M867" i="2"/>
  <c r="L867" i="2"/>
  <c r="H867" i="2"/>
  <c r="K867" i="2"/>
  <c r="B867" i="2"/>
  <c r="C867" i="2"/>
  <c r="I867" i="2"/>
  <c r="D867" i="2"/>
  <c r="E867" i="2"/>
  <c r="F867" i="2"/>
  <c r="G867" i="2"/>
  <c r="J866" i="2"/>
  <c r="N866" i="2"/>
  <c r="A866" i="2"/>
  <c r="M866" i="2"/>
  <c r="L866" i="2"/>
  <c r="H866" i="2"/>
  <c r="K866" i="2"/>
  <c r="B866" i="2"/>
  <c r="C866" i="2"/>
  <c r="I866" i="2"/>
  <c r="D866" i="2"/>
  <c r="E866" i="2"/>
  <c r="F866" i="2"/>
  <c r="G866" i="2"/>
  <c r="J865" i="2"/>
  <c r="N865" i="2"/>
  <c r="A865" i="2"/>
  <c r="M865" i="2"/>
  <c r="L865" i="2"/>
  <c r="H865" i="2"/>
  <c r="K865" i="2"/>
  <c r="B865" i="2"/>
  <c r="C865" i="2"/>
  <c r="I865" i="2"/>
  <c r="D865" i="2"/>
  <c r="E865" i="2"/>
  <c r="F865" i="2"/>
  <c r="G865" i="2"/>
  <c r="J864" i="2"/>
  <c r="N864" i="2"/>
  <c r="A864" i="2"/>
  <c r="M864" i="2"/>
  <c r="L864" i="2"/>
  <c r="H864" i="2"/>
  <c r="K864" i="2"/>
  <c r="B864" i="2"/>
  <c r="C864" i="2"/>
  <c r="I864" i="2"/>
  <c r="D864" i="2"/>
  <c r="E864" i="2"/>
  <c r="F864" i="2"/>
  <c r="G864" i="2"/>
  <c r="J863" i="2"/>
  <c r="N863" i="2"/>
  <c r="A863" i="2"/>
  <c r="M863" i="2"/>
  <c r="L863" i="2"/>
  <c r="H863" i="2"/>
  <c r="K863" i="2"/>
  <c r="B863" i="2"/>
  <c r="C863" i="2"/>
  <c r="I863" i="2"/>
  <c r="D863" i="2"/>
  <c r="E863" i="2"/>
  <c r="F863" i="2"/>
  <c r="G863" i="2"/>
  <c r="J862" i="2"/>
  <c r="N862" i="2"/>
  <c r="A862" i="2"/>
  <c r="M862" i="2"/>
  <c r="L862" i="2"/>
  <c r="H862" i="2"/>
  <c r="K862" i="2"/>
  <c r="B862" i="2"/>
  <c r="C862" i="2"/>
  <c r="I862" i="2"/>
  <c r="D862" i="2"/>
  <c r="E862" i="2"/>
  <c r="F862" i="2"/>
  <c r="G862" i="2"/>
  <c r="J861" i="2"/>
  <c r="N861" i="2"/>
  <c r="A861" i="2"/>
  <c r="M861" i="2"/>
  <c r="L861" i="2"/>
  <c r="H861" i="2"/>
  <c r="K861" i="2"/>
  <c r="B861" i="2"/>
  <c r="C861" i="2"/>
  <c r="I861" i="2"/>
  <c r="D861" i="2"/>
  <c r="E861" i="2"/>
  <c r="F861" i="2"/>
  <c r="G861" i="2"/>
  <c r="J860" i="2"/>
  <c r="N860" i="2"/>
  <c r="A860" i="2"/>
  <c r="M860" i="2"/>
  <c r="L860" i="2"/>
  <c r="H860" i="2"/>
  <c r="K860" i="2"/>
  <c r="B860" i="2"/>
  <c r="C860" i="2"/>
  <c r="I860" i="2"/>
  <c r="D860" i="2"/>
  <c r="E860" i="2"/>
  <c r="F860" i="2"/>
  <c r="G860" i="2"/>
  <c r="J859" i="2"/>
  <c r="N859" i="2"/>
  <c r="A859" i="2"/>
  <c r="M859" i="2"/>
  <c r="L859" i="2"/>
  <c r="H859" i="2"/>
  <c r="K859" i="2"/>
  <c r="B859" i="2"/>
  <c r="C859" i="2"/>
  <c r="I859" i="2"/>
  <c r="D859" i="2"/>
  <c r="E859" i="2"/>
  <c r="F859" i="2"/>
  <c r="G859" i="2"/>
  <c r="J858" i="2"/>
  <c r="N858" i="2"/>
  <c r="A858" i="2"/>
  <c r="M858" i="2"/>
  <c r="L858" i="2"/>
  <c r="H858" i="2"/>
  <c r="K858" i="2"/>
  <c r="B858" i="2"/>
  <c r="C858" i="2"/>
  <c r="I858" i="2"/>
  <c r="D858" i="2"/>
  <c r="E858" i="2"/>
  <c r="F858" i="2"/>
  <c r="G858" i="2"/>
  <c r="J857" i="2"/>
  <c r="N857" i="2"/>
  <c r="A857" i="2"/>
  <c r="M857" i="2"/>
  <c r="L857" i="2"/>
  <c r="H857" i="2"/>
  <c r="K857" i="2"/>
  <c r="B857" i="2"/>
  <c r="C857" i="2"/>
  <c r="I857" i="2"/>
  <c r="D857" i="2"/>
  <c r="E857" i="2"/>
  <c r="F857" i="2"/>
  <c r="G857" i="2"/>
  <c r="J856" i="2"/>
  <c r="N856" i="2"/>
  <c r="A856" i="2"/>
  <c r="M856" i="2"/>
  <c r="L856" i="2"/>
  <c r="H856" i="2"/>
  <c r="K856" i="2"/>
  <c r="B856" i="2"/>
  <c r="C856" i="2"/>
  <c r="I856" i="2"/>
  <c r="D856" i="2"/>
  <c r="E856" i="2"/>
  <c r="F856" i="2"/>
  <c r="G856" i="2"/>
  <c r="J855" i="2"/>
  <c r="N855" i="2"/>
  <c r="A855" i="2"/>
  <c r="M855" i="2"/>
  <c r="L855" i="2"/>
  <c r="H855" i="2"/>
  <c r="K855" i="2"/>
  <c r="B855" i="2"/>
  <c r="C855" i="2"/>
  <c r="I855" i="2"/>
  <c r="D855" i="2"/>
  <c r="E855" i="2"/>
  <c r="F855" i="2"/>
  <c r="G855" i="2"/>
  <c r="J854" i="2"/>
  <c r="N854" i="2"/>
  <c r="A854" i="2"/>
  <c r="M854" i="2"/>
  <c r="L854" i="2"/>
  <c r="H854" i="2"/>
  <c r="K854" i="2"/>
  <c r="B854" i="2"/>
  <c r="C854" i="2"/>
  <c r="I854" i="2"/>
  <c r="D854" i="2"/>
  <c r="E854" i="2"/>
  <c r="F854" i="2"/>
  <c r="G854" i="2"/>
  <c r="J853" i="2"/>
  <c r="N853" i="2"/>
  <c r="A853" i="2"/>
  <c r="M853" i="2"/>
  <c r="L853" i="2"/>
  <c r="H853" i="2"/>
  <c r="K853" i="2"/>
  <c r="B853" i="2"/>
  <c r="C853" i="2"/>
  <c r="I853" i="2"/>
  <c r="D853" i="2"/>
  <c r="E853" i="2"/>
  <c r="F853" i="2"/>
  <c r="G853" i="2"/>
  <c r="J852" i="2"/>
  <c r="N852" i="2"/>
  <c r="A852" i="2"/>
  <c r="M852" i="2"/>
  <c r="L852" i="2"/>
  <c r="H852" i="2"/>
  <c r="K852" i="2"/>
  <c r="B852" i="2"/>
  <c r="C852" i="2"/>
  <c r="I852" i="2"/>
  <c r="D852" i="2"/>
  <c r="E852" i="2"/>
  <c r="F852" i="2"/>
  <c r="G852" i="2"/>
  <c r="J851" i="2"/>
  <c r="N851" i="2"/>
  <c r="A851" i="2"/>
  <c r="M851" i="2"/>
  <c r="L851" i="2"/>
  <c r="H851" i="2"/>
  <c r="K851" i="2"/>
  <c r="B851" i="2"/>
  <c r="C851" i="2"/>
  <c r="I851" i="2"/>
  <c r="D851" i="2"/>
  <c r="E851" i="2"/>
  <c r="F851" i="2"/>
  <c r="G851" i="2"/>
  <c r="J850" i="2"/>
  <c r="N850" i="2"/>
  <c r="A850" i="2"/>
  <c r="M850" i="2"/>
  <c r="L850" i="2"/>
  <c r="H850" i="2"/>
  <c r="K850" i="2"/>
  <c r="B850" i="2"/>
  <c r="C850" i="2"/>
  <c r="I850" i="2"/>
  <c r="D850" i="2"/>
  <c r="E850" i="2"/>
  <c r="F850" i="2"/>
  <c r="G850" i="2"/>
  <c r="J849" i="2"/>
  <c r="N849" i="2"/>
  <c r="A849" i="2"/>
  <c r="M849" i="2"/>
  <c r="L849" i="2"/>
  <c r="H849" i="2"/>
  <c r="K849" i="2"/>
  <c r="B849" i="2"/>
  <c r="C849" i="2"/>
  <c r="I849" i="2"/>
  <c r="D849" i="2"/>
  <c r="E849" i="2"/>
  <c r="F849" i="2"/>
  <c r="G849" i="2"/>
  <c r="J848" i="2"/>
  <c r="N848" i="2"/>
  <c r="A848" i="2"/>
  <c r="M848" i="2"/>
  <c r="L848" i="2"/>
  <c r="H848" i="2"/>
  <c r="K848" i="2"/>
  <c r="B848" i="2"/>
  <c r="C848" i="2"/>
  <c r="I848" i="2"/>
  <c r="D848" i="2"/>
  <c r="E848" i="2"/>
  <c r="F848" i="2"/>
  <c r="G848" i="2"/>
  <c r="J847" i="2"/>
  <c r="N847" i="2"/>
  <c r="A847" i="2"/>
  <c r="M847" i="2"/>
  <c r="L847" i="2"/>
  <c r="H847" i="2"/>
  <c r="K847" i="2"/>
  <c r="B847" i="2"/>
  <c r="C847" i="2"/>
  <c r="I847" i="2"/>
  <c r="D847" i="2"/>
  <c r="E847" i="2"/>
  <c r="F847" i="2"/>
  <c r="G847" i="2"/>
  <c r="J846" i="2"/>
  <c r="N846" i="2"/>
  <c r="A846" i="2"/>
  <c r="M846" i="2"/>
  <c r="L846" i="2"/>
  <c r="H846" i="2"/>
  <c r="K846" i="2"/>
  <c r="B846" i="2"/>
  <c r="C846" i="2"/>
  <c r="I846" i="2"/>
  <c r="D846" i="2"/>
  <c r="E846" i="2"/>
  <c r="F846" i="2"/>
  <c r="G846" i="2"/>
  <c r="J845" i="2"/>
  <c r="N845" i="2"/>
  <c r="A845" i="2"/>
  <c r="M845" i="2"/>
  <c r="L845" i="2"/>
  <c r="H845" i="2"/>
  <c r="K845" i="2"/>
  <c r="B845" i="2"/>
  <c r="C845" i="2"/>
  <c r="I845" i="2"/>
  <c r="D845" i="2"/>
  <c r="E845" i="2"/>
  <c r="F845" i="2"/>
  <c r="G845" i="2"/>
  <c r="J844" i="2"/>
  <c r="N844" i="2"/>
  <c r="A844" i="2"/>
  <c r="M844" i="2"/>
  <c r="L844" i="2"/>
  <c r="H844" i="2"/>
  <c r="K844" i="2"/>
  <c r="B844" i="2"/>
  <c r="C844" i="2"/>
  <c r="I844" i="2"/>
  <c r="D844" i="2"/>
  <c r="E844" i="2"/>
  <c r="F844" i="2"/>
  <c r="G844" i="2"/>
  <c r="J843" i="2"/>
  <c r="N843" i="2"/>
  <c r="A843" i="2"/>
  <c r="M843" i="2"/>
  <c r="L843" i="2"/>
  <c r="H843" i="2"/>
  <c r="K843" i="2"/>
  <c r="B843" i="2"/>
  <c r="C843" i="2"/>
  <c r="I843" i="2"/>
  <c r="D843" i="2"/>
  <c r="E843" i="2"/>
  <c r="F843" i="2"/>
  <c r="G843" i="2"/>
  <c r="J842" i="2"/>
  <c r="N842" i="2"/>
  <c r="A842" i="2"/>
  <c r="M842" i="2"/>
  <c r="L842" i="2"/>
  <c r="H842" i="2"/>
  <c r="K842" i="2"/>
  <c r="B842" i="2"/>
  <c r="C842" i="2"/>
  <c r="I842" i="2"/>
  <c r="D842" i="2"/>
  <c r="E842" i="2"/>
  <c r="F842" i="2"/>
  <c r="G842" i="2"/>
  <c r="J841" i="2"/>
  <c r="N841" i="2"/>
  <c r="A841" i="2"/>
  <c r="M841" i="2"/>
  <c r="L841" i="2"/>
  <c r="H841" i="2"/>
  <c r="K841" i="2"/>
  <c r="B841" i="2"/>
  <c r="C841" i="2"/>
  <c r="I841" i="2"/>
  <c r="D841" i="2"/>
  <c r="E841" i="2"/>
  <c r="F841" i="2"/>
  <c r="G841" i="2"/>
  <c r="J840" i="2"/>
  <c r="N840" i="2"/>
  <c r="A840" i="2"/>
  <c r="M840" i="2"/>
  <c r="L840" i="2"/>
  <c r="H840" i="2"/>
  <c r="K840" i="2"/>
  <c r="B840" i="2"/>
  <c r="C840" i="2"/>
  <c r="I840" i="2"/>
  <c r="D840" i="2"/>
  <c r="E840" i="2"/>
  <c r="F840" i="2"/>
  <c r="G840" i="2"/>
  <c r="J839" i="2"/>
  <c r="N839" i="2"/>
  <c r="A839" i="2"/>
  <c r="M839" i="2"/>
  <c r="L839" i="2"/>
  <c r="H839" i="2"/>
  <c r="K839" i="2"/>
  <c r="B839" i="2"/>
  <c r="C839" i="2"/>
  <c r="I839" i="2"/>
  <c r="D839" i="2"/>
  <c r="E839" i="2"/>
  <c r="F839" i="2"/>
  <c r="G839" i="2"/>
  <c r="J838" i="2"/>
  <c r="N838" i="2"/>
  <c r="A838" i="2"/>
  <c r="M838" i="2"/>
  <c r="L838" i="2"/>
  <c r="H838" i="2"/>
  <c r="K838" i="2"/>
  <c r="B838" i="2"/>
  <c r="C838" i="2"/>
  <c r="I838" i="2"/>
  <c r="D838" i="2"/>
  <c r="E838" i="2"/>
  <c r="F838" i="2"/>
  <c r="G838" i="2"/>
  <c r="J837" i="2"/>
  <c r="N837" i="2"/>
  <c r="A837" i="2"/>
  <c r="M837" i="2"/>
  <c r="L837" i="2"/>
  <c r="H837" i="2"/>
  <c r="K837" i="2"/>
  <c r="B837" i="2"/>
  <c r="C837" i="2"/>
  <c r="I837" i="2"/>
  <c r="D837" i="2"/>
  <c r="E837" i="2"/>
  <c r="F837" i="2"/>
  <c r="G837" i="2"/>
  <c r="J836" i="2"/>
  <c r="N836" i="2"/>
  <c r="A836" i="2"/>
  <c r="M836" i="2"/>
  <c r="L836" i="2"/>
  <c r="H836" i="2"/>
  <c r="K836" i="2"/>
  <c r="B836" i="2"/>
  <c r="C836" i="2"/>
  <c r="I836" i="2"/>
  <c r="D836" i="2"/>
  <c r="E836" i="2"/>
  <c r="F836" i="2"/>
  <c r="G836" i="2"/>
  <c r="J835" i="2"/>
  <c r="N835" i="2"/>
  <c r="A835" i="2"/>
  <c r="M835" i="2"/>
  <c r="L835" i="2"/>
  <c r="H835" i="2"/>
  <c r="K835" i="2"/>
  <c r="B835" i="2"/>
  <c r="C835" i="2"/>
  <c r="I835" i="2"/>
  <c r="D835" i="2"/>
  <c r="E835" i="2"/>
  <c r="F835" i="2"/>
  <c r="G835" i="2"/>
  <c r="J834" i="2"/>
  <c r="N834" i="2"/>
  <c r="A834" i="2"/>
  <c r="M834" i="2"/>
  <c r="L834" i="2"/>
  <c r="H834" i="2"/>
  <c r="K834" i="2"/>
  <c r="B834" i="2"/>
  <c r="C834" i="2"/>
  <c r="I834" i="2"/>
  <c r="D834" i="2"/>
  <c r="E834" i="2"/>
  <c r="F834" i="2"/>
  <c r="G834" i="2"/>
  <c r="J833" i="2"/>
  <c r="N833" i="2"/>
  <c r="A833" i="2"/>
  <c r="M833" i="2"/>
  <c r="L833" i="2"/>
  <c r="H833" i="2"/>
  <c r="K833" i="2"/>
  <c r="B833" i="2"/>
  <c r="C833" i="2"/>
  <c r="I833" i="2"/>
  <c r="D833" i="2"/>
  <c r="E833" i="2"/>
  <c r="F833" i="2"/>
  <c r="G833" i="2"/>
  <c r="J832" i="2"/>
  <c r="N832" i="2"/>
  <c r="A832" i="2"/>
  <c r="M832" i="2"/>
  <c r="L832" i="2"/>
  <c r="H832" i="2"/>
  <c r="K832" i="2"/>
  <c r="B832" i="2"/>
  <c r="C832" i="2"/>
  <c r="I832" i="2"/>
  <c r="D832" i="2"/>
  <c r="E832" i="2"/>
  <c r="F832" i="2"/>
  <c r="G832" i="2"/>
  <c r="J831" i="2"/>
  <c r="N831" i="2"/>
  <c r="A831" i="2"/>
  <c r="M831" i="2"/>
  <c r="L831" i="2"/>
  <c r="H831" i="2"/>
  <c r="K831" i="2"/>
  <c r="B831" i="2"/>
  <c r="C831" i="2"/>
  <c r="I831" i="2"/>
  <c r="D831" i="2"/>
  <c r="E831" i="2"/>
  <c r="F831" i="2"/>
  <c r="G831" i="2"/>
  <c r="J830" i="2"/>
  <c r="N830" i="2"/>
  <c r="A830" i="2"/>
  <c r="M830" i="2"/>
  <c r="L830" i="2"/>
  <c r="H830" i="2"/>
  <c r="K830" i="2"/>
  <c r="B830" i="2"/>
  <c r="C830" i="2"/>
  <c r="I830" i="2"/>
  <c r="D830" i="2"/>
  <c r="E830" i="2"/>
  <c r="F830" i="2"/>
  <c r="G830" i="2"/>
  <c r="J829" i="2"/>
  <c r="N829" i="2"/>
  <c r="A829" i="2"/>
  <c r="M829" i="2"/>
  <c r="L829" i="2"/>
  <c r="H829" i="2"/>
  <c r="K829" i="2"/>
  <c r="B829" i="2"/>
  <c r="C829" i="2"/>
  <c r="I829" i="2"/>
  <c r="D829" i="2"/>
  <c r="E829" i="2"/>
  <c r="F829" i="2"/>
  <c r="G829" i="2"/>
  <c r="J828" i="2"/>
  <c r="N828" i="2"/>
  <c r="A828" i="2"/>
  <c r="M828" i="2"/>
  <c r="L828" i="2"/>
  <c r="H828" i="2"/>
  <c r="K828" i="2"/>
  <c r="B828" i="2"/>
  <c r="C828" i="2"/>
  <c r="I828" i="2"/>
  <c r="D828" i="2"/>
  <c r="E828" i="2"/>
  <c r="F828" i="2"/>
  <c r="G828" i="2"/>
  <c r="J827" i="2"/>
  <c r="N827" i="2"/>
  <c r="A827" i="2"/>
  <c r="M827" i="2"/>
  <c r="L827" i="2"/>
  <c r="H827" i="2"/>
  <c r="K827" i="2"/>
  <c r="B827" i="2"/>
  <c r="C827" i="2"/>
  <c r="I827" i="2"/>
  <c r="D827" i="2"/>
  <c r="E827" i="2"/>
  <c r="F827" i="2"/>
  <c r="G827" i="2"/>
  <c r="J826" i="2"/>
  <c r="N826" i="2"/>
  <c r="A826" i="2"/>
  <c r="M826" i="2"/>
  <c r="L826" i="2"/>
  <c r="H826" i="2"/>
  <c r="K826" i="2"/>
  <c r="B826" i="2"/>
  <c r="C826" i="2"/>
  <c r="I826" i="2"/>
  <c r="D826" i="2"/>
  <c r="E826" i="2"/>
  <c r="F826" i="2"/>
  <c r="G826" i="2"/>
  <c r="J825" i="2"/>
  <c r="N825" i="2"/>
  <c r="A825" i="2"/>
  <c r="M825" i="2"/>
  <c r="L825" i="2"/>
  <c r="H825" i="2"/>
  <c r="K825" i="2"/>
  <c r="B825" i="2"/>
  <c r="C825" i="2"/>
  <c r="I825" i="2"/>
  <c r="D825" i="2"/>
  <c r="E825" i="2"/>
  <c r="F825" i="2"/>
  <c r="G825" i="2"/>
  <c r="J824" i="2"/>
  <c r="N824" i="2"/>
  <c r="A824" i="2"/>
  <c r="M824" i="2"/>
  <c r="L824" i="2"/>
  <c r="H824" i="2"/>
  <c r="K824" i="2"/>
  <c r="B824" i="2"/>
  <c r="C824" i="2"/>
  <c r="I824" i="2"/>
  <c r="D824" i="2"/>
  <c r="E824" i="2"/>
  <c r="F824" i="2"/>
  <c r="G824" i="2"/>
  <c r="J823" i="2"/>
  <c r="N823" i="2"/>
  <c r="A823" i="2"/>
  <c r="M823" i="2"/>
  <c r="L823" i="2"/>
  <c r="H823" i="2"/>
  <c r="K823" i="2"/>
  <c r="B823" i="2"/>
  <c r="C823" i="2"/>
  <c r="I823" i="2"/>
  <c r="D823" i="2"/>
  <c r="E823" i="2"/>
  <c r="F823" i="2"/>
  <c r="G823" i="2"/>
  <c r="J822" i="2"/>
  <c r="N822" i="2"/>
  <c r="A822" i="2"/>
  <c r="M822" i="2"/>
  <c r="L822" i="2"/>
  <c r="H822" i="2"/>
  <c r="K822" i="2"/>
  <c r="B822" i="2"/>
  <c r="C822" i="2"/>
  <c r="I822" i="2"/>
  <c r="D822" i="2"/>
  <c r="E822" i="2"/>
  <c r="F822" i="2"/>
  <c r="G822" i="2"/>
  <c r="J821" i="2"/>
  <c r="N821" i="2"/>
  <c r="A821" i="2"/>
  <c r="M821" i="2"/>
  <c r="L821" i="2"/>
  <c r="H821" i="2"/>
  <c r="K821" i="2"/>
  <c r="B821" i="2"/>
  <c r="C821" i="2"/>
  <c r="I821" i="2"/>
  <c r="D821" i="2"/>
  <c r="E821" i="2"/>
  <c r="F821" i="2"/>
  <c r="G821" i="2"/>
  <c r="J820" i="2"/>
  <c r="N820" i="2"/>
  <c r="A820" i="2"/>
  <c r="M820" i="2"/>
  <c r="L820" i="2"/>
  <c r="H820" i="2"/>
  <c r="K820" i="2"/>
  <c r="B820" i="2"/>
  <c r="C820" i="2"/>
  <c r="I820" i="2"/>
  <c r="D820" i="2"/>
  <c r="E820" i="2"/>
  <c r="F820" i="2"/>
  <c r="G820" i="2"/>
  <c r="J819" i="2"/>
  <c r="N819" i="2"/>
  <c r="A819" i="2"/>
  <c r="M819" i="2"/>
  <c r="L819" i="2"/>
  <c r="H819" i="2"/>
  <c r="K819" i="2"/>
  <c r="B819" i="2"/>
  <c r="C819" i="2"/>
  <c r="I819" i="2"/>
  <c r="D819" i="2"/>
  <c r="E819" i="2"/>
  <c r="F819" i="2"/>
  <c r="G819" i="2"/>
  <c r="J818" i="2"/>
  <c r="N818" i="2"/>
  <c r="A818" i="2"/>
  <c r="M818" i="2"/>
  <c r="L818" i="2"/>
  <c r="H818" i="2"/>
  <c r="K818" i="2"/>
  <c r="B818" i="2"/>
  <c r="C818" i="2"/>
  <c r="I818" i="2"/>
  <c r="D818" i="2"/>
  <c r="E818" i="2"/>
  <c r="F818" i="2"/>
  <c r="G818" i="2"/>
  <c r="J817" i="2"/>
  <c r="N817" i="2"/>
  <c r="A817" i="2"/>
  <c r="M817" i="2"/>
  <c r="L817" i="2"/>
  <c r="H817" i="2"/>
  <c r="K817" i="2"/>
  <c r="B817" i="2"/>
  <c r="C817" i="2"/>
  <c r="I817" i="2"/>
  <c r="D817" i="2"/>
  <c r="E817" i="2"/>
  <c r="F817" i="2"/>
  <c r="G817" i="2"/>
  <c r="J816" i="2"/>
  <c r="N816" i="2"/>
  <c r="A816" i="2"/>
  <c r="M816" i="2"/>
  <c r="L816" i="2"/>
  <c r="H816" i="2"/>
  <c r="K816" i="2"/>
  <c r="B816" i="2"/>
  <c r="C816" i="2"/>
  <c r="I816" i="2"/>
  <c r="D816" i="2"/>
  <c r="E816" i="2"/>
  <c r="F816" i="2"/>
  <c r="G816" i="2"/>
  <c r="J815" i="2"/>
  <c r="N815" i="2"/>
  <c r="A815" i="2"/>
  <c r="M815" i="2"/>
  <c r="L815" i="2"/>
  <c r="H815" i="2"/>
  <c r="K815" i="2"/>
  <c r="B815" i="2"/>
  <c r="C815" i="2"/>
  <c r="I815" i="2"/>
  <c r="D815" i="2"/>
  <c r="E815" i="2"/>
  <c r="F815" i="2"/>
  <c r="G815" i="2"/>
  <c r="J814" i="2"/>
  <c r="N814" i="2"/>
  <c r="A814" i="2"/>
  <c r="M814" i="2"/>
  <c r="L814" i="2"/>
  <c r="H814" i="2"/>
  <c r="K814" i="2"/>
  <c r="B814" i="2"/>
  <c r="C814" i="2"/>
  <c r="I814" i="2"/>
  <c r="D814" i="2"/>
  <c r="E814" i="2"/>
  <c r="F814" i="2"/>
  <c r="G814" i="2"/>
  <c r="J813" i="2"/>
  <c r="N813" i="2"/>
  <c r="A813" i="2"/>
  <c r="M813" i="2"/>
  <c r="L813" i="2"/>
  <c r="H813" i="2"/>
  <c r="K813" i="2"/>
  <c r="B813" i="2"/>
  <c r="C813" i="2"/>
  <c r="I813" i="2"/>
  <c r="D813" i="2"/>
  <c r="E813" i="2"/>
  <c r="F813" i="2"/>
  <c r="G813" i="2"/>
  <c r="J812" i="2"/>
  <c r="N812" i="2"/>
  <c r="A812" i="2"/>
  <c r="M812" i="2"/>
  <c r="L812" i="2"/>
  <c r="H812" i="2"/>
  <c r="K812" i="2"/>
  <c r="B812" i="2"/>
  <c r="C812" i="2"/>
  <c r="I812" i="2"/>
  <c r="D812" i="2"/>
  <c r="E812" i="2"/>
  <c r="F812" i="2"/>
  <c r="G812" i="2"/>
  <c r="J811" i="2"/>
  <c r="N811" i="2"/>
  <c r="A811" i="2"/>
  <c r="M811" i="2"/>
  <c r="L811" i="2"/>
  <c r="H811" i="2"/>
  <c r="K811" i="2"/>
  <c r="B811" i="2"/>
  <c r="C811" i="2"/>
  <c r="I811" i="2"/>
  <c r="D811" i="2"/>
  <c r="E811" i="2"/>
  <c r="F811" i="2"/>
  <c r="G811" i="2"/>
  <c r="J810" i="2"/>
  <c r="N810" i="2"/>
  <c r="A810" i="2"/>
  <c r="M810" i="2"/>
  <c r="L810" i="2"/>
  <c r="H810" i="2"/>
  <c r="K810" i="2"/>
  <c r="B810" i="2"/>
  <c r="C810" i="2"/>
  <c r="I810" i="2"/>
  <c r="D810" i="2"/>
  <c r="E810" i="2"/>
  <c r="F810" i="2"/>
  <c r="G810" i="2"/>
  <c r="J809" i="2"/>
  <c r="N809" i="2"/>
  <c r="A809" i="2"/>
  <c r="M809" i="2"/>
  <c r="L809" i="2"/>
  <c r="H809" i="2"/>
  <c r="K809" i="2"/>
  <c r="B809" i="2"/>
  <c r="C809" i="2"/>
  <c r="I809" i="2"/>
  <c r="D809" i="2"/>
  <c r="E809" i="2"/>
  <c r="F809" i="2"/>
  <c r="G809" i="2"/>
  <c r="J808" i="2"/>
  <c r="N808" i="2"/>
  <c r="A808" i="2"/>
  <c r="M808" i="2"/>
  <c r="L808" i="2"/>
  <c r="H808" i="2"/>
  <c r="K808" i="2"/>
  <c r="B808" i="2"/>
  <c r="C808" i="2"/>
  <c r="I808" i="2"/>
  <c r="D808" i="2"/>
  <c r="E808" i="2"/>
  <c r="F808" i="2"/>
  <c r="G808" i="2"/>
  <c r="J807" i="2"/>
  <c r="N807" i="2"/>
  <c r="A807" i="2"/>
  <c r="M807" i="2"/>
  <c r="L807" i="2"/>
  <c r="H807" i="2"/>
  <c r="K807" i="2"/>
  <c r="B807" i="2"/>
  <c r="C807" i="2"/>
  <c r="I807" i="2"/>
  <c r="D807" i="2"/>
  <c r="E807" i="2"/>
  <c r="F807" i="2"/>
  <c r="G807" i="2"/>
  <c r="J806" i="2"/>
  <c r="N806" i="2"/>
  <c r="A806" i="2"/>
  <c r="M806" i="2"/>
  <c r="L806" i="2"/>
  <c r="H806" i="2"/>
  <c r="K806" i="2"/>
  <c r="B806" i="2"/>
  <c r="C806" i="2"/>
  <c r="I806" i="2"/>
  <c r="D806" i="2"/>
  <c r="E806" i="2"/>
  <c r="F806" i="2"/>
  <c r="G806" i="2"/>
  <c r="J805" i="2"/>
  <c r="N805" i="2"/>
  <c r="A805" i="2"/>
  <c r="M805" i="2"/>
  <c r="L805" i="2"/>
  <c r="H805" i="2"/>
  <c r="K805" i="2"/>
  <c r="B805" i="2"/>
  <c r="C805" i="2"/>
  <c r="I805" i="2"/>
  <c r="D805" i="2"/>
  <c r="E805" i="2"/>
  <c r="F805" i="2"/>
  <c r="G805" i="2"/>
  <c r="J804" i="2"/>
  <c r="N804" i="2"/>
  <c r="A804" i="2"/>
  <c r="M804" i="2"/>
  <c r="L804" i="2"/>
  <c r="H804" i="2"/>
  <c r="K804" i="2"/>
  <c r="B804" i="2"/>
  <c r="C804" i="2"/>
  <c r="I804" i="2"/>
  <c r="D804" i="2"/>
  <c r="E804" i="2"/>
  <c r="F804" i="2"/>
  <c r="G804" i="2"/>
  <c r="J803" i="2"/>
  <c r="N803" i="2"/>
  <c r="A803" i="2"/>
  <c r="M803" i="2"/>
  <c r="L803" i="2"/>
  <c r="H803" i="2"/>
  <c r="K803" i="2"/>
  <c r="B803" i="2"/>
  <c r="C803" i="2"/>
  <c r="I803" i="2"/>
  <c r="D803" i="2"/>
  <c r="E803" i="2"/>
  <c r="F803" i="2"/>
  <c r="G803" i="2"/>
  <c r="J802" i="2"/>
  <c r="N802" i="2"/>
  <c r="A802" i="2"/>
  <c r="M802" i="2"/>
  <c r="L802" i="2"/>
  <c r="H802" i="2"/>
  <c r="K802" i="2"/>
  <c r="B802" i="2"/>
  <c r="C802" i="2"/>
  <c r="I802" i="2"/>
  <c r="D802" i="2"/>
  <c r="E802" i="2"/>
  <c r="F802" i="2"/>
  <c r="G802" i="2"/>
  <c r="J801" i="2"/>
  <c r="N801" i="2"/>
  <c r="A801" i="2"/>
  <c r="M801" i="2"/>
  <c r="L801" i="2"/>
  <c r="H801" i="2"/>
  <c r="K801" i="2"/>
  <c r="B801" i="2"/>
  <c r="C801" i="2"/>
  <c r="I801" i="2"/>
  <c r="D801" i="2"/>
  <c r="E801" i="2"/>
  <c r="F801" i="2"/>
  <c r="G801" i="2"/>
  <c r="J800" i="2"/>
  <c r="N800" i="2"/>
  <c r="A800" i="2"/>
  <c r="M800" i="2"/>
  <c r="L800" i="2"/>
  <c r="H800" i="2"/>
  <c r="K800" i="2"/>
  <c r="B800" i="2"/>
  <c r="C800" i="2"/>
  <c r="I800" i="2"/>
  <c r="D800" i="2"/>
  <c r="E800" i="2"/>
  <c r="F800" i="2"/>
  <c r="G800" i="2"/>
  <c r="J799" i="2"/>
  <c r="N799" i="2"/>
  <c r="A799" i="2"/>
  <c r="M799" i="2"/>
  <c r="L799" i="2"/>
  <c r="H799" i="2"/>
  <c r="K799" i="2"/>
  <c r="B799" i="2"/>
  <c r="C799" i="2"/>
  <c r="I799" i="2"/>
  <c r="D799" i="2"/>
  <c r="E799" i="2"/>
  <c r="F799" i="2"/>
  <c r="G799" i="2"/>
  <c r="J798" i="2"/>
  <c r="N798" i="2"/>
  <c r="A798" i="2"/>
  <c r="M798" i="2"/>
  <c r="L798" i="2"/>
  <c r="H798" i="2"/>
  <c r="K798" i="2"/>
  <c r="B798" i="2"/>
  <c r="C798" i="2"/>
  <c r="I798" i="2"/>
  <c r="D798" i="2"/>
  <c r="E798" i="2"/>
  <c r="F798" i="2"/>
  <c r="G798" i="2"/>
  <c r="J797" i="2"/>
  <c r="N797" i="2"/>
  <c r="A797" i="2"/>
  <c r="M797" i="2"/>
  <c r="L797" i="2"/>
  <c r="H797" i="2"/>
  <c r="K797" i="2"/>
  <c r="B797" i="2"/>
  <c r="C797" i="2"/>
  <c r="I797" i="2"/>
  <c r="D797" i="2"/>
  <c r="E797" i="2"/>
  <c r="F797" i="2"/>
  <c r="G797" i="2"/>
  <c r="J796" i="2"/>
  <c r="N796" i="2"/>
  <c r="A796" i="2"/>
  <c r="M796" i="2"/>
  <c r="L796" i="2"/>
  <c r="H796" i="2"/>
  <c r="K796" i="2"/>
  <c r="B796" i="2"/>
  <c r="C796" i="2"/>
  <c r="I796" i="2"/>
  <c r="D796" i="2"/>
  <c r="E796" i="2"/>
  <c r="F796" i="2"/>
  <c r="G796" i="2"/>
  <c r="J795" i="2"/>
  <c r="N795" i="2"/>
  <c r="A795" i="2"/>
  <c r="M795" i="2"/>
  <c r="L795" i="2"/>
  <c r="H795" i="2"/>
  <c r="K795" i="2"/>
  <c r="B795" i="2"/>
  <c r="C795" i="2"/>
  <c r="I795" i="2"/>
  <c r="D795" i="2"/>
  <c r="E795" i="2"/>
  <c r="F795" i="2"/>
  <c r="G795" i="2"/>
  <c r="J794" i="2"/>
  <c r="N794" i="2"/>
  <c r="A794" i="2"/>
  <c r="M794" i="2"/>
  <c r="L794" i="2"/>
  <c r="H794" i="2"/>
  <c r="K794" i="2"/>
  <c r="B794" i="2"/>
  <c r="C794" i="2"/>
  <c r="I794" i="2"/>
  <c r="D794" i="2"/>
  <c r="E794" i="2"/>
  <c r="F794" i="2"/>
  <c r="G794" i="2"/>
  <c r="J793" i="2"/>
  <c r="N793" i="2"/>
  <c r="A793" i="2"/>
  <c r="M793" i="2"/>
  <c r="L793" i="2"/>
  <c r="H793" i="2"/>
  <c r="K793" i="2"/>
  <c r="B793" i="2"/>
  <c r="C793" i="2"/>
  <c r="I793" i="2"/>
  <c r="D793" i="2"/>
  <c r="E793" i="2"/>
  <c r="F793" i="2"/>
  <c r="G793" i="2"/>
  <c r="J792" i="2"/>
  <c r="N792" i="2"/>
  <c r="A792" i="2"/>
  <c r="M792" i="2"/>
  <c r="L792" i="2"/>
  <c r="H792" i="2"/>
  <c r="K792" i="2"/>
  <c r="B792" i="2"/>
  <c r="C792" i="2"/>
  <c r="I792" i="2"/>
  <c r="D792" i="2"/>
  <c r="E792" i="2"/>
  <c r="F792" i="2"/>
  <c r="G792" i="2"/>
  <c r="J791" i="2"/>
  <c r="N791" i="2"/>
  <c r="A791" i="2"/>
  <c r="M791" i="2"/>
  <c r="L791" i="2"/>
  <c r="H791" i="2"/>
  <c r="K791" i="2"/>
  <c r="B791" i="2"/>
  <c r="C791" i="2"/>
  <c r="I791" i="2"/>
  <c r="D791" i="2"/>
  <c r="E791" i="2"/>
  <c r="F791" i="2"/>
  <c r="G791" i="2"/>
  <c r="J790" i="2"/>
  <c r="N790" i="2"/>
  <c r="A790" i="2"/>
  <c r="M790" i="2"/>
  <c r="L790" i="2"/>
  <c r="H790" i="2"/>
  <c r="K790" i="2"/>
  <c r="B790" i="2"/>
  <c r="C790" i="2"/>
  <c r="I790" i="2"/>
  <c r="D790" i="2"/>
  <c r="E790" i="2"/>
  <c r="F790" i="2"/>
  <c r="G790" i="2"/>
  <c r="J789" i="2"/>
  <c r="N789" i="2"/>
  <c r="A789" i="2"/>
  <c r="M789" i="2"/>
  <c r="L789" i="2"/>
  <c r="H789" i="2"/>
  <c r="K789" i="2"/>
  <c r="B789" i="2"/>
  <c r="C789" i="2"/>
  <c r="I789" i="2"/>
  <c r="D789" i="2"/>
  <c r="E789" i="2"/>
  <c r="F789" i="2"/>
  <c r="G789" i="2"/>
  <c r="J788" i="2"/>
  <c r="N788" i="2"/>
  <c r="A788" i="2"/>
  <c r="M788" i="2"/>
  <c r="L788" i="2"/>
  <c r="H788" i="2"/>
  <c r="K788" i="2"/>
  <c r="B788" i="2"/>
  <c r="C788" i="2"/>
  <c r="I788" i="2"/>
  <c r="D788" i="2"/>
  <c r="E788" i="2"/>
  <c r="F788" i="2"/>
  <c r="G788" i="2"/>
  <c r="J787" i="2"/>
  <c r="N787" i="2"/>
  <c r="A787" i="2"/>
  <c r="M787" i="2"/>
  <c r="L787" i="2"/>
  <c r="H787" i="2"/>
  <c r="K787" i="2"/>
  <c r="B787" i="2"/>
  <c r="C787" i="2"/>
  <c r="I787" i="2"/>
  <c r="D787" i="2"/>
  <c r="E787" i="2"/>
  <c r="F787" i="2"/>
  <c r="G787" i="2"/>
  <c r="J786" i="2"/>
  <c r="N786" i="2"/>
  <c r="A786" i="2"/>
  <c r="M786" i="2"/>
  <c r="L786" i="2"/>
  <c r="H786" i="2"/>
  <c r="K786" i="2"/>
  <c r="B786" i="2"/>
  <c r="C786" i="2"/>
  <c r="I786" i="2"/>
  <c r="D786" i="2"/>
  <c r="E786" i="2"/>
  <c r="F786" i="2"/>
  <c r="G786" i="2"/>
  <c r="J785" i="2"/>
  <c r="N785" i="2"/>
  <c r="A785" i="2"/>
  <c r="M785" i="2"/>
  <c r="L785" i="2"/>
  <c r="H785" i="2"/>
  <c r="K785" i="2"/>
  <c r="B785" i="2"/>
  <c r="C785" i="2"/>
  <c r="I785" i="2"/>
  <c r="D785" i="2"/>
  <c r="E785" i="2"/>
  <c r="F785" i="2"/>
  <c r="G785" i="2"/>
  <c r="J784" i="2"/>
  <c r="N784" i="2"/>
  <c r="A784" i="2"/>
  <c r="M784" i="2"/>
  <c r="L784" i="2"/>
  <c r="H784" i="2"/>
  <c r="K784" i="2"/>
  <c r="B784" i="2"/>
  <c r="C784" i="2"/>
  <c r="I784" i="2"/>
  <c r="D784" i="2"/>
  <c r="E784" i="2"/>
  <c r="F784" i="2"/>
  <c r="G784" i="2"/>
  <c r="J783" i="2"/>
  <c r="N783" i="2"/>
  <c r="A783" i="2"/>
  <c r="M783" i="2"/>
  <c r="L783" i="2"/>
  <c r="H783" i="2"/>
  <c r="K783" i="2"/>
  <c r="B783" i="2"/>
  <c r="C783" i="2"/>
  <c r="I783" i="2"/>
  <c r="D783" i="2"/>
  <c r="E783" i="2"/>
  <c r="F783" i="2"/>
  <c r="G783" i="2"/>
  <c r="J782" i="2"/>
  <c r="N782" i="2"/>
  <c r="A782" i="2"/>
  <c r="M782" i="2"/>
  <c r="L782" i="2"/>
  <c r="H782" i="2"/>
  <c r="K782" i="2"/>
  <c r="B782" i="2"/>
  <c r="C782" i="2"/>
  <c r="I782" i="2"/>
  <c r="D782" i="2"/>
  <c r="E782" i="2"/>
  <c r="F782" i="2"/>
  <c r="G782" i="2"/>
  <c r="J781" i="2"/>
  <c r="N781" i="2"/>
  <c r="A781" i="2"/>
  <c r="M781" i="2"/>
  <c r="L781" i="2"/>
  <c r="H781" i="2"/>
  <c r="K781" i="2"/>
  <c r="B781" i="2"/>
  <c r="C781" i="2"/>
  <c r="I781" i="2"/>
  <c r="D781" i="2"/>
  <c r="E781" i="2"/>
  <c r="F781" i="2"/>
  <c r="G781" i="2"/>
  <c r="J780" i="2"/>
  <c r="N780" i="2"/>
  <c r="A780" i="2"/>
  <c r="M780" i="2"/>
  <c r="L780" i="2"/>
  <c r="H780" i="2"/>
  <c r="K780" i="2"/>
  <c r="B780" i="2"/>
  <c r="C780" i="2"/>
  <c r="I780" i="2"/>
  <c r="D780" i="2"/>
  <c r="E780" i="2"/>
  <c r="F780" i="2"/>
  <c r="G780" i="2"/>
  <c r="J779" i="2"/>
  <c r="N779" i="2"/>
  <c r="A779" i="2"/>
  <c r="M779" i="2"/>
  <c r="L779" i="2"/>
  <c r="H779" i="2"/>
  <c r="K779" i="2"/>
  <c r="B779" i="2"/>
  <c r="C779" i="2"/>
  <c r="I779" i="2"/>
  <c r="D779" i="2"/>
  <c r="E779" i="2"/>
  <c r="F779" i="2"/>
  <c r="G779" i="2"/>
  <c r="J778" i="2"/>
  <c r="N778" i="2"/>
  <c r="A778" i="2"/>
  <c r="M778" i="2"/>
  <c r="L778" i="2"/>
  <c r="H778" i="2"/>
  <c r="K778" i="2"/>
  <c r="B778" i="2"/>
  <c r="C778" i="2"/>
  <c r="I778" i="2"/>
  <c r="D778" i="2"/>
  <c r="E778" i="2"/>
  <c r="F778" i="2"/>
  <c r="G778" i="2"/>
  <c r="J777" i="2"/>
  <c r="N777" i="2"/>
  <c r="A777" i="2"/>
  <c r="M777" i="2"/>
  <c r="L777" i="2"/>
  <c r="H777" i="2"/>
  <c r="K777" i="2"/>
  <c r="B777" i="2"/>
  <c r="C777" i="2"/>
  <c r="I777" i="2"/>
  <c r="D777" i="2"/>
  <c r="E777" i="2"/>
  <c r="F777" i="2"/>
  <c r="G777" i="2"/>
  <c r="J776" i="2"/>
  <c r="N776" i="2"/>
  <c r="A776" i="2"/>
  <c r="M776" i="2"/>
  <c r="L776" i="2"/>
  <c r="H776" i="2"/>
  <c r="K776" i="2"/>
  <c r="B776" i="2"/>
  <c r="C776" i="2"/>
  <c r="I776" i="2"/>
  <c r="D776" i="2"/>
  <c r="E776" i="2"/>
  <c r="F776" i="2"/>
  <c r="G776" i="2"/>
  <c r="J775" i="2"/>
  <c r="N775" i="2"/>
  <c r="A775" i="2"/>
  <c r="M775" i="2"/>
  <c r="L775" i="2"/>
  <c r="H775" i="2"/>
  <c r="K775" i="2"/>
  <c r="B775" i="2"/>
  <c r="C775" i="2"/>
  <c r="I775" i="2"/>
  <c r="D775" i="2"/>
  <c r="E775" i="2"/>
  <c r="F775" i="2"/>
  <c r="G775" i="2"/>
  <c r="J774" i="2"/>
  <c r="N774" i="2"/>
  <c r="A774" i="2"/>
  <c r="M774" i="2"/>
  <c r="L774" i="2"/>
  <c r="H774" i="2"/>
  <c r="K774" i="2"/>
  <c r="B774" i="2"/>
  <c r="C774" i="2"/>
  <c r="I774" i="2"/>
  <c r="D774" i="2"/>
  <c r="E774" i="2"/>
  <c r="F774" i="2"/>
  <c r="G774" i="2"/>
  <c r="J773" i="2"/>
  <c r="N773" i="2"/>
  <c r="A773" i="2"/>
  <c r="M773" i="2"/>
  <c r="L773" i="2"/>
  <c r="H773" i="2"/>
  <c r="K773" i="2"/>
  <c r="B773" i="2"/>
  <c r="C773" i="2"/>
  <c r="I773" i="2"/>
  <c r="D773" i="2"/>
  <c r="E773" i="2"/>
  <c r="F773" i="2"/>
  <c r="G773" i="2"/>
  <c r="J772" i="2"/>
  <c r="N772" i="2"/>
  <c r="A772" i="2"/>
  <c r="M772" i="2"/>
  <c r="L772" i="2"/>
  <c r="H772" i="2"/>
  <c r="K772" i="2"/>
  <c r="B772" i="2"/>
  <c r="C772" i="2"/>
  <c r="I772" i="2"/>
  <c r="D772" i="2"/>
  <c r="E772" i="2"/>
  <c r="F772" i="2"/>
  <c r="G772" i="2"/>
  <c r="J771" i="2"/>
  <c r="N771" i="2"/>
  <c r="A771" i="2"/>
  <c r="M771" i="2"/>
  <c r="L771" i="2"/>
  <c r="H771" i="2"/>
  <c r="K771" i="2"/>
  <c r="B771" i="2"/>
  <c r="C771" i="2"/>
  <c r="I771" i="2"/>
  <c r="D771" i="2"/>
  <c r="E771" i="2"/>
  <c r="F771" i="2"/>
  <c r="G771" i="2"/>
  <c r="J770" i="2"/>
  <c r="N770" i="2"/>
  <c r="A770" i="2"/>
  <c r="M770" i="2"/>
  <c r="L770" i="2"/>
  <c r="H770" i="2"/>
  <c r="K770" i="2"/>
  <c r="B770" i="2"/>
  <c r="C770" i="2"/>
  <c r="I770" i="2"/>
  <c r="D770" i="2"/>
  <c r="E770" i="2"/>
  <c r="F770" i="2"/>
  <c r="G770" i="2"/>
  <c r="J769" i="2"/>
  <c r="N769" i="2"/>
  <c r="A769" i="2"/>
  <c r="M769" i="2"/>
  <c r="L769" i="2"/>
  <c r="H769" i="2"/>
  <c r="K769" i="2"/>
  <c r="B769" i="2"/>
  <c r="C769" i="2"/>
  <c r="I769" i="2"/>
  <c r="D769" i="2"/>
  <c r="E769" i="2"/>
  <c r="F769" i="2"/>
  <c r="G769" i="2"/>
  <c r="J768" i="2"/>
  <c r="N768" i="2"/>
  <c r="A768" i="2"/>
  <c r="M768" i="2"/>
  <c r="L768" i="2"/>
  <c r="H768" i="2"/>
  <c r="K768" i="2"/>
  <c r="B768" i="2"/>
  <c r="C768" i="2"/>
  <c r="I768" i="2"/>
  <c r="D768" i="2"/>
  <c r="E768" i="2"/>
  <c r="F768" i="2"/>
  <c r="G768" i="2"/>
  <c r="J767" i="2"/>
  <c r="N767" i="2"/>
  <c r="A767" i="2"/>
  <c r="M767" i="2"/>
  <c r="L767" i="2"/>
  <c r="H767" i="2"/>
  <c r="K767" i="2"/>
  <c r="B767" i="2"/>
  <c r="C767" i="2"/>
  <c r="I767" i="2"/>
  <c r="D767" i="2"/>
  <c r="E767" i="2"/>
  <c r="F767" i="2"/>
  <c r="G767" i="2"/>
  <c r="J766" i="2"/>
  <c r="N766" i="2"/>
  <c r="A766" i="2"/>
  <c r="M766" i="2"/>
  <c r="L766" i="2"/>
  <c r="H766" i="2"/>
  <c r="K766" i="2"/>
  <c r="B766" i="2"/>
  <c r="C766" i="2"/>
  <c r="I766" i="2"/>
  <c r="D766" i="2"/>
  <c r="E766" i="2"/>
  <c r="F766" i="2"/>
  <c r="G766" i="2"/>
  <c r="J765" i="2"/>
  <c r="N765" i="2"/>
  <c r="A765" i="2"/>
  <c r="M765" i="2"/>
  <c r="L765" i="2"/>
  <c r="H765" i="2"/>
  <c r="K765" i="2"/>
  <c r="B765" i="2"/>
  <c r="C765" i="2"/>
  <c r="I765" i="2"/>
  <c r="D765" i="2"/>
  <c r="E765" i="2"/>
  <c r="F765" i="2"/>
  <c r="G765" i="2"/>
  <c r="J764" i="2"/>
  <c r="N764" i="2"/>
  <c r="A764" i="2"/>
  <c r="M764" i="2"/>
  <c r="L764" i="2"/>
  <c r="H764" i="2"/>
  <c r="K764" i="2"/>
  <c r="B764" i="2"/>
  <c r="C764" i="2"/>
  <c r="I764" i="2"/>
  <c r="D764" i="2"/>
  <c r="E764" i="2"/>
  <c r="F764" i="2"/>
  <c r="G764" i="2"/>
  <c r="J763" i="2"/>
  <c r="N763" i="2"/>
  <c r="A763" i="2"/>
  <c r="M763" i="2"/>
  <c r="L763" i="2"/>
  <c r="H763" i="2"/>
  <c r="K763" i="2"/>
  <c r="B763" i="2"/>
  <c r="C763" i="2"/>
  <c r="I763" i="2"/>
  <c r="D763" i="2"/>
  <c r="E763" i="2"/>
  <c r="F763" i="2"/>
  <c r="G763" i="2"/>
  <c r="J762" i="2"/>
  <c r="N762" i="2"/>
  <c r="A762" i="2"/>
  <c r="M762" i="2"/>
  <c r="L762" i="2"/>
  <c r="H762" i="2"/>
  <c r="K762" i="2"/>
  <c r="B762" i="2"/>
  <c r="C762" i="2"/>
  <c r="I762" i="2"/>
  <c r="D762" i="2"/>
  <c r="E762" i="2"/>
  <c r="F762" i="2"/>
  <c r="G762" i="2"/>
  <c r="J761" i="2"/>
  <c r="N761" i="2"/>
  <c r="A761" i="2"/>
  <c r="M761" i="2"/>
  <c r="L761" i="2"/>
  <c r="H761" i="2"/>
  <c r="K761" i="2"/>
  <c r="B761" i="2"/>
  <c r="C761" i="2"/>
  <c r="I761" i="2"/>
  <c r="D761" i="2"/>
  <c r="E761" i="2"/>
  <c r="F761" i="2"/>
  <c r="G761" i="2"/>
  <c r="J760" i="2"/>
  <c r="N760" i="2"/>
  <c r="A760" i="2"/>
  <c r="M760" i="2"/>
  <c r="L760" i="2"/>
  <c r="H760" i="2"/>
  <c r="K760" i="2"/>
  <c r="B760" i="2"/>
  <c r="C760" i="2"/>
  <c r="I760" i="2"/>
  <c r="D760" i="2"/>
  <c r="E760" i="2"/>
  <c r="F760" i="2"/>
  <c r="G760" i="2"/>
  <c r="J759" i="2"/>
  <c r="N759" i="2"/>
  <c r="A759" i="2"/>
  <c r="M759" i="2"/>
  <c r="L759" i="2"/>
  <c r="H759" i="2"/>
  <c r="K759" i="2"/>
  <c r="B759" i="2"/>
  <c r="C759" i="2"/>
  <c r="I759" i="2"/>
  <c r="D759" i="2"/>
  <c r="E759" i="2"/>
  <c r="F759" i="2"/>
  <c r="G759" i="2"/>
  <c r="J758" i="2"/>
  <c r="N758" i="2"/>
  <c r="A758" i="2"/>
  <c r="M758" i="2"/>
  <c r="L758" i="2"/>
  <c r="H758" i="2"/>
  <c r="K758" i="2"/>
  <c r="B758" i="2"/>
  <c r="C758" i="2"/>
  <c r="I758" i="2"/>
  <c r="D758" i="2"/>
  <c r="E758" i="2"/>
  <c r="F758" i="2"/>
  <c r="G758" i="2"/>
  <c r="J757" i="2"/>
  <c r="N757" i="2"/>
  <c r="A757" i="2"/>
  <c r="M757" i="2"/>
  <c r="L757" i="2"/>
  <c r="H757" i="2"/>
  <c r="K757" i="2"/>
  <c r="B757" i="2"/>
  <c r="C757" i="2"/>
  <c r="I757" i="2"/>
  <c r="D757" i="2"/>
  <c r="E757" i="2"/>
  <c r="F757" i="2"/>
  <c r="G757" i="2"/>
  <c r="J756" i="2"/>
  <c r="N756" i="2"/>
  <c r="A756" i="2"/>
  <c r="M756" i="2"/>
  <c r="L756" i="2"/>
  <c r="H756" i="2"/>
  <c r="K756" i="2"/>
  <c r="B756" i="2"/>
  <c r="C756" i="2"/>
  <c r="I756" i="2"/>
  <c r="D756" i="2"/>
  <c r="E756" i="2"/>
  <c r="F756" i="2"/>
  <c r="G756" i="2"/>
  <c r="J755" i="2"/>
  <c r="N755" i="2"/>
  <c r="A755" i="2"/>
  <c r="M755" i="2"/>
  <c r="L755" i="2"/>
  <c r="H755" i="2"/>
  <c r="K755" i="2"/>
  <c r="B755" i="2"/>
  <c r="C755" i="2"/>
  <c r="I755" i="2"/>
  <c r="D755" i="2"/>
  <c r="E755" i="2"/>
  <c r="F755" i="2"/>
  <c r="G755" i="2"/>
  <c r="J754" i="2"/>
  <c r="N754" i="2"/>
  <c r="A754" i="2"/>
  <c r="M754" i="2"/>
  <c r="L754" i="2"/>
  <c r="H754" i="2"/>
  <c r="K754" i="2"/>
  <c r="B754" i="2"/>
  <c r="C754" i="2"/>
  <c r="I754" i="2"/>
  <c r="D754" i="2"/>
  <c r="E754" i="2"/>
  <c r="F754" i="2"/>
  <c r="G754" i="2"/>
  <c r="J753" i="2"/>
  <c r="N753" i="2"/>
  <c r="A753" i="2"/>
  <c r="M753" i="2"/>
  <c r="L753" i="2"/>
  <c r="H753" i="2"/>
  <c r="K753" i="2"/>
  <c r="B753" i="2"/>
  <c r="C753" i="2"/>
  <c r="I753" i="2"/>
  <c r="D753" i="2"/>
  <c r="E753" i="2"/>
  <c r="F753" i="2"/>
  <c r="G753" i="2"/>
  <c r="J752" i="2"/>
  <c r="N752" i="2"/>
  <c r="A752" i="2"/>
  <c r="M752" i="2"/>
  <c r="L752" i="2"/>
  <c r="H752" i="2"/>
  <c r="K752" i="2"/>
  <c r="B752" i="2"/>
  <c r="C752" i="2"/>
  <c r="I752" i="2"/>
  <c r="D752" i="2"/>
  <c r="E752" i="2"/>
  <c r="F752" i="2"/>
  <c r="G752" i="2"/>
  <c r="J751" i="2"/>
  <c r="N751" i="2"/>
  <c r="A751" i="2"/>
  <c r="M751" i="2"/>
  <c r="L751" i="2"/>
  <c r="H751" i="2"/>
  <c r="K751" i="2"/>
  <c r="B751" i="2"/>
  <c r="C751" i="2"/>
  <c r="I751" i="2"/>
  <c r="D751" i="2"/>
  <c r="E751" i="2"/>
  <c r="F751" i="2"/>
  <c r="G751" i="2"/>
  <c r="J750" i="2"/>
  <c r="N750" i="2"/>
  <c r="A750" i="2"/>
  <c r="M750" i="2"/>
  <c r="L750" i="2"/>
  <c r="H750" i="2"/>
  <c r="K750" i="2"/>
  <c r="B750" i="2"/>
  <c r="C750" i="2"/>
  <c r="I750" i="2"/>
  <c r="D750" i="2"/>
  <c r="E750" i="2"/>
  <c r="F750" i="2"/>
  <c r="G750" i="2"/>
  <c r="J749" i="2"/>
  <c r="N749" i="2"/>
  <c r="A749" i="2"/>
  <c r="M749" i="2"/>
  <c r="L749" i="2"/>
  <c r="H749" i="2"/>
  <c r="K749" i="2"/>
  <c r="B749" i="2"/>
  <c r="C749" i="2"/>
  <c r="I749" i="2"/>
  <c r="D749" i="2"/>
  <c r="E749" i="2"/>
  <c r="F749" i="2"/>
  <c r="G749" i="2"/>
  <c r="J748" i="2"/>
  <c r="N748" i="2"/>
  <c r="A748" i="2"/>
  <c r="M748" i="2"/>
  <c r="L748" i="2"/>
  <c r="H748" i="2"/>
  <c r="K748" i="2"/>
  <c r="B748" i="2"/>
  <c r="C748" i="2"/>
  <c r="I748" i="2"/>
  <c r="D748" i="2"/>
  <c r="E748" i="2"/>
  <c r="F748" i="2"/>
  <c r="G748" i="2"/>
  <c r="J747" i="2"/>
  <c r="N747" i="2"/>
  <c r="A747" i="2"/>
  <c r="M747" i="2"/>
  <c r="L747" i="2"/>
  <c r="H747" i="2"/>
  <c r="K747" i="2"/>
  <c r="B747" i="2"/>
  <c r="C747" i="2"/>
  <c r="I747" i="2"/>
  <c r="D747" i="2"/>
  <c r="E747" i="2"/>
  <c r="F747" i="2"/>
  <c r="G747" i="2"/>
  <c r="J746" i="2"/>
  <c r="N746" i="2"/>
  <c r="A746" i="2"/>
  <c r="M746" i="2"/>
  <c r="L746" i="2"/>
  <c r="H746" i="2"/>
  <c r="K746" i="2"/>
  <c r="B746" i="2"/>
  <c r="C746" i="2"/>
  <c r="I746" i="2"/>
  <c r="D746" i="2"/>
  <c r="E746" i="2"/>
  <c r="F746" i="2"/>
  <c r="G746" i="2"/>
  <c r="J745" i="2"/>
  <c r="N745" i="2"/>
  <c r="A745" i="2"/>
  <c r="M745" i="2"/>
  <c r="L745" i="2"/>
  <c r="H745" i="2"/>
  <c r="K745" i="2"/>
  <c r="B745" i="2"/>
  <c r="C745" i="2"/>
  <c r="I745" i="2"/>
  <c r="D745" i="2"/>
  <c r="E745" i="2"/>
  <c r="F745" i="2"/>
  <c r="G745" i="2"/>
  <c r="J744" i="2"/>
  <c r="N744" i="2"/>
  <c r="A744" i="2"/>
  <c r="M744" i="2"/>
  <c r="L744" i="2"/>
  <c r="H744" i="2"/>
  <c r="K744" i="2"/>
  <c r="B744" i="2"/>
  <c r="C744" i="2"/>
  <c r="I744" i="2"/>
  <c r="D744" i="2"/>
  <c r="E744" i="2"/>
  <c r="F744" i="2"/>
  <c r="G744" i="2"/>
  <c r="J743" i="2"/>
  <c r="N743" i="2"/>
  <c r="A743" i="2"/>
  <c r="M743" i="2"/>
  <c r="L743" i="2"/>
  <c r="H743" i="2"/>
  <c r="K743" i="2"/>
  <c r="B743" i="2"/>
  <c r="C743" i="2"/>
  <c r="I743" i="2"/>
  <c r="D743" i="2"/>
  <c r="E743" i="2"/>
  <c r="F743" i="2"/>
  <c r="G743" i="2"/>
  <c r="J742" i="2"/>
  <c r="N742" i="2"/>
  <c r="A742" i="2"/>
  <c r="M742" i="2"/>
  <c r="L742" i="2"/>
  <c r="H742" i="2"/>
  <c r="K742" i="2"/>
  <c r="B742" i="2"/>
  <c r="C742" i="2"/>
  <c r="I742" i="2"/>
  <c r="D742" i="2"/>
  <c r="E742" i="2"/>
  <c r="F742" i="2"/>
  <c r="G742" i="2"/>
  <c r="J741" i="2"/>
  <c r="N741" i="2"/>
  <c r="A741" i="2"/>
  <c r="M741" i="2"/>
  <c r="L741" i="2"/>
  <c r="H741" i="2"/>
  <c r="K741" i="2"/>
  <c r="B741" i="2"/>
  <c r="C741" i="2"/>
  <c r="I741" i="2"/>
  <c r="D741" i="2"/>
  <c r="E741" i="2"/>
  <c r="F741" i="2"/>
  <c r="G741" i="2"/>
  <c r="J740" i="2"/>
  <c r="N740" i="2"/>
  <c r="A740" i="2"/>
  <c r="M740" i="2"/>
  <c r="L740" i="2"/>
  <c r="H740" i="2"/>
  <c r="K740" i="2"/>
  <c r="B740" i="2"/>
  <c r="C740" i="2"/>
  <c r="I740" i="2"/>
  <c r="D740" i="2"/>
  <c r="E740" i="2"/>
  <c r="F740" i="2"/>
  <c r="G740" i="2"/>
  <c r="J739" i="2"/>
  <c r="N739" i="2"/>
  <c r="A739" i="2"/>
  <c r="M739" i="2"/>
  <c r="L739" i="2"/>
  <c r="H739" i="2"/>
  <c r="K739" i="2"/>
  <c r="B739" i="2"/>
  <c r="C739" i="2"/>
  <c r="I739" i="2"/>
  <c r="D739" i="2"/>
  <c r="E739" i="2"/>
  <c r="F739" i="2"/>
  <c r="G739" i="2"/>
  <c r="J738" i="2"/>
  <c r="N738" i="2"/>
  <c r="A738" i="2"/>
  <c r="M738" i="2"/>
  <c r="L738" i="2"/>
  <c r="H738" i="2"/>
  <c r="K738" i="2"/>
  <c r="B738" i="2"/>
  <c r="C738" i="2"/>
  <c r="I738" i="2"/>
  <c r="D738" i="2"/>
  <c r="E738" i="2"/>
  <c r="F738" i="2"/>
  <c r="G738" i="2"/>
  <c r="J737" i="2"/>
  <c r="N737" i="2"/>
  <c r="A737" i="2"/>
  <c r="M737" i="2"/>
  <c r="L737" i="2"/>
  <c r="H737" i="2"/>
  <c r="K737" i="2"/>
  <c r="B737" i="2"/>
  <c r="C737" i="2"/>
  <c r="I737" i="2"/>
  <c r="D737" i="2"/>
  <c r="E737" i="2"/>
  <c r="F737" i="2"/>
  <c r="G737" i="2"/>
  <c r="J736" i="2"/>
  <c r="N736" i="2"/>
  <c r="A736" i="2"/>
  <c r="M736" i="2"/>
  <c r="L736" i="2"/>
  <c r="H736" i="2"/>
  <c r="K736" i="2"/>
  <c r="B736" i="2"/>
  <c r="C736" i="2"/>
  <c r="I736" i="2"/>
  <c r="D736" i="2"/>
  <c r="E736" i="2"/>
  <c r="F736" i="2"/>
  <c r="G736" i="2"/>
  <c r="J735" i="2"/>
  <c r="N735" i="2"/>
  <c r="A735" i="2"/>
  <c r="M735" i="2"/>
  <c r="L735" i="2"/>
  <c r="H735" i="2"/>
  <c r="K735" i="2"/>
  <c r="B735" i="2"/>
  <c r="C735" i="2"/>
  <c r="I735" i="2"/>
  <c r="D735" i="2"/>
  <c r="E735" i="2"/>
  <c r="F735" i="2"/>
  <c r="G735" i="2"/>
  <c r="J734" i="2"/>
  <c r="N734" i="2"/>
  <c r="A734" i="2"/>
  <c r="M734" i="2"/>
  <c r="L734" i="2"/>
  <c r="H734" i="2"/>
  <c r="K734" i="2"/>
  <c r="B734" i="2"/>
  <c r="C734" i="2"/>
  <c r="I734" i="2"/>
  <c r="D734" i="2"/>
  <c r="E734" i="2"/>
  <c r="F734" i="2"/>
  <c r="G734" i="2"/>
  <c r="J733" i="2"/>
  <c r="N733" i="2"/>
  <c r="A733" i="2"/>
  <c r="M733" i="2"/>
  <c r="L733" i="2"/>
  <c r="H733" i="2"/>
  <c r="K733" i="2"/>
  <c r="B733" i="2"/>
  <c r="C733" i="2"/>
  <c r="I733" i="2"/>
  <c r="D733" i="2"/>
  <c r="E733" i="2"/>
  <c r="F733" i="2"/>
  <c r="G733" i="2"/>
  <c r="J732" i="2"/>
  <c r="N732" i="2"/>
  <c r="A732" i="2"/>
  <c r="M732" i="2"/>
  <c r="L732" i="2"/>
  <c r="H732" i="2"/>
  <c r="K732" i="2"/>
  <c r="B732" i="2"/>
  <c r="C732" i="2"/>
  <c r="I732" i="2"/>
  <c r="D732" i="2"/>
  <c r="E732" i="2"/>
  <c r="F732" i="2"/>
  <c r="G732" i="2"/>
  <c r="J731" i="2"/>
  <c r="N731" i="2"/>
  <c r="A731" i="2"/>
  <c r="M731" i="2"/>
  <c r="L731" i="2"/>
  <c r="H731" i="2"/>
  <c r="K731" i="2"/>
  <c r="B731" i="2"/>
  <c r="C731" i="2"/>
  <c r="I731" i="2"/>
  <c r="D731" i="2"/>
  <c r="E731" i="2"/>
  <c r="F731" i="2"/>
  <c r="G731" i="2"/>
  <c r="J730" i="2"/>
  <c r="N730" i="2"/>
  <c r="A730" i="2"/>
  <c r="M730" i="2"/>
  <c r="L730" i="2"/>
  <c r="H730" i="2"/>
  <c r="K730" i="2"/>
  <c r="B730" i="2"/>
  <c r="C730" i="2"/>
  <c r="I730" i="2"/>
  <c r="D730" i="2"/>
  <c r="E730" i="2"/>
  <c r="F730" i="2"/>
  <c r="G730" i="2"/>
  <c r="J729" i="2"/>
  <c r="N729" i="2"/>
  <c r="A729" i="2"/>
  <c r="M729" i="2"/>
  <c r="L729" i="2"/>
  <c r="H729" i="2"/>
  <c r="K729" i="2"/>
  <c r="B729" i="2"/>
  <c r="C729" i="2"/>
  <c r="I729" i="2"/>
  <c r="D729" i="2"/>
  <c r="E729" i="2"/>
  <c r="F729" i="2"/>
  <c r="G729" i="2"/>
  <c r="J728" i="2"/>
  <c r="N728" i="2"/>
  <c r="A728" i="2"/>
  <c r="M728" i="2"/>
  <c r="L728" i="2"/>
  <c r="H728" i="2"/>
  <c r="K728" i="2"/>
  <c r="B728" i="2"/>
  <c r="C728" i="2"/>
  <c r="I728" i="2"/>
  <c r="D728" i="2"/>
  <c r="E728" i="2"/>
  <c r="F728" i="2"/>
  <c r="G728" i="2"/>
  <c r="J727" i="2"/>
  <c r="N727" i="2"/>
  <c r="A727" i="2"/>
  <c r="M727" i="2"/>
  <c r="L727" i="2"/>
  <c r="H727" i="2"/>
  <c r="K727" i="2"/>
  <c r="B727" i="2"/>
  <c r="C727" i="2"/>
  <c r="I727" i="2"/>
  <c r="D727" i="2"/>
  <c r="E727" i="2"/>
  <c r="F727" i="2"/>
  <c r="G727" i="2"/>
  <c r="J726" i="2"/>
  <c r="N726" i="2"/>
  <c r="A726" i="2"/>
  <c r="M726" i="2"/>
  <c r="L726" i="2"/>
  <c r="H726" i="2"/>
  <c r="K726" i="2"/>
  <c r="B726" i="2"/>
  <c r="C726" i="2"/>
  <c r="I726" i="2"/>
  <c r="D726" i="2"/>
  <c r="E726" i="2"/>
  <c r="F726" i="2"/>
  <c r="G726" i="2"/>
  <c r="J725" i="2"/>
  <c r="N725" i="2"/>
  <c r="A725" i="2"/>
  <c r="M725" i="2"/>
  <c r="L725" i="2"/>
  <c r="H725" i="2"/>
  <c r="K725" i="2"/>
  <c r="B725" i="2"/>
  <c r="C725" i="2"/>
  <c r="I725" i="2"/>
  <c r="D725" i="2"/>
  <c r="E725" i="2"/>
  <c r="F725" i="2"/>
  <c r="G725" i="2"/>
  <c r="J724" i="2"/>
  <c r="N724" i="2"/>
  <c r="A724" i="2"/>
  <c r="M724" i="2"/>
  <c r="L724" i="2"/>
  <c r="H724" i="2"/>
  <c r="K724" i="2"/>
  <c r="B724" i="2"/>
  <c r="C724" i="2"/>
  <c r="I724" i="2"/>
  <c r="D724" i="2"/>
  <c r="E724" i="2"/>
  <c r="F724" i="2"/>
  <c r="G724" i="2"/>
  <c r="J723" i="2"/>
  <c r="N723" i="2"/>
  <c r="A723" i="2"/>
  <c r="M723" i="2"/>
  <c r="L723" i="2"/>
  <c r="H723" i="2"/>
  <c r="K723" i="2"/>
  <c r="B723" i="2"/>
  <c r="C723" i="2"/>
  <c r="I723" i="2"/>
  <c r="D723" i="2"/>
  <c r="E723" i="2"/>
  <c r="F723" i="2"/>
  <c r="G723" i="2"/>
  <c r="J722" i="2"/>
  <c r="N722" i="2"/>
  <c r="A722" i="2"/>
  <c r="M722" i="2"/>
  <c r="L722" i="2"/>
  <c r="H722" i="2"/>
  <c r="K722" i="2"/>
  <c r="B722" i="2"/>
  <c r="C722" i="2"/>
  <c r="I722" i="2"/>
  <c r="D722" i="2"/>
  <c r="E722" i="2"/>
  <c r="F722" i="2"/>
  <c r="G722" i="2"/>
  <c r="J721" i="2"/>
  <c r="N721" i="2"/>
  <c r="A721" i="2"/>
  <c r="M721" i="2"/>
  <c r="L721" i="2"/>
  <c r="H721" i="2"/>
  <c r="K721" i="2"/>
  <c r="B721" i="2"/>
  <c r="C721" i="2"/>
  <c r="I721" i="2"/>
  <c r="D721" i="2"/>
  <c r="E721" i="2"/>
  <c r="F721" i="2"/>
  <c r="G721" i="2"/>
  <c r="J720" i="2"/>
  <c r="N720" i="2"/>
  <c r="A720" i="2"/>
  <c r="M720" i="2"/>
  <c r="L720" i="2"/>
  <c r="H720" i="2"/>
  <c r="K720" i="2"/>
  <c r="B720" i="2"/>
  <c r="C720" i="2"/>
  <c r="I720" i="2"/>
  <c r="D720" i="2"/>
  <c r="E720" i="2"/>
  <c r="F720" i="2"/>
  <c r="G720" i="2"/>
  <c r="J719" i="2"/>
  <c r="N719" i="2"/>
  <c r="A719" i="2"/>
  <c r="M719" i="2"/>
  <c r="L719" i="2"/>
  <c r="H719" i="2"/>
  <c r="K719" i="2"/>
  <c r="B719" i="2"/>
  <c r="C719" i="2"/>
  <c r="I719" i="2"/>
  <c r="D719" i="2"/>
  <c r="E719" i="2"/>
  <c r="F719" i="2"/>
  <c r="G719" i="2"/>
  <c r="J718" i="2"/>
  <c r="N718" i="2"/>
  <c r="A718" i="2"/>
  <c r="M718" i="2"/>
  <c r="L718" i="2"/>
  <c r="H718" i="2"/>
  <c r="K718" i="2"/>
  <c r="B718" i="2"/>
  <c r="C718" i="2"/>
  <c r="I718" i="2"/>
  <c r="D718" i="2"/>
  <c r="E718" i="2"/>
  <c r="F718" i="2"/>
  <c r="G718" i="2"/>
  <c r="J717" i="2"/>
  <c r="N717" i="2"/>
  <c r="A717" i="2"/>
  <c r="M717" i="2"/>
  <c r="L717" i="2"/>
  <c r="H717" i="2"/>
  <c r="K717" i="2"/>
  <c r="B717" i="2"/>
  <c r="C717" i="2"/>
  <c r="I717" i="2"/>
  <c r="D717" i="2"/>
  <c r="E717" i="2"/>
  <c r="F717" i="2"/>
  <c r="G717" i="2"/>
  <c r="J716" i="2"/>
  <c r="N716" i="2"/>
  <c r="A716" i="2"/>
  <c r="M716" i="2"/>
  <c r="L716" i="2"/>
  <c r="H716" i="2"/>
  <c r="K716" i="2"/>
  <c r="B716" i="2"/>
  <c r="C716" i="2"/>
  <c r="I716" i="2"/>
  <c r="D716" i="2"/>
  <c r="E716" i="2"/>
  <c r="F716" i="2"/>
  <c r="G716" i="2"/>
  <c r="J715" i="2"/>
  <c r="N715" i="2"/>
  <c r="A715" i="2"/>
  <c r="M715" i="2"/>
  <c r="L715" i="2"/>
  <c r="H715" i="2"/>
  <c r="K715" i="2"/>
  <c r="B715" i="2"/>
  <c r="C715" i="2"/>
  <c r="I715" i="2"/>
  <c r="D715" i="2"/>
  <c r="E715" i="2"/>
  <c r="F715" i="2"/>
  <c r="G715" i="2"/>
  <c r="J714" i="2"/>
  <c r="N714" i="2"/>
  <c r="A714" i="2"/>
  <c r="M714" i="2"/>
  <c r="L714" i="2"/>
  <c r="H714" i="2"/>
  <c r="K714" i="2"/>
  <c r="B714" i="2"/>
  <c r="C714" i="2"/>
  <c r="I714" i="2"/>
  <c r="D714" i="2"/>
  <c r="E714" i="2"/>
  <c r="F714" i="2"/>
  <c r="G714" i="2"/>
  <c r="J713" i="2"/>
  <c r="N713" i="2"/>
  <c r="A713" i="2"/>
  <c r="M713" i="2"/>
  <c r="L713" i="2"/>
  <c r="H713" i="2"/>
  <c r="K713" i="2"/>
  <c r="B713" i="2"/>
  <c r="C713" i="2"/>
  <c r="I713" i="2"/>
  <c r="D713" i="2"/>
  <c r="E713" i="2"/>
  <c r="F713" i="2"/>
  <c r="G713" i="2"/>
  <c r="J712" i="2"/>
  <c r="N712" i="2"/>
  <c r="A712" i="2"/>
  <c r="M712" i="2"/>
  <c r="L712" i="2"/>
  <c r="H712" i="2"/>
  <c r="K712" i="2"/>
  <c r="B712" i="2"/>
  <c r="C712" i="2"/>
  <c r="I712" i="2"/>
  <c r="D712" i="2"/>
  <c r="E712" i="2"/>
  <c r="F712" i="2"/>
  <c r="G712" i="2"/>
  <c r="J711" i="2"/>
  <c r="N711" i="2"/>
  <c r="A711" i="2"/>
  <c r="M711" i="2"/>
  <c r="L711" i="2"/>
  <c r="H711" i="2"/>
  <c r="K711" i="2"/>
  <c r="B711" i="2"/>
  <c r="C711" i="2"/>
  <c r="I711" i="2"/>
  <c r="D711" i="2"/>
  <c r="E711" i="2"/>
  <c r="F711" i="2"/>
  <c r="G711" i="2"/>
  <c r="J710" i="2"/>
  <c r="N710" i="2"/>
  <c r="A710" i="2"/>
  <c r="M710" i="2"/>
  <c r="L710" i="2"/>
  <c r="H710" i="2"/>
  <c r="K710" i="2"/>
  <c r="B710" i="2"/>
  <c r="C710" i="2"/>
  <c r="I710" i="2"/>
  <c r="D710" i="2"/>
  <c r="E710" i="2"/>
  <c r="F710" i="2"/>
  <c r="G710" i="2"/>
  <c r="J709" i="2"/>
  <c r="N709" i="2"/>
  <c r="A709" i="2"/>
  <c r="M709" i="2"/>
  <c r="L709" i="2"/>
  <c r="H709" i="2"/>
  <c r="K709" i="2"/>
  <c r="B709" i="2"/>
  <c r="C709" i="2"/>
  <c r="I709" i="2"/>
  <c r="D709" i="2"/>
  <c r="E709" i="2"/>
  <c r="F709" i="2"/>
  <c r="G709" i="2"/>
  <c r="J708" i="2"/>
  <c r="N708" i="2"/>
  <c r="A708" i="2"/>
  <c r="M708" i="2"/>
  <c r="L708" i="2"/>
  <c r="H708" i="2"/>
  <c r="K708" i="2"/>
  <c r="B708" i="2"/>
  <c r="C708" i="2"/>
  <c r="I708" i="2"/>
  <c r="D708" i="2"/>
  <c r="E708" i="2"/>
  <c r="F708" i="2"/>
  <c r="G708" i="2"/>
  <c r="J707" i="2"/>
  <c r="N707" i="2"/>
  <c r="A707" i="2"/>
  <c r="M707" i="2"/>
  <c r="L707" i="2"/>
  <c r="H707" i="2"/>
  <c r="K707" i="2"/>
  <c r="B707" i="2"/>
  <c r="C707" i="2"/>
  <c r="I707" i="2"/>
  <c r="D707" i="2"/>
  <c r="E707" i="2"/>
  <c r="F707" i="2"/>
  <c r="G707" i="2"/>
  <c r="J706" i="2"/>
  <c r="N706" i="2"/>
  <c r="A706" i="2"/>
  <c r="M706" i="2"/>
  <c r="L706" i="2"/>
  <c r="H706" i="2"/>
  <c r="K706" i="2"/>
  <c r="B706" i="2"/>
  <c r="C706" i="2"/>
  <c r="I706" i="2"/>
  <c r="D706" i="2"/>
  <c r="E706" i="2"/>
  <c r="F706" i="2"/>
  <c r="G706" i="2"/>
  <c r="J705" i="2"/>
  <c r="N705" i="2"/>
  <c r="A705" i="2"/>
  <c r="M705" i="2"/>
  <c r="L705" i="2"/>
  <c r="H705" i="2"/>
  <c r="K705" i="2"/>
  <c r="B705" i="2"/>
  <c r="C705" i="2"/>
  <c r="I705" i="2"/>
  <c r="D705" i="2"/>
  <c r="E705" i="2"/>
  <c r="F705" i="2"/>
  <c r="G705" i="2"/>
  <c r="J704" i="2"/>
  <c r="N704" i="2"/>
  <c r="A704" i="2"/>
  <c r="M704" i="2"/>
  <c r="L704" i="2"/>
  <c r="H704" i="2"/>
  <c r="K704" i="2"/>
  <c r="B704" i="2"/>
  <c r="C704" i="2"/>
  <c r="I704" i="2"/>
  <c r="D704" i="2"/>
  <c r="E704" i="2"/>
  <c r="F704" i="2"/>
  <c r="G704" i="2"/>
  <c r="J703" i="2"/>
  <c r="N703" i="2"/>
  <c r="A703" i="2"/>
  <c r="M703" i="2"/>
  <c r="L703" i="2"/>
  <c r="H703" i="2"/>
  <c r="K703" i="2"/>
  <c r="B703" i="2"/>
  <c r="C703" i="2"/>
  <c r="I703" i="2"/>
  <c r="D703" i="2"/>
  <c r="E703" i="2"/>
  <c r="F703" i="2"/>
  <c r="G703" i="2"/>
  <c r="J702" i="2"/>
  <c r="N702" i="2"/>
  <c r="A702" i="2"/>
  <c r="M702" i="2"/>
  <c r="L702" i="2"/>
  <c r="H702" i="2"/>
  <c r="K702" i="2"/>
  <c r="B702" i="2"/>
  <c r="C702" i="2"/>
  <c r="I702" i="2"/>
  <c r="D702" i="2"/>
  <c r="E702" i="2"/>
  <c r="F702" i="2"/>
  <c r="G702" i="2"/>
  <c r="J701" i="2"/>
  <c r="N701" i="2"/>
  <c r="A701" i="2"/>
  <c r="M701" i="2"/>
  <c r="L701" i="2"/>
  <c r="H701" i="2"/>
  <c r="K701" i="2"/>
  <c r="B701" i="2"/>
  <c r="C701" i="2"/>
  <c r="I701" i="2"/>
  <c r="D701" i="2"/>
  <c r="E701" i="2"/>
  <c r="F701" i="2"/>
  <c r="G701" i="2"/>
  <c r="J700" i="2"/>
  <c r="N700" i="2"/>
  <c r="A700" i="2"/>
  <c r="M700" i="2"/>
  <c r="L700" i="2"/>
  <c r="H700" i="2"/>
  <c r="K700" i="2"/>
  <c r="B700" i="2"/>
  <c r="C700" i="2"/>
  <c r="I700" i="2"/>
  <c r="D700" i="2"/>
  <c r="E700" i="2"/>
  <c r="F700" i="2"/>
  <c r="G700" i="2"/>
  <c r="J699" i="2"/>
  <c r="N699" i="2"/>
  <c r="A699" i="2"/>
  <c r="M699" i="2"/>
  <c r="L699" i="2"/>
  <c r="H699" i="2"/>
  <c r="K699" i="2"/>
  <c r="B699" i="2"/>
  <c r="C699" i="2"/>
  <c r="I699" i="2"/>
  <c r="D699" i="2"/>
  <c r="E699" i="2"/>
  <c r="F699" i="2"/>
  <c r="G699" i="2"/>
  <c r="J698" i="2"/>
  <c r="N698" i="2"/>
  <c r="A698" i="2"/>
  <c r="M698" i="2"/>
  <c r="L698" i="2"/>
  <c r="H698" i="2"/>
  <c r="K698" i="2"/>
  <c r="B698" i="2"/>
  <c r="C698" i="2"/>
  <c r="I698" i="2"/>
  <c r="D698" i="2"/>
  <c r="E698" i="2"/>
  <c r="F698" i="2"/>
  <c r="G698" i="2"/>
  <c r="J697" i="2"/>
  <c r="N697" i="2"/>
  <c r="A697" i="2"/>
  <c r="M697" i="2"/>
  <c r="L697" i="2"/>
  <c r="H697" i="2"/>
  <c r="K697" i="2"/>
  <c r="B697" i="2"/>
  <c r="C697" i="2"/>
  <c r="I697" i="2"/>
  <c r="D697" i="2"/>
  <c r="E697" i="2"/>
  <c r="F697" i="2"/>
  <c r="G697" i="2"/>
  <c r="J696" i="2"/>
  <c r="N696" i="2"/>
  <c r="A696" i="2"/>
  <c r="M696" i="2"/>
  <c r="L696" i="2"/>
  <c r="H696" i="2"/>
  <c r="K696" i="2"/>
  <c r="B696" i="2"/>
  <c r="C696" i="2"/>
  <c r="I696" i="2"/>
  <c r="D696" i="2"/>
  <c r="E696" i="2"/>
  <c r="F696" i="2"/>
  <c r="G696" i="2"/>
  <c r="J695" i="2"/>
  <c r="N695" i="2"/>
  <c r="A695" i="2"/>
  <c r="M695" i="2"/>
  <c r="L695" i="2"/>
  <c r="H695" i="2"/>
  <c r="K695" i="2"/>
  <c r="B695" i="2"/>
  <c r="C695" i="2"/>
  <c r="I695" i="2"/>
  <c r="D695" i="2"/>
  <c r="E695" i="2"/>
  <c r="F695" i="2"/>
  <c r="G695" i="2"/>
  <c r="J694" i="2"/>
  <c r="N694" i="2"/>
  <c r="A694" i="2"/>
  <c r="M694" i="2"/>
  <c r="L694" i="2"/>
  <c r="H694" i="2"/>
  <c r="K694" i="2"/>
  <c r="B694" i="2"/>
  <c r="C694" i="2"/>
  <c r="I694" i="2"/>
  <c r="D694" i="2"/>
  <c r="E694" i="2"/>
  <c r="F694" i="2"/>
  <c r="G694" i="2"/>
  <c r="J693" i="2"/>
  <c r="N693" i="2"/>
  <c r="A693" i="2"/>
  <c r="M693" i="2"/>
  <c r="L693" i="2"/>
  <c r="H693" i="2"/>
  <c r="K693" i="2"/>
  <c r="B693" i="2"/>
  <c r="C693" i="2"/>
  <c r="I693" i="2"/>
  <c r="D693" i="2"/>
  <c r="E693" i="2"/>
  <c r="F693" i="2"/>
  <c r="G693" i="2"/>
  <c r="J692" i="2"/>
  <c r="N692" i="2"/>
  <c r="A692" i="2"/>
  <c r="M692" i="2"/>
  <c r="L692" i="2"/>
  <c r="H692" i="2"/>
  <c r="K692" i="2"/>
  <c r="B692" i="2"/>
  <c r="C692" i="2"/>
  <c r="I692" i="2"/>
  <c r="D692" i="2"/>
  <c r="E692" i="2"/>
  <c r="F692" i="2"/>
  <c r="G692" i="2"/>
  <c r="J691" i="2"/>
  <c r="N691" i="2"/>
  <c r="A691" i="2"/>
  <c r="M691" i="2"/>
  <c r="L691" i="2"/>
  <c r="H691" i="2"/>
  <c r="K691" i="2"/>
  <c r="B691" i="2"/>
  <c r="C691" i="2"/>
  <c r="I691" i="2"/>
  <c r="D691" i="2"/>
  <c r="E691" i="2"/>
  <c r="F691" i="2"/>
  <c r="G691" i="2"/>
  <c r="J690" i="2"/>
  <c r="N690" i="2"/>
  <c r="A690" i="2"/>
  <c r="M690" i="2"/>
  <c r="L690" i="2"/>
  <c r="H690" i="2"/>
  <c r="K690" i="2"/>
  <c r="B690" i="2"/>
  <c r="C690" i="2"/>
  <c r="I690" i="2"/>
  <c r="D690" i="2"/>
  <c r="E690" i="2"/>
  <c r="F690" i="2"/>
  <c r="G690" i="2"/>
  <c r="J689" i="2"/>
  <c r="N689" i="2"/>
  <c r="A689" i="2"/>
  <c r="M689" i="2"/>
  <c r="L689" i="2"/>
  <c r="H689" i="2"/>
  <c r="K689" i="2"/>
  <c r="B689" i="2"/>
  <c r="C689" i="2"/>
  <c r="I689" i="2"/>
  <c r="D689" i="2"/>
  <c r="E689" i="2"/>
  <c r="F689" i="2"/>
  <c r="G689" i="2"/>
  <c r="J688" i="2"/>
  <c r="N688" i="2"/>
  <c r="A688" i="2"/>
  <c r="M688" i="2"/>
  <c r="L688" i="2"/>
  <c r="H688" i="2"/>
  <c r="K688" i="2"/>
  <c r="B688" i="2"/>
  <c r="C688" i="2"/>
  <c r="I688" i="2"/>
  <c r="D688" i="2"/>
  <c r="E688" i="2"/>
  <c r="F688" i="2"/>
  <c r="G688" i="2"/>
  <c r="J687" i="2"/>
  <c r="N687" i="2"/>
  <c r="A687" i="2"/>
  <c r="M687" i="2"/>
  <c r="L687" i="2"/>
  <c r="H687" i="2"/>
  <c r="K687" i="2"/>
  <c r="B687" i="2"/>
  <c r="C687" i="2"/>
  <c r="I687" i="2"/>
  <c r="D687" i="2"/>
  <c r="E687" i="2"/>
  <c r="F687" i="2"/>
  <c r="G687" i="2"/>
  <c r="J686" i="2"/>
  <c r="N686" i="2"/>
  <c r="A686" i="2"/>
  <c r="M686" i="2"/>
  <c r="L686" i="2"/>
  <c r="H686" i="2"/>
  <c r="K686" i="2"/>
  <c r="B686" i="2"/>
  <c r="C686" i="2"/>
  <c r="I686" i="2"/>
  <c r="D686" i="2"/>
  <c r="E686" i="2"/>
  <c r="F686" i="2"/>
  <c r="G686" i="2"/>
  <c r="J685" i="2"/>
  <c r="N685" i="2"/>
  <c r="A685" i="2"/>
  <c r="M685" i="2"/>
  <c r="L685" i="2"/>
  <c r="H685" i="2"/>
  <c r="K685" i="2"/>
  <c r="B685" i="2"/>
  <c r="C685" i="2"/>
  <c r="I685" i="2"/>
  <c r="D685" i="2"/>
  <c r="E685" i="2"/>
  <c r="F685" i="2"/>
  <c r="G685" i="2"/>
  <c r="J684" i="2"/>
  <c r="N684" i="2"/>
  <c r="A684" i="2"/>
  <c r="M684" i="2"/>
  <c r="L684" i="2"/>
  <c r="H684" i="2"/>
  <c r="K684" i="2"/>
  <c r="B684" i="2"/>
  <c r="C684" i="2"/>
  <c r="I684" i="2"/>
  <c r="D684" i="2"/>
  <c r="E684" i="2"/>
  <c r="F684" i="2"/>
  <c r="G684" i="2"/>
  <c r="J683" i="2"/>
  <c r="N683" i="2"/>
  <c r="A683" i="2"/>
  <c r="M683" i="2"/>
  <c r="L683" i="2"/>
  <c r="H683" i="2"/>
  <c r="K683" i="2"/>
  <c r="B683" i="2"/>
  <c r="C683" i="2"/>
  <c r="I683" i="2"/>
  <c r="D683" i="2"/>
  <c r="E683" i="2"/>
  <c r="F683" i="2"/>
  <c r="G683" i="2"/>
  <c r="J682" i="2"/>
  <c r="N682" i="2"/>
  <c r="A682" i="2"/>
  <c r="M682" i="2"/>
  <c r="L682" i="2"/>
  <c r="H682" i="2"/>
  <c r="K682" i="2"/>
  <c r="B682" i="2"/>
  <c r="C682" i="2"/>
  <c r="I682" i="2"/>
  <c r="D682" i="2"/>
  <c r="E682" i="2"/>
  <c r="F682" i="2"/>
  <c r="G682" i="2"/>
  <c r="J681" i="2"/>
  <c r="N681" i="2"/>
  <c r="A681" i="2"/>
  <c r="M681" i="2"/>
  <c r="L681" i="2"/>
  <c r="H681" i="2"/>
  <c r="K681" i="2"/>
  <c r="B681" i="2"/>
  <c r="C681" i="2"/>
  <c r="I681" i="2"/>
  <c r="D681" i="2"/>
  <c r="E681" i="2"/>
  <c r="F681" i="2"/>
  <c r="G681" i="2"/>
  <c r="J680" i="2"/>
  <c r="N680" i="2"/>
  <c r="A680" i="2"/>
  <c r="M680" i="2"/>
  <c r="L680" i="2"/>
  <c r="H680" i="2"/>
  <c r="K680" i="2"/>
  <c r="B680" i="2"/>
  <c r="C680" i="2"/>
  <c r="I680" i="2"/>
  <c r="D680" i="2"/>
  <c r="E680" i="2"/>
  <c r="F680" i="2"/>
  <c r="G680" i="2"/>
  <c r="J679" i="2"/>
  <c r="N679" i="2"/>
  <c r="A679" i="2"/>
  <c r="M679" i="2"/>
  <c r="L679" i="2"/>
  <c r="H679" i="2"/>
  <c r="K679" i="2"/>
  <c r="B679" i="2"/>
  <c r="C679" i="2"/>
  <c r="I679" i="2"/>
  <c r="D679" i="2"/>
  <c r="E679" i="2"/>
  <c r="F679" i="2"/>
  <c r="G679" i="2"/>
  <c r="J678" i="2"/>
  <c r="N678" i="2"/>
  <c r="A678" i="2"/>
  <c r="M678" i="2"/>
  <c r="L678" i="2"/>
  <c r="H678" i="2"/>
  <c r="K678" i="2"/>
  <c r="B678" i="2"/>
  <c r="C678" i="2"/>
  <c r="I678" i="2"/>
  <c r="D678" i="2"/>
  <c r="E678" i="2"/>
  <c r="F678" i="2"/>
  <c r="G678" i="2"/>
  <c r="J677" i="2"/>
  <c r="N677" i="2"/>
  <c r="A677" i="2"/>
  <c r="M677" i="2"/>
  <c r="L677" i="2"/>
  <c r="H677" i="2"/>
  <c r="K677" i="2"/>
  <c r="B677" i="2"/>
  <c r="C677" i="2"/>
  <c r="I677" i="2"/>
  <c r="D677" i="2"/>
  <c r="E677" i="2"/>
  <c r="F677" i="2"/>
  <c r="G677" i="2"/>
  <c r="J676" i="2"/>
  <c r="N676" i="2"/>
  <c r="A676" i="2"/>
  <c r="M676" i="2"/>
  <c r="L676" i="2"/>
  <c r="H676" i="2"/>
  <c r="K676" i="2"/>
  <c r="B676" i="2"/>
  <c r="C676" i="2"/>
  <c r="I676" i="2"/>
  <c r="D676" i="2"/>
  <c r="E676" i="2"/>
  <c r="F676" i="2"/>
  <c r="G676" i="2"/>
  <c r="J675" i="2"/>
  <c r="N675" i="2"/>
  <c r="A675" i="2"/>
  <c r="M675" i="2"/>
  <c r="L675" i="2"/>
  <c r="H675" i="2"/>
  <c r="K675" i="2"/>
  <c r="B675" i="2"/>
  <c r="C675" i="2"/>
  <c r="I675" i="2"/>
  <c r="D675" i="2"/>
  <c r="E675" i="2"/>
  <c r="F675" i="2"/>
  <c r="G675" i="2"/>
  <c r="J674" i="2"/>
  <c r="N674" i="2"/>
  <c r="A674" i="2"/>
  <c r="M674" i="2"/>
  <c r="L674" i="2"/>
  <c r="H674" i="2"/>
  <c r="K674" i="2"/>
  <c r="B674" i="2"/>
  <c r="C674" i="2"/>
  <c r="I674" i="2"/>
  <c r="D674" i="2"/>
  <c r="E674" i="2"/>
  <c r="F674" i="2"/>
  <c r="G674" i="2"/>
  <c r="J673" i="2"/>
  <c r="N673" i="2"/>
  <c r="A673" i="2"/>
  <c r="M673" i="2"/>
  <c r="L673" i="2"/>
  <c r="H673" i="2"/>
  <c r="K673" i="2"/>
  <c r="B673" i="2"/>
  <c r="C673" i="2"/>
  <c r="I673" i="2"/>
  <c r="D673" i="2"/>
  <c r="E673" i="2"/>
  <c r="F673" i="2"/>
  <c r="G673" i="2"/>
  <c r="J672" i="2"/>
  <c r="N672" i="2"/>
  <c r="A672" i="2"/>
  <c r="M672" i="2"/>
  <c r="L672" i="2"/>
  <c r="H672" i="2"/>
  <c r="K672" i="2"/>
  <c r="B672" i="2"/>
  <c r="C672" i="2"/>
  <c r="I672" i="2"/>
  <c r="D672" i="2"/>
  <c r="E672" i="2"/>
  <c r="F672" i="2"/>
  <c r="G672" i="2"/>
  <c r="J671" i="2"/>
  <c r="N671" i="2"/>
  <c r="A671" i="2"/>
  <c r="M671" i="2"/>
  <c r="L671" i="2"/>
  <c r="H671" i="2"/>
  <c r="K671" i="2"/>
  <c r="B671" i="2"/>
  <c r="C671" i="2"/>
  <c r="I671" i="2"/>
  <c r="D671" i="2"/>
  <c r="E671" i="2"/>
  <c r="F671" i="2"/>
  <c r="G671" i="2"/>
  <c r="J670" i="2"/>
  <c r="N670" i="2"/>
  <c r="A670" i="2"/>
  <c r="M670" i="2"/>
  <c r="L670" i="2"/>
  <c r="H670" i="2"/>
  <c r="K670" i="2"/>
  <c r="B670" i="2"/>
  <c r="C670" i="2"/>
  <c r="I670" i="2"/>
  <c r="D670" i="2"/>
  <c r="E670" i="2"/>
  <c r="F670" i="2"/>
  <c r="G670" i="2"/>
  <c r="J669" i="2"/>
  <c r="N669" i="2"/>
  <c r="A669" i="2"/>
  <c r="M669" i="2"/>
  <c r="L669" i="2"/>
  <c r="H669" i="2"/>
  <c r="K669" i="2"/>
  <c r="B669" i="2"/>
  <c r="C669" i="2"/>
  <c r="I669" i="2"/>
  <c r="D669" i="2"/>
  <c r="E669" i="2"/>
  <c r="F669" i="2"/>
  <c r="G669" i="2"/>
  <c r="J668" i="2"/>
  <c r="N668" i="2"/>
  <c r="A668" i="2"/>
  <c r="M668" i="2"/>
  <c r="L668" i="2"/>
  <c r="H668" i="2"/>
  <c r="K668" i="2"/>
  <c r="B668" i="2"/>
  <c r="C668" i="2"/>
  <c r="I668" i="2"/>
  <c r="D668" i="2"/>
  <c r="E668" i="2"/>
  <c r="F668" i="2"/>
  <c r="G668" i="2"/>
  <c r="J667" i="2"/>
  <c r="N667" i="2"/>
  <c r="A667" i="2"/>
  <c r="M667" i="2"/>
  <c r="L667" i="2"/>
  <c r="H667" i="2"/>
  <c r="K667" i="2"/>
  <c r="B667" i="2"/>
  <c r="C667" i="2"/>
  <c r="I667" i="2"/>
  <c r="D667" i="2"/>
  <c r="E667" i="2"/>
  <c r="F667" i="2"/>
  <c r="G667" i="2"/>
  <c r="J666" i="2"/>
  <c r="N666" i="2"/>
  <c r="A666" i="2"/>
  <c r="M666" i="2"/>
  <c r="L666" i="2"/>
  <c r="H666" i="2"/>
  <c r="K666" i="2"/>
  <c r="B666" i="2"/>
  <c r="C666" i="2"/>
  <c r="I666" i="2"/>
  <c r="D666" i="2"/>
  <c r="E666" i="2"/>
  <c r="F666" i="2"/>
  <c r="G666" i="2"/>
  <c r="J665" i="2"/>
  <c r="N665" i="2"/>
  <c r="A665" i="2"/>
  <c r="M665" i="2"/>
  <c r="L665" i="2"/>
  <c r="H665" i="2"/>
  <c r="K665" i="2"/>
  <c r="B665" i="2"/>
  <c r="C665" i="2"/>
  <c r="I665" i="2"/>
  <c r="D665" i="2"/>
  <c r="E665" i="2"/>
  <c r="F665" i="2"/>
  <c r="G665" i="2"/>
  <c r="J664" i="2"/>
  <c r="N664" i="2"/>
  <c r="A664" i="2"/>
  <c r="M664" i="2"/>
  <c r="L664" i="2"/>
  <c r="H664" i="2"/>
  <c r="K664" i="2"/>
  <c r="B664" i="2"/>
  <c r="C664" i="2"/>
  <c r="I664" i="2"/>
  <c r="D664" i="2"/>
  <c r="E664" i="2"/>
  <c r="F664" i="2"/>
  <c r="G664" i="2"/>
  <c r="J663" i="2"/>
  <c r="N663" i="2"/>
  <c r="A663" i="2"/>
  <c r="M663" i="2"/>
  <c r="L663" i="2"/>
  <c r="H663" i="2"/>
  <c r="K663" i="2"/>
  <c r="B663" i="2"/>
  <c r="C663" i="2"/>
  <c r="I663" i="2"/>
  <c r="D663" i="2"/>
  <c r="E663" i="2"/>
  <c r="F663" i="2"/>
  <c r="G663" i="2"/>
  <c r="J662" i="2"/>
  <c r="N662" i="2"/>
  <c r="A662" i="2"/>
  <c r="M662" i="2"/>
  <c r="L662" i="2"/>
  <c r="H662" i="2"/>
  <c r="K662" i="2"/>
  <c r="B662" i="2"/>
  <c r="C662" i="2"/>
  <c r="I662" i="2"/>
  <c r="D662" i="2"/>
  <c r="E662" i="2"/>
  <c r="F662" i="2"/>
  <c r="G662" i="2"/>
  <c r="J661" i="2"/>
  <c r="N661" i="2"/>
  <c r="A661" i="2"/>
  <c r="M661" i="2"/>
  <c r="L661" i="2"/>
  <c r="H661" i="2"/>
  <c r="K661" i="2"/>
  <c r="B661" i="2"/>
  <c r="C661" i="2"/>
  <c r="I661" i="2"/>
  <c r="D661" i="2"/>
  <c r="E661" i="2"/>
  <c r="F661" i="2"/>
  <c r="G661" i="2"/>
  <c r="J660" i="2"/>
  <c r="N660" i="2"/>
  <c r="A660" i="2"/>
  <c r="M660" i="2"/>
  <c r="L660" i="2"/>
  <c r="H660" i="2"/>
  <c r="K660" i="2"/>
  <c r="B660" i="2"/>
  <c r="C660" i="2"/>
  <c r="I660" i="2"/>
  <c r="D660" i="2"/>
  <c r="E660" i="2"/>
  <c r="F660" i="2"/>
  <c r="G660" i="2"/>
  <c r="J659" i="2"/>
  <c r="N659" i="2"/>
  <c r="A659" i="2"/>
  <c r="M659" i="2"/>
  <c r="L659" i="2"/>
  <c r="H659" i="2"/>
  <c r="K659" i="2"/>
  <c r="B659" i="2"/>
  <c r="C659" i="2"/>
  <c r="I659" i="2"/>
  <c r="D659" i="2"/>
  <c r="E659" i="2"/>
  <c r="F659" i="2"/>
  <c r="G659" i="2"/>
  <c r="J658" i="2"/>
  <c r="N658" i="2"/>
  <c r="A658" i="2"/>
  <c r="M658" i="2"/>
  <c r="L658" i="2"/>
  <c r="H658" i="2"/>
  <c r="K658" i="2"/>
  <c r="B658" i="2"/>
  <c r="C658" i="2"/>
  <c r="I658" i="2"/>
  <c r="D658" i="2"/>
  <c r="E658" i="2"/>
  <c r="F658" i="2"/>
  <c r="G658" i="2"/>
  <c r="J657" i="2"/>
  <c r="N657" i="2"/>
  <c r="A657" i="2"/>
  <c r="M657" i="2"/>
  <c r="L657" i="2"/>
  <c r="H657" i="2"/>
  <c r="K657" i="2"/>
  <c r="B657" i="2"/>
  <c r="C657" i="2"/>
  <c r="I657" i="2"/>
  <c r="D657" i="2"/>
  <c r="E657" i="2"/>
  <c r="F657" i="2"/>
  <c r="G657" i="2"/>
  <c r="J656" i="2"/>
  <c r="N656" i="2"/>
  <c r="A656" i="2"/>
  <c r="M656" i="2"/>
  <c r="L656" i="2"/>
  <c r="H656" i="2"/>
  <c r="K656" i="2"/>
  <c r="B656" i="2"/>
  <c r="C656" i="2"/>
  <c r="I656" i="2"/>
  <c r="D656" i="2"/>
  <c r="E656" i="2"/>
  <c r="F656" i="2"/>
  <c r="G656" i="2"/>
  <c r="J655" i="2"/>
  <c r="N655" i="2"/>
  <c r="A655" i="2"/>
  <c r="M655" i="2"/>
  <c r="L655" i="2"/>
  <c r="H655" i="2"/>
  <c r="K655" i="2"/>
  <c r="B655" i="2"/>
  <c r="C655" i="2"/>
  <c r="I655" i="2"/>
  <c r="D655" i="2"/>
  <c r="E655" i="2"/>
  <c r="F655" i="2"/>
  <c r="G655" i="2"/>
  <c r="J654" i="2"/>
  <c r="N654" i="2"/>
  <c r="A654" i="2"/>
  <c r="M654" i="2"/>
  <c r="L654" i="2"/>
  <c r="H654" i="2"/>
  <c r="K654" i="2"/>
  <c r="B654" i="2"/>
  <c r="C654" i="2"/>
  <c r="I654" i="2"/>
  <c r="D654" i="2"/>
  <c r="E654" i="2"/>
  <c r="F654" i="2"/>
  <c r="G654" i="2"/>
  <c r="J653" i="2"/>
  <c r="N653" i="2"/>
  <c r="A653" i="2"/>
  <c r="M653" i="2"/>
  <c r="L653" i="2"/>
  <c r="H653" i="2"/>
  <c r="K653" i="2"/>
  <c r="B653" i="2"/>
  <c r="C653" i="2"/>
  <c r="I653" i="2"/>
  <c r="D653" i="2"/>
  <c r="E653" i="2"/>
  <c r="F653" i="2"/>
  <c r="G653" i="2"/>
  <c r="J652" i="2"/>
  <c r="N652" i="2"/>
  <c r="A652" i="2"/>
  <c r="M652" i="2"/>
  <c r="L652" i="2"/>
  <c r="H652" i="2"/>
  <c r="K652" i="2"/>
  <c r="B652" i="2"/>
  <c r="C652" i="2"/>
  <c r="I652" i="2"/>
  <c r="D652" i="2"/>
  <c r="E652" i="2"/>
  <c r="F652" i="2"/>
  <c r="G652" i="2"/>
  <c r="J651" i="2"/>
  <c r="N651" i="2"/>
  <c r="A651" i="2"/>
  <c r="M651" i="2"/>
  <c r="L651" i="2"/>
  <c r="H651" i="2"/>
  <c r="K651" i="2"/>
  <c r="B651" i="2"/>
  <c r="C651" i="2"/>
  <c r="I651" i="2"/>
  <c r="D651" i="2"/>
  <c r="E651" i="2"/>
  <c r="F651" i="2"/>
  <c r="G651" i="2"/>
  <c r="J650" i="2"/>
  <c r="N650" i="2"/>
  <c r="A650" i="2"/>
  <c r="M650" i="2"/>
  <c r="L650" i="2"/>
  <c r="H650" i="2"/>
  <c r="K650" i="2"/>
  <c r="B650" i="2"/>
  <c r="C650" i="2"/>
  <c r="I650" i="2"/>
  <c r="D650" i="2"/>
  <c r="E650" i="2"/>
  <c r="F650" i="2"/>
  <c r="G650" i="2"/>
  <c r="J649" i="2"/>
  <c r="N649" i="2"/>
  <c r="A649" i="2"/>
  <c r="M649" i="2"/>
  <c r="L649" i="2"/>
  <c r="H649" i="2"/>
  <c r="K649" i="2"/>
  <c r="B649" i="2"/>
  <c r="C649" i="2"/>
  <c r="I649" i="2"/>
  <c r="D649" i="2"/>
  <c r="E649" i="2"/>
  <c r="F649" i="2"/>
  <c r="G649" i="2"/>
  <c r="J648" i="2"/>
  <c r="N648" i="2"/>
  <c r="A648" i="2"/>
  <c r="M648" i="2"/>
  <c r="L648" i="2"/>
  <c r="H648" i="2"/>
  <c r="K648" i="2"/>
  <c r="B648" i="2"/>
  <c r="C648" i="2"/>
  <c r="I648" i="2"/>
  <c r="D648" i="2"/>
  <c r="E648" i="2"/>
  <c r="F648" i="2"/>
  <c r="G648" i="2"/>
  <c r="J647" i="2"/>
  <c r="N647" i="2"/>
  <c r="A647" i="2"/>
  <c r="M647" i="2"/>
  <c r="L647" i="2"/>
  <c r="H647" i="2"/>
  <c r="K647" i="2"/>
  <c r="B647" i="2"/>
  <c r="C647" i="2"/>
  <c r="I647" i="2"/>
  <c r="D647" i="2"/>
  <c r="E647" i="2"/>
  <c r="F647" i="2"/>
  <c r="G647" i="2"/>
  <c r="J646" i="2"/>
  <c r="N646" i="2"/>
  <c r="A646" i="2"/>
  <c r="M646" i="2"/>
  <c r="L646" i="2"/>
  <c r="H646" i="2"/>
  <c r="K646" i="2"/>
  <c r="B646" i="2"/>
  <c r="C646" i="2"/>
  <c r="I646" i="2"/>
  <c r="D646" i="2"/>
  <c r="E646" i="2"/>
  <c r="F646" i="2"/>
  <c r="G646" i="2"/>
  <c r="J645" i="2"/>
  <c r="N645" i="2"/>
  <c r="A645" i="2"/>
  <c r="M645" i="2"/>
  <c r="L645" i="2"/>
  <c r="H645" i="2"/>
  <c r="K645" i="2"/>
  <c r="B645" i="2"/>
  <c r="C645" i="2"/>
  <c r="I645" i="2"/>
  <c r="D645" i="2"/>
  <c r="E645" i="2"/>
  <c r="F645" i="2"/>
  <c r="G645" i="2"/>
  <c r="J644" i="2"/>
  <c r="N644" i="2"/>
  <c r="A644" i="2"/>
  <c r="M644" i="2"/>
  <c r="L644" i="2"/>
  <c r="H644" i="2"/>
  <c r="K644" i="2"/>
  <c r="B644" i="2"/>
  <c r="C644" i="2"/>
  <c r="I644" i="2"/>
  <c r="D644" i="2"/>
  <c r="E644" i="2"/>
  <c r="F644" i="2"/>
  <c r="G644" i="2"/>
  <c r="J643" i="2"/>
  <c r="N643" i="2"/>
  <c r="A643" i="2"/>
  <c r="M643" i="2"/>
  <c r="L643" i="2"/>
  <c r="H643" i="2"/>
  <c r="K643" i="2"/>
  <c r="B643" i="2"/>
  <c r="C643" i="2"/>
  <c r="I643" i="2"/>
  <c r="D643" i="2"/>
  <c r="E643" i="2"/>
  <c r="F643" i="2"/>
  <c r="G643" i="2"/>
  <c r="J642" i="2"/>
  <c r="N642" i="2"/>
  <c r="A642" i="2"/>
  <c r="M642" i="2"/>
  <c r="L642" i="2"/>
  <c r="H642" i="2"/>
  <c r="K642" i="2"/>
  <c r="B642" i="2"/>
  <c r="C642" i="2"/>
  <c r="I642" i="2"/>
  <c r="D642" i="2"/>
  <c r="E642" i="2"/>
  <c r="F642" i="2"/>
  <c r="G642" i="2"/>
  <c r="J641" i="2"/>
  <c r="N641" i="2"/>
  <c r="A641" i="2"/>
  <c r="M641" i="2"/>
  <c r="L641" i="2"/>
  <c r="H641" i="2"/>
  <c r="K641" i="2"/>
  <c r="B641" i="2"/>
  <c r="C641" i="2"/>
  <c r="I641" i="2"/>
  <c r="D641" i="2"/>
  <c r="E641" i="2"/>
  <c r="F641" i="2"/>
  <c r="G641" i="2"/>
  <c r="J640" i="2"/>
  <c r="N640" i="2"/>
  <c r="A640" i="2"/>
  <c r="M640" i="2"/>
  <c r="L640" i="2"/>
  <c r="H640" i="2"/>
  <c r="K640" i="2"/>
  <c r="B640" i="2"/>
  <c r="C640" i="2"/>
  <c r="I640" i="2"/>
  <c r="D640" i="2"/>
  <c r="E640" i="2"/>
  <c r="F640" i="2"/>
  <c r="G640" i="2"/>
  <c r="J639" i="2"/>
  <c r="N639" i="2"/>
  <c r="A639" i="2"/>
  <c r="M639" i="2"/>
  <c r="L639" i="2"/>
  <c r="H639" i="2"/>
  <c r="K639" i="2"/>
  <c r="B639" i="2"/>
  <c r="C639" i="2"/>
  <c r="I639" i="2"/>
  <c r="D639" i="2"/>
  <c r="E639" i="2"/>
  <c r="F639" i="2"/>
  <c r="G639" i="2"/>
  <c r="J638" i="2"/>
  <c r="N638" i="2"/>
  <c r="A638" i="2"/>
  <c r="M638" i="2"/>
  <c r="L638" i="2"/>
  <c r="H638" i="2"/>
  <c r="K638" i="2"/>
  <c r="B638" i="2"/>
  <c r="C638" i="2"/>
  <c r="I638" i="2"/>
  <c r="D638" i="2"/>
  <c r="E638" i="2"/>
  <c r="F638" i="2"/>
  <c r="G638" i="2"/>
  <c r="J637" i="2"/>
  <c r="N637" i="2"/>
  <c r="A637" i="2"/>
  <c r="M637" i="2"/>
  <c r="L637" i="2"/>
  <c r="H637" i="2"/>
  <c r="K637" i="2"/>
  <c r="B637" i="2"/>
  <c r="C637" i="2"/>
  <c r="I637" i="2"/>
  <c r="D637" i="2"/>
  <c r="E637" i="2"/>
  <c r="F637" i="2"/>
  <c r="G637" i="2"/>
  <c r="J636" i="2"/>
  <c r="N636" i="2"/>
  <c r="A636" i="2"/>
  <c r="M636" i="2"/>
  <c r="L636" i="2"/>
  <c r="H636" i="2"/>
  <c r="K636" i="2"/>
  <c r="B636" i="2"/>
  <c r="C636" i="2"/>
  <c r="I636" i="2"/>
  <c r="D636" i="2"/>
  <c r="E636" i="2"/>
  <c r="F636" i="2"/>
  <c r="G636" i="2"/>
  <c r="J635" i="2"/>
  <c r="N635" i="2"/>
  <c r="A635" i="2"/>
  <c r="M635" i="2"/>
  <c r="L635" i="2"/>
  <c r="H635" i="2"/>
  <c r="K635" i="2"/>
  <c r="B635" i="2"/>
  <c r="C635" i="2"/>
  <c r="I635" i="2"/>
  <c r="D635" i="2"/>
  <c r="E635" i="2"/>
  <c r="F635" i="2"/>
  <c r="G635" i="2"/>
  <c r="J634" i="2"/>
  <c r="N634" i="2"/>
  <c r="A634" i="2"/>
  <c r="M634" i="2"/>
  <c r="L634" i="2"/>
  <c r="H634" i="2"/>
  <c r="K634" i="2"/>
  <c r="B634" i="2"/>
  <c r="C634" i="2"/>
  <c r="I634" i="2"/>
  <c r="D634" i="2"/>
  <c r="E634" i="2"/>
  <c r="F634" i="2"/>
  <c r="G634" i="2"/>
  <c r="J633" i="2"/>
  <c r="N633" i="2"/>
  <c r="A633" i="2"/>
  <c r="M633" i="2"/>
  <c r="L633" i="2"/>
  <c r="H633" i="2"/>
  <c r="K633" i="2"/>
  <c r="B633" i="2"/>
  <c r="C633" i="2"/>
  <c r="I633" i="2"/>
  <c r="D633" i="2"/>
  <c r="E633" i="2"/>
  <c r="F633" i="2"/>
  <c r="G633" i="2"/>
  <c r="J632" i="2"/>
  <c r="N632" i="2"/>
  <c r="A632" i="2"/>
  <c r="M632" i="2"/>
  <c r="L632" i="2"/>
  <c r="H632" i="2"/>
  <c r="K632" i="2"/>
  <c r="B632" i="2"/>
  <c r="C632" i="2"/>
  <c r="I632" i="2"/>
  <c r="D632" i="2"/>
  <c r="E632" i="2"/>
  <c r="F632" i="2"/>
  <c r="G632" i="2"/>
  <c r="J631" i="2"/>
  <c r="N631" i="2"/>
  <c r="A631" i="2"/>
  <c r="M631" i="2"/>
  <c r="L631" i="2"/>
  <c r="H631" i="2"/>
  <c r="K631" i="2"/>
  <c r="B631" i="2"/>
  <c r="C631" i="2"/>
  <c r="I631" i="2"/>
  <c r="D631" i="2"/>
  <c r="E631" i="2"/>
  <c r="F631" i="2"/>
  <c r="G631" i="2"/>
  <c r="J630" i="2"/>
  <c r="N630" i="2"/>
  <c r="A630" i="2"/>
  <c r="M630" i="2"/>
  <c r="L630" i="2"/>
  <c r="H630" i="2"/>
  <c r="K630" i="2"/>
  <c r="B630" i="2"/>
  <c r="C630" i="2"/>
  <c r="I630" i="2"/>
  <c r="D630" i="2"/>
  <c r="E630" i="2"/>
  <c r="F630" i="2"/>
  <c r="G630" i="2"/>
  <c r="J629" i="2"/>
  <c r="N629" i="2"/>
  <c r="A629" i="2"/>
  <c r="M629" i="2"/>
  <c r="L629" i="2"/>
  <c r="H629" i="2"/>
  <c r="K629" i="2"/>
  <c r="B629" i="2"/>
  <c r="C629" i="2"/>
  <c r="I629" i="2"/>
  <c r="D629" i="2"/>
  <c r="E629" i="2"/>
  <c r="F629" i="2"/>
  <c r="G629" i="2"/>
  <c r="J628" i="2"/>
  <c r="N628" i="2"/>
  <c r="A628" i="2"/>
  <c r="M628" i="2"/>
  <c r="L628" i="2"/>
  <c r="H628" i="2"/>
  <c r="K628" i="2"/>
  <c r="B628" i="2"/>
  <c r="C628" i="2"/>
  <c r="I628" i="2"/>
  <c r="D628" i="2"/>
  <c r="E628" i="2"/>
  <c r="F628" i="2"/>
  <c r="G628" i="2"/>
  <c r="J627" i="2"/>
  <c r="N627" i="2"/>
  <c r="A627" i="2"/>
  <c r="M627" i="2"/>
  <c r="L627" i="2"/>
  <c r="H627" i="2"/>
  <c r="K627" i="2"/>
  <c r="B627" i="2"/>
  <c r="C627" i="2"/>
  <c r="I627" i="2"/>
  <c r="D627" i="2"/>
  <c r="E627" i="2"/>
  <c r="F627" i="2"/>
  <c r="G627" i="2"/>
  <c r="J626" i="2"/>
  <c r="N626" i="2"/>
  <c r="A626" i="2"/>
  <c r="M626" i="2"/>
  <c r="L626" i="2"/>
  <c r="H626" i="2"/>
  <c r="K626" i="2"/>
  <c r="B626" i="2"/>
  <c r="C626" i="2"/>
  <c r="I626" i="2"/>
  <c r="D626" i="2"/>
  <c r="E626" i="2"/>
  <c r="F626" i="2"/>
  <c r="G626" i="2"/>
  <c r="J625" i="2"/>
  <c r="N625" i="2"/>
  <c r="A625" i="2"/>
  <c r="M625" i="2"/>
  <c r="L625" i="2"/>
  <c r="H625" i="2"/>
  <c r="K625" i="2"/>
  <c r="B625" i="2"/>
  <c r="C625" i="2"/>
  <c r="I625" i="2"/>
  <c r="D625" i="2"/>
  <c r="E625" i="2"/>
  <c r="F625" i="2"/>
  <c r="G625" i="2"/>
  <c r="J624" i="2"/>
  <c r="N624" i="2"/>
  <c r="A624" i="2"/>
  <c r="M624" i="2"/>
  <c r="L624" i="2"/>
  <c r="H624" i="2"/>
  <c r="K624" i="2"/>
  <c r="B624" i="2"/>
  <c r="C624" i="2"/>
  <c r="I624" i="2"/>
  <c r="D624" i="2"/>
  <c r="E624" i="2"/>
  <c r="F624" i="2"/>
  <c r="G624" i="2"/>
  <c r="J623" i="2"/>
  <c r="N623" i="2"/>
  <c r="A623" i="2"/>
  <c r="M623" i="2"/>
  <c r="L623" i="2"/>
  <c r="H623" i="2"/>
  <c r="K623" i="2"/>
  <c r="B623" i="2"/>
  <c r="C623" i="2"/>
  <c r="I623" i="2"/>
  <c r="D623" i="2"/>
  <c r="E623" i="2"/>
  <c r="F623" i="2"/>
  <c r="G623" i="2"/>
  <c r="J622" i="2"/>
  <c r="N622" i="2"/>
  <c r="A622" i="2"/>
  <c r="M622" i="2"/>
  <c r="L622" i="2"/>
  <c r="H622" i="2"/>
  <c r="K622" i="2"/>
  <c r="B622" i="2"/>
  <c r="C622" i="2"/>
  <c r="I622" i="2"/>
  <c r="D622" i="2"/>
  <c r="E622" i="2"/>
  <c r="F622" i="2"/>
  <c r="G622" i="2"/>
  <c r="J621" i="2"/>
  <c r="N621" i="2"/>
  <c r="A621" i="2"/>
  <c r="M621" i="2"/>
  <c r="L621" i="2"/>
  <c r="H621" i="2"/>
  <c r="K621" i="2"/>
  <c r="B621" i="2"/>
  <c r="C621" i="2"/>
  <c r="I621" i="2"/>
  <c r="D621" i="2"/>
  <c r="E621" i="2"/>
  <c r="F621" i="2"/>
  <c r="G621" i="2"/>
  <c r="J620" i="2"/>
  <c r="N620" i="2"/>
  <c r="A620" i="2"/>
  <c r="M620" i="2"/>
  <c r="L620" i="2"/>
  <c r="H620" i="2"/>
  <c r="K620" i="2"/>
  <c r="B620" i="2"/>
  <c r="C620" i="2"/>
  <c r="I620" i="2"/>
  <c r="D620" i="2"/>
  <c r="E620" i="2"/>
  <c r="F620" i="2"/>
  <c r="G620" i="2"/>
  <c r="J619" i="2"/>
  <c r="N619" i="2"/>
  <c r="A619" i="2"/>
  <c r="M619" i="2"/>
  <c r="L619" i="2"/>
  <c r="H619" i="2"/>
  <c r="K619" i="2"/>
  <c r="B619" i="2"/>
  <c r="C619" i="2"/>
  <c r="I619" i="2"/>
  <c r="D619" i="2"/>
  <c r="E619" i="2"/>
  <c r="F619" i="2"/>
  <c r="G619" i="2"/>
  <c r="J618" i="2"/>
  <c r="N618" i="2"/>
  <c r="A618" i="2"/>
  <c r="M618" i="2"/>
  <c r="L618" i="2"/>
  <c r="H618" i="2"/>
  <c r="K618" i="2"/>
  <c r="B618" i="2"/>
  <c r="C618" i="2"/>
  <c r="I618" i="2"/>
  <c r="D618" i="2"/>
  <c r="E618" i="2"/>
  <c r="F618" i="2"/>
  <c r="G618" i="2"/>
  <c r="J617" i="2"/>
  <c r="N617" i="2"/>
  <c r="A617" i="2"/>
  <c r="M617" i="2"/>
  <c r="L617" i="2"/>
  <c r="H617" i="2"/>
  <c r="K617" i="2"/>
  <c r="B617" i="2"/>
  <c r="C617" i="2"/>
  <c r="I617" i="2"/>
  <c r="D617" i="2"/>
  <c r="E617" i="2"/>
  <c r="F617" i="2"/>
  <c r="G617" i="2"/>
  <c r="J616" i="2"/>
  <c r="N616" i="2"/>
  <c r="A616" i="2"/>
  <c r="M616" i="2"/>
  <c r="L616" i="2"/>
  <c r="H616" i="2"/>
  <c r="K616" i="2"/>
  <c r="B616" i="2"/>
  <c r="C616" i="2"/>
  <c r="I616" i="2"/>
  <c r="D616" i="2"/>
  <c r="E616" i="2"/>
  <c r="F616" i="2"/>
  <c r="G616" i="2"/>
  <c r="J615" i="2"/>
  <c r="N615" i="2"/>
  <c r="A615" i="2"/>
  <c r="M615" i="2"/>
  <c r="L615" i="2"/>
  <c r="H615" i="2"/>
  <c r="K615" i="2"/>
  <c r="B615" i="2"/>
  <c r="C615" i="2"/>
  <c r="I615" i="2"/>
  <c r="D615" i="2"/>
  <c r="E615" i="2"/>
  <c r="F615" i="2"/>
  <c r="G615" i="2"/>
  <c r="J614" i="2"/>
  <c r="N614" i="2"/>
  <c r="A614" i="2"/>
  <c r="M614" i="2"/>
  <c r="L614" i="2"/>
  <c r="H614" i="2"/>
  <c r="K614" i="2"/>
  <c r="B614" i="2"/>
  <c r="C614" i="2"/>
  <c r="I614" i="2"/>
  <c r="D614" i="2"/>
  <c r="E614" i="2"/>
  <c r="F614" i="2"/>
  <c r="G614" i="2"/>
  <c r="J613" i="2"/>
  <c r="N613" i="2"/>
  <c r="A613" i="2"/>
  <c r="M613" i="2"/>
  <c r="L613" i="2"/>
  <c r="H613" i="2"/>
  <c r="K613" i="2"/>
  <c r="B613" i="2"/>
  <c r="C613" i="2"/>
  <c r="I613" i="2"/>
  <c r="D613" i="2"/>
  <c r="E613" i="2"/>
  <c r="F613" i="2"/>
  <c r="G613" i="2"/>
  <c r="J612" i="2"/>
  <c r="N612" i="2"/>
  <c r="A612" i="2"/>
  <c r="M612" i="2"/>
  <c r="L612" i="2"/>
  <c r="H612" i="2"/>
  <c r="K612" i="2"/>
  <c r="B612" i="2"/>
  <c r="C612" i="2"/>
  <c r="I612" i="2"/>
  <c r="D612" i="2"/>
  <c r="E612" i="2"/>
  <c r="F612" i="2"/>
  <c r="G612" i="2"/>
  <c r="J611" i="2"/>
  <c r="N611" i="2"/>
  <c r="A611" i="2"/>
  <c r="M611" i="2"/>
  <c r="L611" i="2"/>
  <c r="H611" i="2"/>
  <c r="K611" i="2"/>
  <c r="B611" i="2"/>
  <c r="C611" i="2"/>
  <c r="I611" i="2"/>
  <c r="D611" i="2"/>
  <c r="E611" i="2"/>
  <c r="F611" i="2"/>
  <c r="G611" i="2"/>
  <c r="J610" i="2"/>
  <c r="N610" i="2"/>
  <c r="A610" i="2"/>
  <c r="M610" i="2"/>
  <c r="L610" i="2"/>
  <c r="H610" i="2"/>
  <c r="K610" i="2"/>
  <c r="B610" i="2"/>
  <c r="C610" i="2"/>
  <c r="I610" i="2"/>
  <c r="D610" i="2"/>
  <c r="E610" i="2"/>
  <c r="F610" i="2"/>
  <c r="G610" i="2"/>
  <c r="J609" i="2"/>
  <c r="N609" i="2"/>
  <c r="A609" i="2"/>
  <c r="M609" i="2"/>
  <c r="L609" i="2"/>
  <c r="H609" i="2"/>
  <c r="K609" i="2"/>
  <c r="B609" i="2"/>
  <c r="C609" i="2"/>
  <c r="I609" i="2"/>
  <c r="D609" i="2"/>
  <c r="E609" i="2"/>
  <c r="F609" i="2"/>
  <c r="G609" i="2"/>
  <c r="J608" i="2"/>
  <c r="N608" i="2"/>
  <c r="A608" i="2"/>
  <c r="M608" i="2"/>
  <c r="L608" i="2"/>
  <c r="H608" i="2"/>
  <c r="K608" i="2"/>
  <c r="B608" i="2"/>
  <c r="C608" i="2"/>
  <c r="I608" i="2"/>
  <c r="D608" i="2"/>
  <c r="E608" i="2"/>
  <c r="F608" i="2"/>
  <c r="G608" i="2"/>
  <c r="J607" i="2"/>
  <c r="N607" i="2"/>
  <c r="A607" i="2"/>
  <c r="M607" i="2"/>
  <c r="L607" i="2"/>
  <c r="H607" i="2"/>
  <c r="K607" i="2"/>
  <c r="B607" i="2"/>
  <c r="C607" i="2"/>
  <c r="I607" i="2"/>
  <c r="D607" i="2"/>
  <c r="E607" i="2"/>
  <c r="F607" i="2"/>
  <c r="G607" i="2"/>
  <c r="J606" i="2"/>
  <c r="N606" i="2"/>
  <c r="A606" i="2"/>
  <c r="M606" i="2"/>
  <c r="L606" i="2"/>
  <c r="H606" i="2"/>
  <c r="K606" i="2"/>
  <c r="B606" i="2"/>
  <c r="C606" i="2"/>
  <c r="I606" i="2"/>
  <c r="D606" i="2"/>
  <c r="E606" i="2"/>
  <c r="F606" i="2"/>
  <c r="G606" i="2"/>
  <c r="J605" i="2"/>
  <c r="N605" i="2"/>
  <c r="A605" i="2"/>
  <c r="M605" i="2"/>
  <c r="L605" i="2"/>
  <c r="H605" i="2"/>
  <c r="K605" i="2"/>
  <c r="B605" i="2"/>
  <c r="C605" i="2"/>
  <c r="I605" i="2"/>
  <c r="D605" i="2"/>
  <c r="E605" i="2"/>
  <c r="F605" i="2"/>
  <c r="G605" i="2"/>
  <c r="J604" i="2"/>
  <c r="N604" i="2"/>
  <c r="A604" i="2"/>
  <c r="M604" i="2"/>
  <c r="L604" i="2"/>
  <c r="H604" i="2"/>
  <c r="K604" i="2"/>
  <c r="B604" i="2"/>
  <c r="C604" i="2"/>
  <c r="I604" i="2"/>
  <c r="D604" i="2"/>
  <c r="E604" i="2"/>
  <c r="F604" i="2"/>
  <c r="G604" i="2"/>
  <c r="J603" i="2"/>
  <c r="N603" i="2"/>
  <c r="A603" i="2"/>
  <c r="M603" i="2"/>
  <c r="L603" i="2"/>
  <c r="H603" i="2"/>
  <c r="K603" i="2"/>
  <c r="B603" i="2"/>
  <c r="C603" i="2"/>
  <c r="I603" i="2"/>
  <c r="D603" i="2"/>
  <c r="E603" i="2"/>
  <c r="F603" i="2"/>
  <c r="G603" i="2"/>
  <c r="J602" i="2"/>
  <c r="N602" i="2"/>
  <c r="A602" i="2"/>
  <c r="M602" i="2"/>
  <c r="L602" i="2"/>
  <c r="H602" i="2"/>
  <c r="K602" i="2"/>
  <c r="B602" i="2"/>
  <c r="C602" i="2"/>
  <c r="I602" i="2"/>
  <c r="D602" i="2"/>
  <c r="E602" i="2"/>
  <c r="F602" i="2"/>
  <c r="G602" i="2"/>
  <c r="J601" i="2"/>
  <c r="N601" i="2"/>
  <c r="A601" i="2"/>
  <c r="M601" i="2"/>
  <c r="L601" i="2"/>
  <c r="H601" i="2"/>
  <c r="K601" i="2"/>
  <c r="B601" i="2"/>
  <c r="C601" i="2"/>
  <c r="I601" i="2"/>
  <c r="D601" i="2"/>
  <c r="E601" i="2"/>
  <c r="F601" i="2"/>
  <c r="G601" i="2"/>
  <c r="J600" i="2"/>
  <c r="N600" i="2"/>
  <c r="A600" i="2"/>
  <c r="M600" i="2"/>
  <c r="L600" i="2"/>
  <c r="H600" i="2"/>
  <c r="K600" i="2"/>
  <c r="B600" i="2"/>
  <c r="C600" i="2"/>
  <c r="I600" i="2"/>
  <c r="D600" i="2"/>
  <c r="E600" i="2"/>
  <c r="F600" i="2"/>
  <c r="G600" i="2"/>
  <c r="J599" i="2"/>
  <c r="N599" i="2"/>
  <c r="A599" i="2"/>
  <c r="M599" i="2"/>
  <c r="L599" i="2"/>
  <c r="H599" i="2"/>
  <c r="K599" i="2"/>
  <c r="B599" i="2"/>
  <c r="C599" i="2"/>
  <c r="I599" i="2"/>
  <c r="D599" i="2"/>
  <c r="E599" i="2"/>
  <c r="F599" i="2"/>
  <c r="G599" i="2"/>
  <c r="J598" i="2"/>
  <c r="N598" i="2"/>
  <c r="A598" i="2"/>
  <c r="M598" i="2"/>
  <c r="L598" i="2"/>
  <c r="H598" i="2"/>
  <c r="K598" i="2"/>
  <c r="B598" i="2"/>
  <c r="C598" i="2"/>
  <c r="I598" i="2"/>
  <c r="D598" i="2"/>
  <c r="E598" i="2"/>
  <c r="F598" i="2"/>
  <c r="G598" i="2"/>
  <c r="J597" i="2"/>
  <c r="N597" i="2"/>
  <c r="A597" i="2"/>
  <c r="M597" i="2"/>
  <c r="L597" i="2"/>
  <c r="H597" i="2"/>
  <c r="K597" i="2"/>
  <c r="B597" i="2"/>
  <c r="C597" i="2"/>
  <c r="I597" i="2"/>
  <c r="D597" i="2"/>
  <c r="E597" i="2"/>
  <c r="F597" i="2"/>
  <c r="G597" i="2"/>
  <c r="J596" i="2"/>
  <c r="N596" i="2"/>
  <c r="A596" i="2"/>
  <c r="M596" i="2"/>
  <c r="L596" i="2"/>
  <c r="H596" i="2"/>
  <c r="K596" i="2"/>
  <c r="B596" i="2"/>
  <c r="C596" i="2"/>
  <c r="I596" i="2"/>
  <c r="D596" i="2"/>
  <c r="E596" i="2"/>
  <c r="F596" i="2"/>
  <c r="G596" i="2"/>
  <c r="J595" i="2"/>
  <c r="N595" i="2"/>
  <c r="A595" i="2"/>
  <c r="M595" i="2"/>
  <c r="L595" i="2"/>
  <c r="H595" i="2"/>
  <c r="K595" i="2"/>
  <c r="B595" i="2"/>
  <c r="C595" i="2"/>
  <c r="I595" i="2"/>
  <c r="D595" i="2"/>
  <c r="E595" i="2"/>
  <c r="F595" i="2"/>
  <c r="G595" i="2"/>
  <c r="J594" i="2"/>
  <c r="N594" i="2"/>
  <c r="A594" i="2"/>
  <c r="M594" i="2"/>
  <c r="L594" i="2"/>
  <c r="H594" i="2"/>
  <c r="K594" i="2"/>
  <c r="B594" i="2"/>
  <c r="C594" i="2"/>
  <c r="I594" i="2"/>
  <c r="D594" i="2"/>
  <c r="E594" i="2"/>
  <c r="F594" i="2"/>
  <c r="G594" i="2"/>
  <c r="J593" i="2"/>
  <c r="N593" i="2"/>
  <c r="A593" i="2"/>
  <c r="M593" i="2"/>
  <c r="L593" i="2"/>
  <c r="H593" i="2"/>
  <c r="K593" i="2"/>
  <c r="B593" i="2"/>
  <c r="C593" i="2"/>
  <c r="I593" i="2"/>
  <c r="D593" i="2"/>
  <c r="E593" i="2"/>
  <c r="F593" i="2"/>
  <c r="G593" i="2"/>
  <c r="J592" i="2"/>
  <c r="N592" i="2"/>
  <c r="A592" i="2"/>
  <c r="M592" i="2"/>
  <c r="L592" i="2"/>
  <c r="H592" i="2"/>
  <c r="K592" i="2"/>
  <c r="B592" i="2"/>
  <c r="C592" i="2"/>
  <c r="I592" i="2"/>
  <c r="D592" i="2"/>
  <c r="E592" i="2"/>
  <c r="F592" i="2"/>
  <c r="G592" i="2"/>
  <c r="J591" i="2"/>
  <c r="N591" i="2"/>
  <c r="A591" i="2"/>
  <c r="M591" i="2"/>
  <c r="L591" i="2"/>
  <c r="H591" i="2"/>
  <c r="K591" i="2"/>
  <c r="B591" i="2"/>
  <c r="C591" i="2"/>
  <c r="I591" i="2"/>
  <c r="D591" i="2"/>
  <c r="E591" i="2"/>
  <c r="F591" i="2"/>
  <c r="G591" i="2"/>
  <c r="J590" i="2"/>
  <c r="N590" i="2"/>
  <c r="A590" i="2"/>
  <c r="M590" i="2"/>
  <c r="L590" i="2"/>
  <c r="H590" i="2"/>
  <c r="K590" i="2"/>
  <c r="B590" i="2"/>
  <c r="C590" i="2"/>
  <c r="I590" i="2"/>
  <c r="D590" i="2"/>
  <c r="E590" i="2"/>
  <c r="F590" i="2"/>
  <c r="G590" i="2"/>
  <c r="J589" i="2"/>
  <c r="N589" i="2"/>
  <c r="A589" i="2"/>
  <c r="M589" i="2"/>
  <c r="L589" i="2"/>
  <c r="H589" i="2"/>
  <c r="K589" i="2"/>
  <c r="B589" i="2"/>
  <c r="C589" i="2"/>
  <c r="I589" i="2"/>
  <c r="D589" i="2"/>
  <c r="E589" i="2"/>
  <c r="F589" i="2"/>
  <c r="G589" i="2"/>
  <c r="J588" i="2"/>
  <c r="N588" i="2"/>
  <c r="A588" i="2"/>
  <c r="M588" i="2"/>
  <c r="L588" i="2"/>
  <c r="H588" i="2"/>
  <c r="K588" i="2"/>
  <c r="B588" i="2"/>
  <c r="C588" i="2"/>
  <c r="I588" i="2"/>
  <c r="D588" i="2"/>
  <c r="E588" i="2"/>
  <c r="F588" i="2"/>
  <c r="G588" i="2"/>
  <c r="J587" i="2"/>
  <c r="N587" i="2"/>
  <c r="A587" i="2"/>
  <c r="M587" i="2"/>
  <c r="L587" i="2"/>
  <c r="H587" i="2"/>
  <c r="K587" i="2"/>
  <c r="B587" i="2"/>
  <c r="C587" i="2"/>
  <c r="I587" i="2"/>
  <c r="D587" i="2"/>
  <c r="E587" i="2"/>
  <c r="F587" i="2"/>
  <c r="G587" i="2"/>
  <c r="J586" i="2"/>
  <c r="N586" i="2"/>
  <c r="A586" i="2"/>
  <c r="M586" i="2"/>
  <c r="L586" i="2"/>
  <c r="H586" i="2"/>
  <c r="K586" i="2"/>
  <c r="B586" i="2"/>
  <c r="C586" i="2"/>
  <c r="I586" i="2"/>
  <c r="D586" i="2"/>
  <c r="E586" i="2"/>
  <c r="F586" i="2"/>
  <c r="G586" i="2"/>
  <c r="J585" i="2"/>
  <c r="N585" i="2"/>
  <c r="A585" i="2"/>
  <c r="M585" i="2"/>
  <c r="L585" i="2"/>
  <c r="H585" i="2"/>
  <c r="K585" i="2"/>
  <c r="B585" i="2"/>
  <c r="C585" i="2"/>
  <c r="I585" i="2"/>
  <c r="D585" i="2"/>
  <c r="E585" i="2"/>
  <c r="F585" i="2"/>
  <c r="G585" i="2"/>
  <c r="J584" i="2"/>
  <c r="N584" i="2"/>
  <c r="A584" i="2"/>
  <c r="M584" i="2"/>
  <c r="L584" i="2"/>
  <c r="H584" i="2"/>
  <c r="K584" i="2"/>
  <c r="B584" i="2"/>
  <c r="C584" i="2"/>
  <c r="I584" i="2"/>
  <c r="D584" i="2"/>
  <c r="E584" i="2"/>
  <c r="F584" i="2"/>
  <c r="G584" i="2"/>
  <c r="J583" i="2"/>
  <c r="N583" i="2"/>
  <c r="A583" i="2"/>
  <c r="M583" i="2"/>
  <c r="L583" i="2"/>
  <c r="H583" i="2"/>
  <c r="K583" i="2"/>
  <c r="B583" i="2"/>
  <c r="C583" i="2"/>
  <c r="I583" i="2"/>
  <c r="D583" i="2"/>
  <c r="E583" i="2"/>
  <c r="F583" i="2"/>
  <c r="G583" i="2"/>
  <c r="J582" i="2"/>
  <c r="N582" i="2"/>
  <c r="A582" i="2"/>
  <c r="M582" i="2"/>
  <c r="L582" i="2"/>
  <c r="H582" i="2"/>
  <c r="K582" i="2"/>
  <c r="B582" i="2"/>
  <c r="C582" i="2"/>
  <c r="I582" i="2"/>
  <c r="D582" i="2"/>
  <c r="E582" i="2"/>
  <c r="F582" i="2"/>
  <c r="G582" i="2"/>
  <c r="J581" i="2"/>
  <c r="N581" i="2"/>
  <c r="A581" i="2"/>
  <c r="M581" i="2"/>
  <c r="L581" i="2"/>
  <c r="H581" i="2"/>
  <c r="K581" i="2"/>
  <c r="B581" i="2"/>
  <c r="C581" i="2"/>
  <c r="I581" i="2"/>
  <c r="D581" i="2"/>
  <c r="E581" i="2"/>
  <c r="F581" i="2"/>
  <c r="G581" i="2"/>
  <c r="J580" i="2"/>
  <c r="N580" i="2"/>
  <c r="A580" i="2"/>
  <c r="M580" i="2"/>
  <c r="L580" i="2"/>
  <c r="H580" i="2"/>
  <c r="K580" i="2"/>
  <c r="B580" i="2"/>
  <c r="C580" i="2"/>
  <c r="I580" i="2"/>
  <c r="D580" i="2"/>
  <c r="E580" i="2"/>
  <c r="F580" i="2"/>
  <c r="G580" i="2"/>
  <c r="J579" i="2"/>
  <c r="N579" i="2"/>
  <c r="A579" i="2"/>
  <c r="M579" i="2"/>
  <c r="L579" i="2"/>
  <c r="H579" i="2"/>
  <c r="K579" i="2"/>
  <c r="B579" i="2"/>
  <c r="C579" i="2"/>
  <c r="I579" i="2"/>
  <c r="D579" i="2"/>
  <c r="E579" i="2"/>
  <c r="F579" i="2"/>
  <c r="G579" i="2"/>
  <c r="J578" i="2"/>
  <c r="N578" i="2"/>
  <c r="A578" i="2"/>
  <c r="M578" i="2"/>
  <c r="L578" i="2"/>
  <c r="H578" i="2"/>
  <c r="K578" i="2"/>
  <c r="B578" i="2"/>
  <c r="C578" i="2"/>
  <c r="I578" i="2"/>
  <c r="D578" i="2"/>
  <c r="E578" i="2"/>
  <c r="F578" i="2"/>
  <c r="G578" i="2"/>
  <c r="J577" i="2"/>
  <c r="N577" i="2"/>
  <c r="A577" i="2"/>
  <c r="M577" i="2"/>
  <c r="L577" i="2"/>
  <c r="H577" i="2"/>
  <c r="K577" i="2"/>
  <c r="B577" i="2"/>
  <c r="C577" i="2"/>
  <c r="I577" i="2"/>
  <c r="D577" i="2"/>
  <c r="E577" i="2"/>
  <c r="F577" i="2"/>
  <c r="G577" i="2"/>
  <c r="J576" i="2"/>
  <c r="N576" i="2"/>
  <c r="A576" i="2"/>
  <c r="M576" i="2"/>
  <c r="L576" i="2"/>
  <c r="H576" i="2"/>
  <c r="K576" i="2"/>
  <c r="B576" i="2"/>
  <c r="C576" i="2"/>
  <c r="I576" i="2"/>
  <c r="D576" i="2"/>
  <c r="E576" i="2"/>
  <c r="F576" i="2"/>
  <c r="G576" i="2"/>
  <c r="J575" i="2"/>
  <c r="N575" i="2"/>
  <c r="A575" i="2"/>
  <c r="M575" i="2"/>
  <c r="L575" i="2"/>
  <c r="H575" i="2"/>
  <c r="K575" i="2"/>
  <c r="B575" i="2"/>
  <c r="C575" i="2"/>
  <c r="I575" i="2"/>
  <c r="D575" i="2"/>
  <c r="E575" i="2"/>
  <c r="F575" i="2"/>
  <c r="G575" i="2"/>
  <c r="J574" i="2"/>
  <c r="N574" i="2"/>
  <c r="A574" i="2"/>
  <c r="M574" i="2"/>
  <c r="L574" i="2"/>
  <c r="H574" i="2"/>
  <c r="K574" i="2"/>
  <c r="B574" i="2"/>
  <c r="C574" i="2"/>
  <c r="I574" i="2"/>
  <c r="D574" i="2"/>
  <c r="E574" i="2"/>
  <c r="F574" i="2"/>
  <c r="G574" i="2"/>
  <c r="J573" i="2"/>
  <c r="N573" i="2"/>
  <c r="A573" i="2"/>
  <c r="M573" i="2"/>
  <c r="L573" i="2"/>
  <c r="H573" i="2"/>
  <c r="K573" i="2"/>
  <c r="B573" i="2"/>
  <c r="C573" i="2"/>
  <c r="I573" i="2"/>
  <c r="D573" i="2"/>
  <c r="E573" i="2"/>
  <c r="F573" i="2"/>
  <c r="G573" i="2"/>
  <c r="J572" i="2"/>
  <c r="N572" i="2"/>
  <c r="A572" i="2"/>
  <c r="M572" i="2"/>
  <c r="L572" i="2"/>
  <c r="H572" i="2"/>
  <c r="K572" i="2"/>
  <c r="B572" i="2"/>
  <c r="C572" i="2"/>
  <c r="I572" i="2"/>
  <c r="D572" i="2"/>
  <c r="E572" i="2"/>
  <c r="F572" i="2"/>
  <c r="G572" i="2"/>
  <c r="J571" i="2"/>
  <c r="N571" i="2"/>
  <c r="A571" i="2"/>
  <c r="M571" i="2"/>
  <c r="L571" i="2"/>
  <c r="H571" i="2"/>
  <c r="K571" i="2"/>
  <c r="B571" i="2"/>
  <c r="C571" i="2"/>
  <c r="I571" i="2"/>
  <c r="D571" i="2"/>
  <c r="E571" i="2"/>
  <c r="F571" i="2"/>
  <c r="G571" i="2"/>
  <c r="J570" i="2"/>
  <c r="N570" i="2"/>
  <c r="A570" i="2"/>
  <c r="M570" i="2"/>
  <c r="L570" i="2"/>
  <c r="H570" i="2"/>
  <c r="K570" i="2"/>
  <c r="B570" i="2"/>
  <c r="C570" i="2"/>
  <c r="I570" i="2"/>
  <c r="D570" i="2"/>
  <c r="E570" i="2"/>
  <c r="F570" i="2"/>
  <c r="G570" i="2"/>
  <c r="J569" i="2"/>
  <c r="N569" i="2"/>
  <c r="A569" i="2"/>
  <c r="M569" i="2"/>
  <c r="L569" i="2"/>
  <c r="H569" i="2"/>
  <c r="K569" i="2"/>
  <c r="B569" i="2"/>
  <c r="C569" i="2"/>
  <c r="I569" i="2"/>
  <c r="D569" i="2"/>
  <c r="E569" i="2"/>
  <c r="F569" i="2"/>
  <c r="G569" i="2"/>
  <c r="J568" i="2"/>
  <c r="N568" i="2"/>
  <c r="A568" i="2"/>
  <c r="M568" i="2"/>
  <c r="L568" i="2"/>
  <c r="H568" i="2"/>
  <c r="K568" i="2"/>
  <c r="B568" i="2"/>
  <c r="C568" i="2"/>
  <c r="I568" i="2"/>
  <c r="D568" i="2"/>
  <c r="E568" i="2"/>
  <c r="F568" i="2"/>
  <c r="G568" i="2"/>
  <c r="J567" i="2"/>
  <c r="N567" i="2"/>
  <c r="A567" i="2"/>
  <c r="M567" i="2"/>
  <c r="L567" i="2"/>
  <c r="H567" i="2"/>
  <c r="K567" i="2"/>
  <c r="B567" i="2"/>
  <c r="C567" i="2"/>
  <c r="I567" i="2"/>
  <c r="D567" i="2"/>
  <c r="E567" i="2"/>
  <c r="F567" i="2"/>
  <c r="G567" i="2"/>
  <c r="J566" i="2"/>
  <c r="N566" i="2"/>
  <c r="A566" i="2"/>
  <c r="M566" i="2"/>
  <c r="L566" i="2"/>
  <c r="H566" i="2"/>
  <c r="K566" i="2"/>
  <c r="B566" i="2"/>
  <c r="C566" i="2"/>
  <c r="I566" i="2"/>
  <c r="D566" i="2"/>
  <c r="E566" i="2"/>
  <c r="F566" i="2"/>
  <c r="G566" i="2"/>
  <c r="J565" i="2"/>
  <c r="N565" i="2"/>
  <c r="A565" i="2"/>
  <c r="M565" i="2"/>
  <c r="L565" i="2"/>
  <c r="H565" i="2"/>
  <c r="K565" i="2"/>
  <c r="B565" i="2"/>
  <c r="C565" i="2"/>
  <c r="I565" i="2"/>
  <c r="D565" i="2"/>
  <c r="E565" i="2"/>
  <c r="F565" i="2"/>
  <c r="G565" i="2"/>
  <c r="J564" i="2"/>
  <c r="N564" i="2"/>
  <c r="A564" i="2"/>
  <c r="M564" i="2"/>
  <c r="L564" i="2"/>
  <c r="H564" i="2"/>
  <c r="K564" i="2"/>
  <c r="B564" i="2"/>
  <c r="C564" i="2"/>
  <c r="I564" i="2"/>
  <c r="D564" i="2"/>
  <c r="E564" i="2"/>
  <c r="F564" i="2"/>
  <c r="G564" i="2"/>
  <c r="J563" i="2"/>
  <c r="N563" i="2"/>
  <c r="A563" i="2"/>
  <c r="M563" i="2"/>
  <c r="L563" i="2"/>
  <c r="H563" i="2"/>
  <c r="K563" i="2"/>
  <c r="B563" i="2"/>
  <c r="C563" i="2"/>
  <c r="I563" i="2"/>
  <c r="D563" i="2"/>
  <c r="E563" i="2"/>
  <c r="F563" i="2"/>
  <c r="G563" i="2"/>
  <c r="J562" i="2"/>
  <c r="N562" i="2"/>
  <c r="A562" i="2"/>
  <c r="M562" i="2"/>
  <c r="L562" i="2"/>
  <c r="H562" i="2"/>
  <c r="K562" i="2"/>
  <c r="B562" i="2"/>
  <c r="C562" i="2"/>
  <c r="I562" i="2"/>
  <c r="D562" i="2"/>
  <c r="E562" i="2"/>
  <c r="F562" i="2"/>
  <c r="G562" i="2"/>
  <c r="J561" i="2"/>
  <c r="N561" i="2"/>
  <c r="A561" i="2"/>
  <c r="M561" i="2"/>
  <c r="L561" i="2"/>
  <c r="H561" i="2"/>
  <c r="K561" i="2"/>
  <c r="B561" i="2"/>
  <c r="C561" i="2"/>
  <c r="I561" i="2"/>
  <c r="D561" i="2"/>
  <c r="E561" i="2"/>
  <c r="F561" i="2"/>
  <c r="G561" i="2"/>
  <c r="J560" i="2"/>
  <c r="N560" i="2"/>
  <c r="A560" i="2"/>
  <c r="M560" i="2"/>
  <c r="L560" i="2"/>
  <c r="H560" i="2"/>
  <c r="K560" i="2"/>
  <c r="B560" i="2"/>
  <c r="C560" i="2"/>
  <c r="I560" i="2"/>
  <c r="D560" i="2"/>
  <c r="E560" i="2"/>
  <c r="F560" i="2"/>
  <c r="G560" i="2"/>
  <c r="J559" i="2"/>
  <c r="N559" i="2"/>
  <c r="A559" i="2"/>
  <c r="M559" i="2"/>
  <c r="L559" i="2"/>
  <c r="H559" i="2"/>
  <c r="K559" i="2"/>
  <c r="B559" i="2"/>
  <c r="C559" i="2"/>
  <c r="I559" i="2"/>
  <c r="D559" i="2"/>
  <c r="E559" i="2"/>
  <c r="F559" i="2"/>
  <c r="G559" i="2"/>
  <c r="J558" i="2"/>
  <c r="N558" i="2"/>
  <c r="A558" i="2"/>
  <c r="M558" i="2"/>
  <c r="L558" i="2"/>
  <c r="H558" i="2"/>
  <c r="K558" i="2"/>
  <c r="B558" i="2"/>
  <c r="C558" i="2"/>
  <c r="I558" i="2"/>
  <c r="D558" i="2"/>
  <c r="E558" i="2"/>
  <c r="F558" i="2"/>
  <c r="G558" i="2"/>
  <c r="J557" i="2"/>
  <c r="N557" i="2"/>
  <c r="A557" i="2"/>
  <c r="M557" i="2"/>
  <c r="L557" i="2"/>
  <c r="H557" i="2"/>
  <c r="K557" i="2"/>
  <c r="B557" i="2"/>
  <c r="C557" i="2"/>
  <c r="I557" i="2"/>
  <c r="D557" i="2"/>
  <c r="E557" i="2"/>
  <c r="F557" i="2"/>
  <c r="G557" i="2"/>
  <c r="J556" i="2"/>
  <c r="N556" i="2"/>
  <c r="A556" i="2"/>
  <c r="M556" i="2"/>
  <c r="L556" i="2"/>
  <c r="H556" i="2"/>
  <c r="K556" i="2"/>
  <c r="B556" i="2"/>
  <c r="C556" i="2"/>
  <c r="I556" i="2"/>
  <c r="D556" i="2"/>
  <c r="E556" i="2"/>
  <c r="F556" i="2"/>
  <c r="G556" i="2"/>
  <c r="J555" i="2"/>
  <c r="N555" i="2"/>
  <c r="A555" i="2"/>
  <c r="M555" i="2"/>
  <c r="L555" i="2"/>
  <c r="H555" i="2"/>
  <c r="K555" i="2"/>
  <c r="B555" i="2"/>
  <c r="C555" i="2"/>
  <c r="I555" i="2"/>
  <c r="D555" i="2"/>
  <c r="E555" i="2"/>
  <c r="F555" i="2"/>
  <c r="G555" i="2"/>
  <c r="J554" i="2"/>
  <c r="N554" i="2"/>
  <c r="A554" i="2"/>
  <c r="M554" i="2"/>
  <c r="L554" i="2"/>
  <c r="H554" i="2"/>
  <c r="K554" i="2"/>
  <c r="B554" i="2"/>
  <c r="C554" i="2"/>
  <c r="I554" i="2"/>
  <c r="D554" i="2"/>
  <c r="E554" i="2"/>
  <c r="F554" i="2"/>
  <c r="G554" i="2"/>
  <c r="J553" i="2"/>
  <c r="N553" i="2"/>
  <c r="A553" i="2"/>
  <c r="M553" i="2"/>
  <c r="L553" i="2"/>
  <c r="H553" i="2"/>
  <c r="K553" i="2"/>
  <c r="B553" i="2"/>
  <c r="C553" i="2"/>
  <c r="I553" i="2"/>
  <c r="D553" i="2"/>
  <c r="E553" i="2"/>
  <c r="F553" i="2"/>
  <c r="G553" i="2"/>
  <c r="J552" i="2"/>
  <c r="N552" i="2"/>
  <c r="A552" i="2"/>
  <c r="M552" i="2"/>
  <c r="L552" i="2"/>
  <c r="H552" i="2"/>
  <c r="K552" i="2"/>
  <c r="B552" i="2"/>
  <c r="C552" i="2"/>
  <c r="I552" i="2"/>
  <c r="D552" i="2"/>
  <c r="E552" i="2"/>
  <c r="F552" i="2"/>
  <c r="G552" i="2"/>
  <c r="J551" i="2"/>
  <c r="N551" i="2"/>
  <c r="A551" i="2"/>
  <c r="M551" i="2"/>
  <c r="L551" i="2"/>
  <c r="H551" i="2"/>
  <c r="K551" i="2"/>
  <c r="B551" i="2"/>
  <c r="C551" i="2"/>
  <c r="I551" i="2"/>
  <c r="D551" i="2"/>
  <c r="E551" i="2"/>
  <c r="F551" i="2"/>
  <c r="G551" i="2"/>
  <c r="J550" i="2"/>
  <c r="N550" i="2"/>
  <c r="A550" i="2"/>
  <c r="M550" i="2"/>
  <c r="L550" i="2"/>
  <c r="H550" i="2"/>
  <c r="K550" i="2"/>
  <c r="B550" i="2"/>
  <c r="C550" i="2"/>
  <c r="I550" i="2"/>
  <c r="D550" i="2"/>
  <c r="E550" i="2"/>
  <c r="F550" i="2"/>
  <c r="G550" i="2"/>
  <c r="J549" i="2"/>
  <c r="N549" i="2"/>
  <c r="A549" i="2"/>
  <c r="M549" i="2"/>
  <c r="L549" i="2"/>
  <c r="H549" i="2"/>
  <c r="K549" i="2"/>
  <c r="B549" i="2"/>
  <c r="C549" i="2"/>
  <c r="I549" i="2"/>
  <c r="D549" i="2"/>
  <c r="E549" i="2"/>
  <c r="F549" i="2"/>
  <c r="G549" i="2"/>
  <c r="J548" i="2"/>
  <c r="N548" i="2"/>
  <c r="A548" i="2"/>
  <c r="M548" i="2"/>
  <c r="L548" i="2"/>
  <c r="H548" i="2"/>
  <c r="K548" i="2"/>
  <c r="B548" i="2"/>
  <c r="C548" i="2"/>
  <c r="I548" i="2"/>
  <c r="D548" i="2"/>
  <c r="E548" i="2"/>
  <c r="F548" i="2"/>
  <c r="G548" i="2"/>
  <c r="J547" i="2"/>
  <c r="N547" i="2"/>
  <c r="A547" i="2"/>
  <c r="M547" i="2"/>
  <c r="L547" i="2"/>
  <c r="H547" i="2"/>
  <c r="K547" i="2"/>
  <c r="B547" i="2"/>
  <c r="C547" i="2"/>
  <c r="I547" i="2"/>
  <c r="D547" i="2"/>
  <c r="E547" i="2"/>
  <c r="F547" i="2"/>
  <c r="G547" i="2"/>
  <c r="J546" i="2"/>
  <c r="N546" i="2"/>
  <c r="A546" i="2"/>
  <c r="M546" i="2"/>
  <c r="L546" i="2"/>
  <c r="H546" i="2"/>
  <c r="K546" i="2"/>
  <c r="B546" i="2"/>
  <c r="C546" i="2"/>
  <c r="I546" i="2"/>
  <c r="D546" i="2"/>
  <c r="E546" i="2"/>
  <c r="F546" i="2"/>
  <c r="G546" i="2"/>
  <c r="J545" i="2"/>
  <c r="N545" i="2"/>
  <c r="A545" i="2"/>
  <c r="M545" i="2"/>
  <c r="L545" i="2"/>
  <c r="H545" i="2"/>
  <c r="K545" i="2"/>
  <c r="B545" i="2"/>
  <c r="C545" i="2"/>
  <c r="I545" i="2"/>
  <c r="D545" i="2"/>
  <c r="E545" i="2"/>
  <c r="F545" i="2"/>
  <c r="G545" i="2"/>
  <c r="J544" i="2"/>
  <c r="N544" i="2"/>
  <c r="A544" i="2"/>
  <c r="M544" i="2"/>
  <c r="L544" i="2"/>
  <c r="H544" i="2"/>
  <c r="K544" i="2"/>
  <c r="B544" i="2"/>
  <c r="C544" i="2"/>
  <c r="I544" i="2"/>
  <c r="D544" i="2"/>
  <c r="E544" i="2"/>
  <c r="F544" i="2"/>
  <c r="G544" i="2"/>
  <c r="J543" i="2"/>
  <c r="N543" i="2"/>
  <c r="A543" i="2"/>
  <c r="M543" i="2"/>
  <c r="L543" i="2"/>
  <c r="H543" i="2"/>
  <c r="K543" i="2"/>
  <c r="B543" i="2"/>
  <c r="C543" i="2"/>
  <c r="I543" i="2"/>
  <c r="D543" i="2"/>
  <c r="E543" i="2"/>
  <c r="F543" i="2"/>
  <c r="G543" i="2"/>
  <c r="J542" i="2"/>
  <c r="N542" i="2"/>
  <c r="A542" i="2"/>
  <c r="M542" i="2"/>
  <c r="L542" i="2"/>
  <c r="H542" i="2"/>
  <c r="K542" i="2"/>
  <c r="B542" i="2"/>
  <c r="C542" i="2"/>
  <c r="I542" i="2"/>
  <c r="D542" i="2"/>
  <c r="E542" i="2"/>
  <c r="F542" i="2"/>
  <c r="G542" i="2"/>
  <c r="J541" i="2"/>
  <c r="N541" i="2"/>
  <c r="A541" i="2"/>
  <c r="M541" i="2"/>
  <c r="L541" i="2"/>
  <c r="H541" i="2"/>
  <c r="K541" i="2"/>
  <c r="B541" i="2"/>
  <c r="C541" i="2"/>
  <c r="I541" i="2"/>
  <c r="D541" i="2"/>
  <c r="E541" i="2"/>
  <c r="F541" i="2"/>
  <c r="G541" i="2"/>
  <c r="J540" i="2"/>
  <c r="N540" i="2"/>
  <c r="A540" i="2"/>
  <c r="M540" i="2"/>
  <c r="L540" i="2"/>
  <c r="H540" i="2"/>
  <c r="K540" i="2"/>
  <c r="B540" i="2"/>
  <c r="C540" i="2"/>
  <c r="I540" i="2"/>
  <c r="D540" i="2"/>
  <c r="E540" i="2"/>
  <c r="F540" i="2"/>
  <c r="G540" i="2"/>
  <c r="J539" i="2"/>
  <c r="N539" i="2"/>
  <c r="A539" i="2"/>
  <c r="M539" i="2"/>
  <c r="L539" i="2"/>
  <c r="H539" i="2"/>
  <c r="K539" i="2"/>
  <c r="B539" i="2"/>
  <c r="C539" i="2"/>
  <c r="I539" i="2"/>
  <c r="D539" i="2"/>
  <c r="E539" i="2"/>
  <c r="F539" i="2"/>
  <c r="G539" i="2"/>
  <c r="J538" i="2"/>
  <c r="N538" i="2"/>
  <c r="A538" i="2"/>
  <c r="M538" i="2"/>
  <c r="L538" i="2"/>
  <c r="H538" i="2"/>
  <c r="K538" i="2"/>
  <c r="B538" i="2"/>
  <c r="C538" i="2"/>
  <c r="I538" i="2"/>
  <c r="D538" i="2"/>
  <c r="E538" i="2"/>
  <c r="F538" i="2"/>
  <c r="G538" i="2"/>
  <c r="J537" i="2"/>
  <c r="N537" i="2"/>
  <c r="A537" i="2"/>
  <c r="M537" i="2"/>
  <c r="L537" i="2"/>
  <c r="H537" i="2"/>
  <c r="K537" i="2"/>
  <c r="B537" i="2"/>
  <c r="C537" i="2"/>
  <c r="I537" i="2"/>
  <c r="D537" i="2"/>
  <c r="E537" i="2"/>
  <c r="F537" i="2"/>
  <c r="G537" i="2"/>
  <c r="J536" i="2"/>
  <c r="N536" i="2"/>
  <c r="A536" i="2"/>
  <c r="M536" i="2"/>
  <c r="L536" i="2"/>
  <c r="H536" i="2"/>
  <c r="K536" i="2"/>
  <c r="B536" i="2"/>
  <c r="C536" i="2"/>
  <c r="I536" i="2"/>
  <c r="D536" i="2"/>
  <c r="E536" i="2"/>
  <c r="F536" i="2"/>
  <c r="G536" i="2"/>
  <c r="J535" i="2"/>
  <c r="N535" i="2"/>
  <c r="A535" i="2"/>
  <c r="M535" i="2"/>
  <c r="L535" i="2"/>
  <c r="H535" i="2"/>
  <c r="K535" i="2"/>
  <c r="B535" i="2"/>
  <c r="C535" i="2"/>
  <c r="I535" i="2"/>
  <c r="D535" i="2"/>
  <c r="E535" i="2"/>
  <c r="F535" i="2"/>
  <c r="G535" i="2"/>
  <c r="J534" i="2"/>
  <c r="N534" i="2"/>
  <c r="A534" i="2"/>
  <c r="M534" i="2"/>
  <c r="L534" i="2"/>
  <c r="H534" i="2"/>
  <c r="K534" i="2"/>
  <c r="B534" i="2"/>
  <c r="C534" i="2"/>
  <c r="I534" i="2"/>
  <c r="D534" i="2"/>
  <c r="E534" i="2"/>
  <c r="F534" i="2"/>
  <c r="G534" i="2"/>
  <c r="J533" i="2"/>
  <c r="N533" i="2"/>
  <c r="A533" i="2"/>
  <c r="M533" i="2"/>
  <c r="L533" i="2"/>
  <c r="H533" i="2"/>
  <c r="K533" i="2"/>
  <c r="B533" i="2"/>
  <c r="C533" i="2"/>
  <c r="I533" i="2"/>
  <c r="D533" i="2"/>
  <c r="E533" i="2"/>
  <c r="F533" i="2"/>
  <c r="G533" i="2"/>
  <c r="J532" i="2"/>
  <c r="N532" i="2"/>
  <c r="A532" i="2"/>
  <c r="M532" i="2"/>
  <c r="L532" i="2"/>
  <c r="H532" i="2"/>
  <c r="K532" i="2"/>
  <c r="B532" i="2"/>
  <c r="C532" i="2"/>
  <c r="I532" i="2"/>
  <c r="D532" i="2"/>
  <c r="E532" i="2"/>
  <c r="F532" i="2"/>
  <c r="G532" i="2"/>
  <c r="J531" i="2"/>
  <c r="N531" i="2"/>
  <c r="A531" i="2"/>
  <c r="M531" i="2"/>
  <c r="L531" i="2"/>
  <c r="H531" i="2"/>
  <c r="K531" i="2"/>
  <c r="B531" i="2"/>
  <c r="C531" i="2"/>
  <c r="I531" i="2"/>
  <c r="D531" i="2"/>
  <c r="E531" i="2"/>
  <c r="F531" i="2"/>
  <c r="G531" i="2"/>
  <c r="J530" i="2"/>
  <c r="N530" i="2"/>
  <c r="A530" i="2"/>
  <c r="M530" i="2"/>
  <c r="L530" i="2"/>
  <c r="H530" i="2"/>
  <c r="K530" i="2"/>
  <c r="B530" i="2"/>
  <c r="C530" i="2"/>
  <c r="I530" i="2"/>
  <c r="D530" i="2"/>
  <c r="E530" i="2"/>
  <c r="F530" i="2"/>
  <c r="G530" i="2"/>
  <c r="J529" i="2"/>
  <c r="N529" i="2"/>
  <c r="A529" i="2"/>
  <c r="M529" i="2"/>
  <c r="L529" i="2"/>
  <c r="H529" i="2"/>
  <c r="K529" i="2"/>
  <c r="B529" i="2"/>
  <c r="C529" i="2"/>
  <c r="I529" i="2"/>
  <c r="D529" i="2"/>
  <c r="E529" i="2"/>
  <c r="F529" i="2"/>
  <c r="G529" i="2"/>
  <c r="J528" i="2"/>
  <c r="N528" i="2"/>
  <c r="A528" i="2"/>
  <c r="M528" i="2"/>
  <c r="L528" i="2"/>
  <c r="H528" i="2"/>
  <c r="K528" i="2"/>
  <c r="B528" i="2"/>
  <c r="C528" i="2"/>
  <c r="I528" i="2"/>
  <c r="D528" i="2"/>
  <c r="E528" i="2"/>
  <c r="F528" i="2"/>
  <c r="G528" i="2"/>
  <c r="J527" i="2"/>
  <c r="N527" i="2"/>
  <c r="A527" i="2"/>
  <c r="M527" i="2"/>
  <c r="L527" i="2"/>
  <c r="H527" i="2"/>
  <c r="K527" i="2"/>
  <c r="B527" i="2"/>
  <c r="C527" i="2"/>
  <c r="I527" i="2"/>
  <c r="D527" i="2"/>
  <c r="E527" i="2"/>
  <c r="F527" i="2"/>
  <c r="G527" i="2"/>
  <c r="J526" i="2"/>
  <c r="N526" i="2"/>
  <c r="A526" i="2"/>
  <c r="M526" i="2"/>
  <c r="L526" i="2"/>
  <c r="H526" i="2"/>
  <c r="K526" i="2"/>
  <c r="B526" i="2"/>
  <c r="C526" i="2"/>
  <c r="I526" i="2"/>
  <c r="D526" i="2"/>
  <c r="E526" i="2"/>
  <c r="F526" i="2"/>
  <c r="G526" i="2"/>
  <c r="J525" i="2"/>
  <c r="N525" i="2"/>
  <c r="A525" i="2"/>
  <c r="M525" i="2"/>
  <c r="L525" i="2"/>
  <c r="H525" i="2"/>
  <c r="K525" i="2"/>
  <c r="B525" i="2"/>
  <c r="C525" i="2"/>
  <c r="I525" i="2"/>
  <c r="D525" i="2"/>
  <c r="E525" i="2"/>
  <c r="F525" i="2"/>
  <c r="G525" i="2"/>
  <c r="J524" i="2"/>
  <c r="N524" i="2"/>
  <c r="A524" i="2"/>
  <c r="M524" i="2"/>
  <c r="L524" i="2"/>
  <c r="H524" i="2"/>
  <c r="K524" i="2"/>
  <c r="B524" i="2"/>
  <c r="C524" i="2"/>
  <c r="I524" i="2"/>
  <c r="D524" i="2"/>
  <c r="E524" i="2"/>
  <c r="F524" i="2"/>
  <c r="G524" i="2"/>
  <c r="J523" i="2"/>
  <c r="N523" i="2"/>
  <c r="A523" i="2"/>
  <c r="M523" i="2"/>
  <c r="L523" i="2"/>
  <c r="H523" i="2"/>
  <c r="K523" i="2"/>
  <c r="B523" i="2"/>
  <c r="C523" i="2"/>
  <c r="I523" i="2"/>
  <c r="D523" i="2"/>
  <c r="E523" i="2"/>
  <c r="F523" i="2"/>
  <c r="G523" i="2"/>
  <c r="J522" i="2"/>
  <c r="N522" i="2"/>
  <c r="A522" i="2"/>
  <c r="M522" i="2"/>
  <c r="L522" i="2"/>
  <c r="H522" i="2"/>
  <c r="K522" i="2"/>
  <c r="B522" i="2"/>
  <c r="C522" i="2"/>
  <c r="I522" i="2"/>
  <c r="D522" i="2"/>
  <c r="E522" i="2"/>
  <c r="F522" i="2"/>
  <c r="G522" i="2"/>
  <c r="J521" i="2"/>
  <c r="N521" i="2"/>
  <c r="A521" i="2"/>
  <c r="M521" i="2"/>
  <c r="L521" i="2"/>
  <c r="H521" i="2"/>
  <c r="K521" i="2"/>
  <c r="B521" i="2"/>
  <c r="C521" i="2"/>
  <c r="I521" i="2"/>
  <c r="D521" i="2"/>
  <c r="E521" i="2"/>
  <c r="F521" i="2"/>
  <c r="G521" i="2"/>
  <c r="J520" i="2"/>
  <c r="N520" i="2"/>
  <c r="A520" i="2"/>
  <c r="M520" i="2"/>
  <c r="L520" i="2"/>
  <c r="H520" i="2"/>
  <c r="K520" i="2"/>
  <c r="B520" i="2"/>
  <c r="C520" i="2"/>
  <c r="I520" i="2"/>
  <c r="D520" i="2"/>
  <c r="E520" i="2"/>
  <c r="F520" i="2"/>
  <c r="G520" i="2"/>
  <c r="J519" i="2"/>
  <c r="N519" i="2"/>
  <c r="A519" i="2"/>
  <c r="M519" i="2"/>
  <c r="L519" i="2"/>
  <c r="H519" i="2"/>
  <c r="K519" i="2"/>
  <c r="B519" i="2"/>
  <c r="C519" i="2"/>
  <c r="I519" i="2"/>
  <c r="D519" i="2"/>
  <c r="E519" i="2"/>
  <c r="F519" i="2"/>
  <c r="G519" i="2"/>
  <c r="J518" i="2"/>
  <c r="N518" i="2"/>
  <c r="A518" i="2"/>
  <c r="M518" i="2"/>
  <c r="L518" i="2"/>
  <c r="H518" i="2"/>
  <c r="K518" i="2"/>
  <c r="B518" i="2"/>
  <c r="C518" i="2"/>
  <c r="I518" i="2"/>
  <c r="D518" i="2"/>
  <c r="E518" i="2"/>
  <c r="F518" i="2"/>
  <c r="G518" i="2"/>
  <c r="J517" i="2"/>
  <c r="N517" i="2"/>
  <c r="A517" i="2"/>
  <c r="M517" i="2"/>
  <c r="L517" i="2"/>
  <c r="H517" i="2"/>
  <c r="K517" i="2"/>
  <c r="B517" i="2"/>
  <c r="C517" i="2"/>
  <c r="I517" i="2"/>
  <c r="D517" i="2"/>
  <c r="E517" i="2"/>
  <c r="F517" i="2"/>
  <c r="G517" i="2"/>
  <c r="J516" i="2"/>
  <c r="N516" i="2"/>
  <c r="A516" i="2"/>
  <c r="M516" i="2"/>
  <c r="L516" i="2"/>
  <c r="H516" i="2"/>
  <c r="K516" i="2"/>
  <c r="B516" i="2"/>
  <c r="C516" i="2"/>
  <c r="I516" i="2"/>
  <c r="D516" i="2"/>
  <c r="E516" i="2"/>
  <c r="F516" i="2"/>
  <c r="G516" i="2"/>
  <c r="J515" i="2"/>
  <c r="N515" i="2"/>
  <c r="A515" i="2"/>
  <c r="M515" i="2"/>
  <c r="L515" i="2"/>
  <c r="H515" i="2"/>
  <c r="K515" i="2"/>
  <c r="B515" i="2"/>
  <c r="C515" i="2"/>
  <c r="I515" i="2"/>
  <c r="D515" i="2"/>
  <c r="E515" i="2"/>
  <c r="F515" i="2"/>
  <c r="G515" i="2"/>
  <c r="J514" i="2"/>
  <c r="N514" i="2"/>
  <c r="A514" i="2"/>
  <c r="M514" i="2"/>
  <c r="L514" i="2"/>
  <c r="H514" i="2"/>
  <c r="K514" i="2"/>
  <c r="B514" i="2"/>
  <c r="C514" i="2"/>
  <c r="I514" i="2"/>
  <c r="D514" i="2"/>
  <c r="E514" i="2"/>
  <c r="F514" i="2"/>
  <c r="G514" i="2"/>
  <c r="J513" i="2"/>
  <c r="N513" i="2"/>
  <c r="A513" i="2"/>
  <c r="M513" i="2"/>
  <c r="L513" i="2"/>
  <c r="H513" i="2"/>
  <c r="K513" i="2"/>
  <c r="B513" i="2"/>
  <c r="C513" i="2"/>
  <c r="I513" i="2"/>
  <c r="D513" i="2"/>
  <c r="E513" i="2"/>
  <c r="F513" i="2"/>
  <c r="G513" i="2"/>
  <c r="J512" i="2"/>
  <c r="N512" i="2"/>
  <c r="A512" i="2"/>
  <c r="M512" i="2"/>
  <c r="L512" i="2"/>
  <c r="H512" i="2"/>
  <c r="K512" i="2"/>
  <c r="B512" i="2"/>
  <c r="C512" i="2"/>
  <c r="I512" i="2"/>
  <c r="D512" i="2"/>
  <c r="E512" i="2"/>
  <c r="F512" i="2"/>
  <c r="G512" i="2"/>
  <c r="J511" i="2"/>
  <c r="N511" i="2"/>
  <c r="A511" i="2"/>
  <c r="M511" i="2"/>
  <c r="L511" i="2"/>
  <c r="H511" i="2"/>
  <c r="K511" i="2"/>
  <c r="B511" i="2"/>
  <c r="C511" i="2"/>
  <c r="I511" i="2"/>
  <c r="D511" i="2"/>
  <c r="E511" i="2"/>
  <c r="F511" i="2"/>
  <c r="G511" i="2"/>
  <c r="J510" i="2"/>
  <c r="N510" i="2"/>
  <c r="A510" i="2"/>
  <c r="M510" i="2"/>
  <c r="L510" i="2"/>
  <c r="H510" i="2"/>
  <c r="K510" i="2"/>
  <c r="B510" i="2"/>
  <c r="C510" i="2"/>
  <c r="I510" i="2"/>
  <c r="D510" i="2"/>
  <c r="E510" i="2"/>
  <c r="F510" i="2"/>
  <c r="G510" i="2"/>
  <c r="J509" i="2"/>
  <c r="N509" i="2"/>
  <c r="A509" i="2"/>
  <c r="M509" i="2"/>
  <c r="L509" i="2"/>
  <c r="H509" i="2"/>
  <c r="K509" i="2"/>
  <c r="B509" i="2"/>
  <c r="C509" i="2"/>
  <c r="I509" i="2"/>
  <c r="D509" i="2"/>
  <c r="E509" i="2"/>
  <c r="F509" i="2"/>
  <c r="G509" i="2"/>
  <c r="J508" i="2"/>
  <c r="N508" i="2"/>
  <c r="A508" i="2"/>
  <c r="M508" i="2"/>
  <c r="L508" i="2"/>
  <c r="H508" i="2"/>
  <c r="K508" i="2"/>
  <c r="B508" i="2"/>
  <c r="C508" i="2"/>
  <c r="I508" i="2"/>
  <c r="D508" i="2"/>
  <c r="E508" i="2"/>
  <c r="F508" i="2"/>
  <c r="G508" i="2"/>
  <c r="J507" i="2"/>
  <c r="N507" i="2"/>
  <c r="A507" i="2"/>
  <c r="M507" i="2"/>
  <c r="L507" i="2"/>
  <c r="H507" i="2"/>
  <c r="K507" i="2"/>
  <c r="B507" i="2"/>
  <c r="C507" i="2"/>
  <c r="I507" i="2"/>
  <c r="D507" i="2"/>
  <c r="E507" i="2"/>
  <c r="F507" i="2"/>
  <c r="G507" i="2"/>
  <c r="J506" i="2"/>
  <c r="N506" i="2"/>
  <c r="A506" i="2"/>
  <c r="M506" i="2"/>
  <c r="L506" i="2"/>
  <c r="H506" i="2"/>
  <c r="K506" i="2"/>
  <c r="B506" i="2"/>
  <c r="C506" i="2"/>
  <c r="I506" i="2"/>
  <c r="D506" i="2"/>
  <c r="E506" i="2"/>
  <c r="F506" i="2"/>
  <c r="G506" i="2"/>
  <c r="J505" i="2"/>
  <c r="N505" i="2"/>
  <c r="A505" i="2"/>
  <c r="M505" i="2"/>
  <c r="L505" i="2"/>
  <c r="H505" i="2"/>
  <c r="K505" i="2"/>
  <c r="B505" i="2"/>
  <c r="C505" i="2"/>
  <c r="I505" i="2"/>
  <c r="D505" i="2"/>
  <c r="E505" i="2"/>
  <c r="F505" i="2"/>
  <c r="G505" i="2"/>
  <c r="J504" i="2"/>
  <c r="N504" i="2"/>
  <c r="A504" i="2"/>
  <c r="M504" i="2"/>
  <c r="L504" i="2"/>
  <c r="H504" i="2"/>
  <c r="K504" i="2"/>
  <c r="B504" i="2"/>
  <c r="C504" i="2"/>
  <c r="I504" i="2"/>
  <c r="D504" i="2"/>
  <c r="E504" i="2"/>
  <c r="F504" i="2"/>
  <c r="G504" i="2"/>
  <c r="J503" i="2"/>
  <c r="N503" i="2"/>
  <c r="A503" i="2"/>
  <c r="M503" i="2"/>
  <c r="L503" i="2"/>
  <c r="H503" i="2"/>
  <c r="K503" i="2"/>
  <c r="B503" i="2"/>
  <c r="C503" i="2"/>
  <c r="I503" i="2"/>
  <c r="D503" i="2"/>
  <c r="E503" i="2"/>
  <c r="F503" i="2"/>
  <c r="G503" i="2"/>
  <c r="J502" i="2"/>
  <c r="N502" i="2"/>
  <c r="A502" i="2"/>
  <c r="M502" i="2"/>
  <c r="L502" i="2"/>
  <c r="H502" i="2"/>
  <c r="K502" i="2"/>
  <c r="B502" i="2"/>
  <c r="C502" i="2"/>
  <c r="I502" i="2"/>
  <c r="D502" i="2"/>
  <c r="E502" i="2"/>
  <c r="F502" i="2"/>
  <c r="G502" i="2"/>
  <c r="J501" i="2"/>
  <c r="N501" i="2"/>
  <c r="A501" i="2"/>
  <c r="M501" i="2"/>
  <c r="L501" i="2"/>
  <c r="H501" i="2"/>
  <c r="K501" i="2"/>
  <c r="B501" i="2"/>
  <c r="C501" i="2"/>
  <c r="I501" i="2"/>
  <c r="D501" i="2"/>
  <c r="E501" i="2"/>
  <c r="F501" i="2"/>
  <c r="G501" i="2"/>
  <c r="J500" i="2"/>
  <c r="N500" i="2"/>
  <c r="A500" i="2"/>
  <c r="M500" i="2"/>
  <c r="L500" i="2"/>
  <c r="H500" i="2"/>
  <c r="K500" i="2"/>
  <c r="B500" i="2"/>
  <c r="C500" i="2"/>
  <c r="I500" i="2"/>
  <c r="D500" i="2"/>
  <c r="E500" i="2"/>
  <c r="F500" i="2"/>
  <c r="G500" i="2"/>
  <c r="J499" i="2"/>
  <c r="N499" i="2"/>
  <c r="A499" i="2"/>
  <c r="M499" i="2"/>
  <c r="L499" i="2"/>
  <c r="H499" i="2"/>
  <c r="K499" i="2"/>
  <c r="B499" i="2"/>
  <c r="C499" i="2"/>
  <c r="I499" i="2"/>
  <c r="D499" i="2"/>
  <c r="E499" i="2"/>
  <c r="F499" i="2"/>
  <c r="G499" i="2"/>
  <c r="J498" i="2"/>
  <c r="N498" i="2"/>
  <c r="A498" i="2"/>
  <c r="M498" i="2"/>
  <c r="L498" i="2"/>
  <c r="H498" i="2"/>
  <c r="K498" i="2"/>
  <c r="B498" i="2"/>
  <c r="C498" i="2"/>
  <c r="I498" i="2"/>
  <c r="D498" i="2"/>
  <c r="E498" i="2"/>
  <c r="F498" i="2"/>
  <c r="G498" i="2"/>
  <c r="J497" i="2"/>
  <c r="N497" i="2"/>
  <c r="A497" i="2"/>
  <c r="M497" i="2"/>
  <c r="L497" i="2"/>
  <c r="H497" i="2"/>
  <c r="K497" i="2"/>
  <c r="B497" i="2"/>
  <c r="C497" i="2"/>
  <c r="I497" i="2"/>
  <c r="D497" i="2"/>
  <c r="E497" i="2"/>
  <c r="F497" i="2"/>
  <c r="G497" i="2"/>
  <c r="J496" i="2"/>
  <c r="N496" i="2"/>
  <c r="A496" i="2"/>
  <c r="M496" i="2"/>
  <c r="L496" i="2"/>
  <c r="H496" i="2"/>
  <c r="K496" i="2"/>
  <c r="B496" i="2"/>
  <c r="C496" i="2"/>
  <c r="I496" i="2"/>
  <c r="D496" i="2"/>
  <c r="E496" i="2"/>
  <c r="F496" i="2"/>
  <c r="G496" i="2"/>
  <c r="J495" i="2"/>
  <c r="N495" i="2"/>
  <c r="A495" i="2"/>
  <c r="M495" i="2"/>
  <c r="L495" i="2"/>
  <c r="H495" i="2"/>
  <c r="K495" i="2"/>
  <c r="B495" i="2"/>
  <c r="C495" i="2"/>
  <c r="I495" i="2"/>
  <c r="D495" i="2"/>
  <c r="E495" i="2"/>
  <c r="F495" i="2"/>
  <c r="G495" i="2"/>
  <c r="J494" i="2"/>
  <c r="N494" i="2"/>
  <c r="A494" i="2"/>
  <c r="M494" i="2"/>
  <c r="L494" i="2"/>
  <c r="H494" i="2"/>
  <c r="K494" i="2"/>
  <c r="B494" i="2"/>
  <c r="C494" i="2"/>
  <c r="I494" i="2"/>
  <c r="D494" i="2"/>
  <c r="E494" i="2"/>
  <c r="F494" i="2"/>
  <c r="G494" i="2"/>
  <c r="J493" i="2"/>
  <c r="N493" i="2"/>
  <c r="A493" i="2"/>
  <c r="M493" i="2"/>
  <c r="L493" i="2"/>
  <c r="H493" i="2"/>
  <c r="K493" i="2"/>
  <c r="B493" i="2"/>
  <c r="C493" i="2"/>
  <c r="I493" i="2"/>
  <c r="D493" i="2"/>
  <c r="E493" i="2"/>
  <c r="F493" i="2"/>
  <c r="G493" i="2"/>
  <c r="J492" i="2"/>
  <c r="N492" i="2"/>
  <c r="A492" i="2"/>
  <c r="M492" i="2"/>
  <c r="L492" i="2"/>
  <c r="H492" i="2"/>
  <c r="K492" i="2"/>
  <c r="B492" i="2"/>
  <c r="C492" i="2"/>
  <c r="I492" i="2"/>
  <c r="D492" i="2"/>
  <c r="E492" i="2"/>
  <c r="F492" i="2"/>
  <c r="G492" i="2"/>
  <c r="J491" i="2"/>
  <c r="N491" i="2"/>
  <c r="A491" i="2"/>
  <c r="M491" i="2"/>
  <c r="L491" i="2"/>
  <c r="H491" i="2"/>
  <c r="K491" i="2"/>
  <c r="B491" i="2"/>
  <c r="C491" i="2"/>
  <c r="I491" i="2"/>
  <c r="D491" i="2"/>
  <c r="E491" i="2"/>
  <c r="F491" i="2"/>
  <c r="G491" i="2"/>
  <c r="J490" i="2"/>
  <c r="N490" i="2"/>
  <c r="A490" i="2"/>
  <c r="M490" i="2"/>
  <c r="L490" i="2"/>
  <c r="H490" i="2"/>
  <c r="K490" i="2"/>
  <c r="B490" i="2"/>
  <c r="C490" i="2"/>
  <c r="I490" i="2"/>
  <c r="D490" i="2"/>
  <c r="E490" i="2"/>
  <c r="F490" i="2"/>
  <c r="G490" i="2"/>
  <c r="J489" i="2"/>
  <c r="N489" i="2"/>
  <c r="A489" i="2"/>
  <c r="M489" i="2"/>
  <c r="L489" i="2"/>
  <c r="H489" i="2"/>
  <c r="K489" i="2"/>
  <c r="B489" i="2"/>
  <c r="C489" i="2"/>
  <c r="I489" i="2"/>
  <c r="D489" i="2"/>
  <c r="E489" i="2"/>
  <c r="F489" i="2"/>
  <c r="G489" i="2"/>
  <c r="J488" i="2"/>
  <c r="N488" i="2"/>
  <c r="A488" i="2"/>
  <c r="M488" i="2"/>
  <c r="L488" i="2"/>
  <c r="H488" i="2"/>
  <c r="K488" i="2"/>
  <c r="B488" i="2"/>
  <c r="C488" i="2"/>
  <c r="I488" i="2"/>
  <c r="D488" i="2"/>
  <c r="E488" i="2"/>
  <c r="F488" i="2"/>
  <c r="G488" i="2"/>
  <c r="J487" i="2"/>
  <c r="N487" i="2"/>
  <c r="A487" i="2"/>
  <c r="M487" i="2"/>
  <c r="L487" i="2"/>
  <c r="H487" i="2"/>
  <c r="K487" i="2"/>
  <c r="B487" i="2"/>
  <c r="C487" i="2"/>
  <c r="I487" i="2"/>
  <c r="D487" i="2"/>
  <c r="E487" i="2"/>
  <c r="F487" i="2"/>
  <c r="G487" i="2"/>
  <c r="J486" i="2"/>
  <c r="N486" i="2"/>
  <c r="A486" i="2"/>
  <c r="M486" i="2"/>
  <c r="L486" i="2"/>
  <c r="H486" i="2"/>
  <c r="K486" i="2"/>
  <c r="B486" i="2"/>
  <c r="C486" i="2"/>
  <c r="I486" i="2"/>
  <c r="D486" i="2"/>
  <c r="E486" i="2"/>
  <c r="F486" i="2"/>
  <c r="G486" i="2"/>
  <c r="J485" i="2"/>
  <c r="N485" i="2"/>
  <c r="A485" i="2"/>
  <c r="M485" i="2"/>
  <c r="L485" i="2"/>
  <c r="H485" i="2"/>
  <c r="K485" i="2"/>
  <c r="B485" i="2"/>
  <c r="C485" i="2"/>
  <c r="I485" i="2"/>
  <c r="D485" i="2"/>
  <c r="E485" i="2"/>
  <c r="F485" i="2"/>
  <c r="G485" i="2"/>
  <c r="J484" i="2"/>
  <c r="N484" i="2"/>
  <c r="A484" i="2"/>
  <c r="M484" i="2"/>
  <c r="L484" i="2"/>
  <c r="H484" i="2"/>
  <c r="K484" i="2"/>
  <c r="B484" i="2"/>
  <c r="C484" i="2"/>
  <c r="I484" i="2"/>
  <c r="D484" i="2"/>
  <c r="E484" i="2"/>
  <c r="F484" i="2"/>
  <c r="G484" i="2"/>
  <c r="J483" i="2"/>
  <c r="N483" i="2"/>
  <c r="A483" i="2"/>
  <c r="M483" i="2"/>
  <c r="L483" i="2"/>
  <c r="H483" i="2"/>
  <c r="K483" i="2"/>
  <c r="B483" i="2"/>
  <c r="C483" i="2"/>
  <c r="I483" i="2"/>
  <c r="D483" i="2"/>
  <c r="E483" i="2"/>
  <c r="F483" i="2"/>
  <c r="G483" i="2"/>
  <c r="J482" i="2"/>
  <c r="N482" i="2"/>
  <c r="A482" i="2"/>
  <c r="M482" i="2"/>
  <c r="L482" i="2"/>
  <c r="H482" i="2"/>
  <c r="K482" i="2"/>
  <c r="B482" i="2"/>
  <c r="C482" i="2"/>
  <c r="I482" i="2"/>
  <c r="D482" i="2"/>
  <c r="E482" i="2"/>
  <c r="F482" i="2"/>
  <c r="G482" i="2"/>
  <c r="J481" i="2"/>
  <c r="N481" i="2"/>
  <c r="A481" i="2"/>
  <c r="M481" i="2"/>
  <c r="L481" i="2"/>
  <c r="H481" i="2"/>
  <c r="K481" i="2"/>
  <c r="B481" i="2"/>
  <c r="C481" i="2"/>
  <c r="I481" i="2"/>
  <c r="D481" i="2"/>
  <c r="E481" i="2"/>
  <c r="F481" i="2"/>
  <c r="G481" i="2"/>
  <c r="J480" i="2"/>
  <c r="N480" i="2"/>
  <c r="A480" i="2"/>
  <c r="M480" i="2"/>
  <c r="L480" i="2"/>
  <c r="H480" i="2"/>
  <c r="K480" i="2"/>
  <c r="B480" i="2"/>
  <c r="C480" i="2"/>
  <c r="I480" i="2"/>
  <c r="D480" i="2"/>
  <c r="E480" i="2"/>
  <c r="F480" i="2"/>
  <c r="G480" i="2"/>
  <c r="J479" i="2"/>
  <c r="N479" i="2"/>
  <c r="A479" i="2"/>
  <c r="M479" i="2"/>
  <c r="L479" i="2"/>
  <c r="H479" i="2"/>
  <c r="K479" i="2"/>
  <c r="B479" i="2"/>
  <c r="C479" i="2"/>
  <c r="I479" i="2"/>
  <c r="D479" i="2"/>
  <c r="E479" i="2"/>
  <c r="F479" i="2"/>
  <c r="G479" i="2"/>
  <c r="J478" i="2"/>
  <c r="N478" i="2"/>
  <c r="A478" i="2"/>
  <c r="M478" i="2"/>
  <c r="L478" i="2"/>
  <c r="H478" i="2"/>
  <c r="K478" i="2"/>
  <c r="B478" i="2"/>
  <c r="C478" i="2"/>
  <c r="I478" i="2"/>
  <c r="D478" i="2"/>
  <c r="E478" i="2"/>
  <c r="F478" i="2"/>
  <c r="G478" i="2"/>
  <c r="J477" i="2"/>
  <c r="N477" i="2"/>
  <c r="A477" i="2"/>
  <c r="M477" i="2"/>
  <c r="L477" i="2"/>
  <c r="H477" i="2"/>
  <c r="K477" i="2"/>
  <c r="B477" i="2"/>
  <c r="C477" i="2"/>
  <c r="I477" i="2"/>
  <c r="D477" i="2"/>
  <c r="E477" i="2"/>
  <c r="F477" i="2"/>
  <c r="G477" i="2"/>
  <c r="J476" i="2"/>
  <c r="N476" i="2"/>
  <c r="A476" i="2"/>
  <c r="M476" i="2"/>
  <c r="L476" i="2"/>
  <c r="H476" i="2"/>
  <c r="K476" i="2"/>
  <c r="B476" i="2"/>
  <c r="C476" i="2"/>
  <c r="I476" i="2"/>
  <c r="D476" i="2"/>
  <c r="E476" i="2"/>
  <c r="F476" i="2"/>
  <c r="G476" i="2"/>
  <c r="J475" i="2"/>
  <c r="N475" i="2"/>
  <c r="A475" i="2"/>
  <c r="M475" i="2"/>
  <c r="L475" i="2"/>
  <c r="H475" i="2"/>
  <c r="K475" i="2"/>
  <c r="B475" i="2"/>
  <c r="C475" i="2"/>
  <c r="I475" i="2"/>
  <c r="D475" i="2"/>
  <c r="E475" i="2"/>
  <c r="F475" i="2"/>
  <c r="G475" i="2"/>
  <c r="J474" i="2"/>
  <c r="N474" i="2"/>
  <c r="A474" i="2"/>
  <c r="M474" i="2"/>
  <c r="L474" i="2"/>
  <c r="H474" i="2"/>
  <c r="K474" i="2"/>
  <c r="B474" i="2"/>
  <c r="C474" i="2"/>
  <c r="I474" i="2"/>
  <c r="D474" i="2"/>
  <c r="E474" i="2"/>
  <c r="F474" i="2"/>
  <c r="G474" i="2"/>
  <c r="J473" i="2"/>
  <c r="N473" i="2"/>
  <c r="A473" i="2"/>
  <c r="M473" i="2"/>
  <c r="L473" i="2"/>
  <c r="H473" i="2"/>
  <c r="K473" i="2"/>
  <c r="B473" i="2"/>
  <c r="C473" i="2"/>
  <c r="I473" i="2"/>
  <c r="D473" i="2"/>
  <c r="E473" i="2"/>
  <c r="F473" i="2"/>
  <c r="G473" i="2"/>
  <c r="J472" i="2"/>
  <c r="N472" i="2"/>
  <c r="A472" i="2"/>
  <c r="M472" i="2"/>
  <c r="L472" i="2"/>
  <c r="H472" i="2"/>
  <c r="K472" i="2"/>
  <c r="B472" i="2"/>
  <c r="C472" i="2"/>
  <c r="I472" i="2"/>
  <c r="D472" i="2"/>
  <c r="E472" i="2"/>
  <c r="F472" i="2"/>
  <c r="G472" i="2"/>
  <c r="J471" i="2"/>
  <c r="N471" i="2"/>
  <c r="A471" i="2"/>
  <c r="M471" i="2"/>
  <c r="L471" i="2"/>
  <c r="H471" i="2"/>
  <c r="K471" i="2"/>
  <c r="B471" i="2"/>
  <c r="C471" i="2"/>
  <c r="I471" i="2"/>
  <c r="D471" i="2"/>
  <c r="E471" i="2"/>
  <c r="F471" i="2"/>
  <c r="G471" i="2"/>
  <c r="J470" i="2"/>
  <c r="N470" i="2"/>
  <c r="A470" i="2"/>
  <c r="M470" i="2"/>
  <c r="L470" i="2"/>
  <c r="H470" i="2"/>
  <c r="K470" i="2"/>
  <c r="B470" i="2"/>
  <c r="C470" i="2"/>
  <c r="I470" i="2"/>
  <c r="D470" i="2"/>
  <c r="E470" i="2"/>
  <c r="F470" i="2"/>
  <c r="G470" i="2"/>
  <c r="J469" i="2"/>
  <c r="N469" i="2"/>
  <c r="A469" i="2"/>
  <c r="M469" i="2"/>
  <c r="L469" i="2"/>
  <c r="H469" i="2"/>
  <c r="K469" i="2"/>
  <c r="B469" i="2"/>
  <c r="C469" i="2"/>
  <c r="I469" i="2"/>
  <c r="D469" i="2"/>
  <c r="E469" i="2"/>
  <c r="F469" i="2"/>
  <c r="G469" i="2"/>
  <c r="J468" i="2"/>
  <c r="N468" i="2"/>
  <c r="A468" i="2"/>
  <c r="M468" i="2"/>
  <c r="L468" i="2"/>
  <c r="H468" i="2"/>
  <c r="K468" i="2"/>
  <c r="B468" i="2"/>
  <c r="C468" i="2"/>
  <c r="I468" i="2"/>
  <c r="D468" i="2"/>
  <c r="E468" i="2"/>
  <c r="F468" i="2"/>
  <c r="G468" i="2"/>
  <c r="J467" i="2"/>
  <c r="N467" i="2"/>
  <c r="A467" i="2"/>
  <c r="M467" i="2"/>
  <c r="L467" i="2"/>
  <c r="H467" i="2"/>
  <c r="K467" i="2"/>
  <c r="B467" i="2"/>
  <c r="C467" i="2"/>
  <c r="I467" i="2"/>
  <c r="D467" i="2"/>
  <c r="E467" i="2"/>
  <c r="F467" i="2"/>
  <c r="G467" i="2"/>
  <c r="J466" i="2"/>
  <c r="N466" i="2"/>
  <c r="A466" i="2"/>
  <c r="M466" i="2"/>
  <c r="L466" i="2"/>
  <c r="H466" i="2"/>
  <c r="K466" i="2"/>
  <c r="B466" i="2"/>
  <c r="C466" i="2"/>
  <c r="I466" i="2"/>
  <c r="D466" i="2"/>
  <c r="E466" i="2"/>
  <c r="F466" i="2"/>
  <c r="G466" i="2"/>
  <c r="J465" i="2"/>
  <c r="N465" i="2"/>
  <c r="A465" i="2"/>
  <c r="M465" i="2"/>
  <c r="L465" i="2"/>
  <c r="H465" i="2"/>
  <c r="K465" i="2"/>
  <c r="B465" i="2"/>
  <c r="C465" i="2"/>
  <c r="I465" i="2"/>
  <c r="D465" i="2"/>
  <c r="E465" i="2"/>
  <c r="F465" i="2"/>
  <c r="G465" i="2"/>
  <c r="J464" i="2"/>
  <c r="N464" i="2"/>
  <c r="A464" i="2"/>
  <c r="M464" i="2"/>
  <c r="L464" i="2"/>
  <c r="H464" i="2"/>
  <c r="K464" i="2"/>
  <c r="B464" i="2"/>
  <c r="C464" i="2"/>
  <c r="I464" i="2"/>
  <c r="D464" i="2"/>
  <c r="E464" i="2"/>
  <c r="F464" i="2"/>
  <c r="G464" i="2"/>
  <c r="J463" i="2"/>
  <c r="N463" i="2"/>
  <c r="A463" i="2"/>
  <c r="M463" i="2"/>
  <c r="L463" i="2"/>
  <c r="H463" i="2"/>
  <c r="K463" i="2"/>
  <c r="B463" i="2"/>
  <c r="C463" i="2"/>
  <c r="I463" i="2"/>
  <c r="D463" i="2"/>
  <c r="E463" i="2"/>
  <c r="F463" i="2"/>
  <c r="G463" i="2"/>
  <c r="J462" i="2"/>
  <c r="N462" i="2"/>
  <c r="A462" i="2"/>
  <c r="M462" i="2"/>
  <c r="L462" i="2"/>
  <c r="H462" i="2"/>
  <c r="K462" i="2"/>
  <c r="B462" i="2"/>
  <c r="C462" i="2"/>
  <c r="I462" i="2"/>
  <c r="D462" i="2"/>
  <c r="E462" i="2"/>
  <c r="F462" i="2"/>
  <c r="G462" i="2"/>
  <c r="J461" i="2"/>
  <c r="N461" i="2"/>
  <c r="A461" i="2"/>
  <c r="M461" i="2"/>
  <c r="L461" i="2"/>
  <c r="H461" i="2"/>
  <c r="K461" i="2"/>
  <c r="B461" i="2"/>
  <c r="C461" i="2"/>
  <c r="I461" i="2"/>
  <c r="D461" i="2"/>
  <c r="E461" i="2"/>
  <c r="F461" i="2"/>
  <c r="G461" i="2"/>
  <c r="J460" i="2"/>
  <c r="N460" i="2"/>
  <c r="A460" i="2"/>
  <c r="M460" i="2"/>
  <c r="L460" i="2"/>
  <c r="H460" i="2"/>
  <c r="K460" i="2"/>
  <c r="B460" i="2"/>
  <c r="C460" i="2"/>
  <c r="I460" i="2"/>
  <c r="D460" i="2"/>
  <c r="E460" i="2"/>
  <c r="F460" i="2"/>
  <c r="G460" i="2"/>
  <c r="J459" i="2"/>
  <c r="N459" i="2"/>
  <c r="A459" i="2"/>
  <c r="M459" i="2"/>
  <c r="L459" i="2"/>
  <c r="H459" i="2"/>
  <c r="K459" i="2"/>
  <c r="B459" i="2"/>
  <c r="C459" i="2"/>
  <c r="I459" i="2"/>
  <c r="D459" i="2"/>
  <c r="E459" i="2"/>
  <c r="F459" i="2"/>
  <c r="G459" i="2"/>
  <c r="J458" i="2"/>
  <c r="N458" i="2"/>
  <c r="A458" i="2"/>
  <c r="M458" i="2"/>
  <c r="L458" i="2"/>
  <c r="H458" i="2"/>
  <c r="K458" i="2"/>
  <c r="B458" i="2"/>
  <c r="C458" i="2"/>
  <c r="I458" i="2"/>
  <c r="D458" i="2"/>
  <c r="E458" i="2"/>
  <c r="F458" i="2"/>
  <c r="G458" i="2"/>
  <c r="J457" i="2"/>
  <c r="N457" i="2"/>
  <c r="A457" i="2"/>
  <c r="M457" i="2"/>
  <c r="L457" i="2"/>
  <c r="H457" i="2"/>
  <c r="K457" i="2"/>
  <c r="B457" i="2"/>
  <c r="C457" i="2"/>
  <c r="I457" i="2"/>
  <c r="D457" i="2"/>
  <c r="E457" i="2"/>
  <c r="F457" i="2"/>
  <c r="G457" i="2"/>
  <c r="J456" i="2"/>
  <c r="N456" i="2"/>
  <c r="A456" i="2"/>
  <c r="M456" i="2"/>
  <c r="L456" i="2"/>
  <c r="H456" i="2"/>
  <c r="K456" i="2"/>
  <c r="B456" i="2"/>
  <c r="C456" i="2"/>
  <c r="I456" i="2"/>
  <c r="D456" i="2"/>
  <c r="E456" i="2"/>
  <c r="F456" i="2"/>
  <c r="G456" i="2"/>
  <c r="J455" i="2"/>
  <c r="N455" i="2"/>
  <c r="A455" i="2"/>
  <c r="M455" i="2"/>
  <c r="L455" i="2"/>
  <c r="H455" i="2"/>
  <c r="K455" i="2"/>
  <c r="B455" i="2"/>
  <c r="C455" i="2"/>
  <c r="I455" i="2"/>
  <c r="D455" i="2"/>
  <c r="E455" i="2"/>
  <c r="F455" i="2"/>
  <c r="G455" i="2"/>
  <c r="J454" i="2"/>
  <c r="N454" i="2"/>
  <c r="A454" i="2"/>
  <c r="M454" i="2"/>
  <c r="L454" i="2"/>
  <c r="H454" i="2"/>
  <c r="K454" i="2"/>
  <c r="B454" i="2"/>
  <c r="C454" i="2"/>
  <c r="I454" i="2"/>
  <c r="D454" i="2"/>
  <c r="E454" i="2"/>
  <c r="F454" i="2"/>
  <c r="G454" i="2"/>
  <c r="J453" i="2"/>
  <c r="N453" i="2"/>
  <c r="A453" i="2"/>
  <c r="M453" i="2"/>
  <c r="L453" i="2"/>
  <c r="H453" i="2"/>
  <c r="K453" i="2"/>
  <c r="B453" i="2"/>
  <c r="C453" i="2"/>
  <c r="I453" i="2"/>
  <c r="D453" i="2"/>
  <c r="E453" i="2"/>
  <c r="F453" i="2"/>
  <c r="G453" i="2"/>
  <c r="J452" i="2"/>
  <c r="N452" i="2"/>
  <c r="A452" i="2"/>
  <c r="M452" i="2"/>
  <c r="L452" i="2"/>
  <c r="H452" i="2"/>
  <c r="K452" i="2"/>
  <c r="B452" i="2"/>
  <c r="C452" i="2"/>
  <c r="I452" i="2"/>
  <c r="D452" i="2"/>
  <c r="E452" i="2"/>
  <c r="F452" i="2"/>
  <c r="G452" i="2"/>
  <c r="J451" i="2"/>
  <c r="N451" i="2"/>
  <c r="A451" i="2"/>
  <c r="M451" i="2"/>
  <c r="L451" i="2"/>
  <c r="H451" i="2"/>
  <c r="K451" i="2"/>
  <c r="B451" i="2"/>
  <c r="C451" i="2"/>
  <c r="I451" i="2"/>
  <c r="D451" i="2"/>
  <c r="E451" i="2"/>
  <c r="F451" i="2"/>
  <c r="G451" i="2"/>
  <c r="J450" i="2"/>
  <c r="N450" i="2"/>
  <c r="A450" i="2"/>
  <c r="M450" i="2"/>
  <c r="L450" i="2"/>
  <c r="H450" i="2"/>
  <c r="K450" i="2"/>
  <c r="B450" i="2"/>
  <c r="C450" i="2"/>
  <c r="I450" i="2"/>
  <c r="D450" i="2"/>
  <c r="E450" i="2"/>
  <c r="F450" i="2"/>
  <c r="G450" i="2"/>
  <c r="J449" i="2"/>
  <c r="N449" i="2"/>
  <c r="A449" i="2"/>
  <c r="M449" i="2"/>
  <c r="L449" i="2"/>
  <c r="H449" i="2"/>
  <c r="K449" i="2"/>
  <c r="B449" i="2"/>
  <c r="C449" i="2"/>
  <c r="I449" i="2"/>
  <c r="D449" i="2"/>
  <c r="E449" i="2"/>
  <c r="F449" i="2"/>
  <c r="G449" i="2"/>
  <c r="J448" i="2"/>
  <c r="N448" i="2"/>
  <c r="A448" i="2"/>
  <c r="M448" i="2"/>
  <c r="L448" i="2"/>
  <c r="H448" i="2"/>
  <c r="K448" i="2"/>
  <c r="B448" i="2"/>
  <c r="C448" i="2"/>
  <c r="I448" i="2"/>
  <c r="D448" i="2"/>
  <c r="E448" i="2"/>
  <c r="F448" i="2"/>
  <c r="G448" i="2"/>
  <c r="J447" i="2"/>
  <c r="N447" i="2"/>
  <c r="A447" i="2"/>
  <c r="M447" i="2"/>
  <c r="L447" i="2"/>
  <c r="H447" i="2"/>
  <c r="K447" i="2"/>
  <c r="B447" i="2"/>
  <c r="C447" i="2"/>
  <c r="I447" i="2"/>
  <c r="D447" i="2"/>
  <c r="E447" i="2"/>
  <c r="F447" i="2"/>
  <c r="G447" i="2"/>
  <c r="J446" i="2"/>
  <c r="N446" i="2"/>
  <c r="A446" i="2"/>
  <c r="M446" i="2"/>
  <c r="L446" i="2"/>
  <c r="H446" i="2"/>
  <c r="K446" i="2"/>
  <c r="B446" i="2"/>
  <c r="C446" i="2"/>
  <c r="I446" i="2"/>
  <c r="D446" i="2"/>
  <c r="E446" i="2"/>
  <c r="F446" i="2"/>
  <c r="G446" i="2"/>
  <c r="J445" i="2"/>
  <c r="N445" i="2"/>
  <c r="A445" i="2"/>
  <c r="M445" i="2"/>
  <c r="L445" i="2"/>
  <c r="H445" i="2"/>
  <c r="K445" i="2"/>
  <c r="B445" i="2"/>
  <c r="C445" i="2"/>
  <c r="I445" i="2"/>
  <c r="D445" i="2"/>
  <c r="E445" i="2"/>
  <c r="F445" i="2"/>
  <c r="G445" i="2"/>
  <c r="J444" i="2"/>
  <c r="N444" i="2"/>
  <c r="A444" i="2"/>
  <c r="M444" i="2"/>
  <c r="L444" i="2"/>
  <c r="H444" i="2"/>
  <c r="K444" i="2"/>
  <c r="B444" i="2"/>
  <c r="C444" i="2"/>
  <c r="I444" i="2"/>
  <c r="D444" i="2"/>
  <c r="E444" i="2"/>
  <c r="F444" i="2"/>
  <c r="G444" i="2"/>
  <c r="J443" i="2"/>
  <c r="N443" i="2"/>
  <c r="A443" i="2"/>
  <c r="M443" i="2"/>
  <c r="L443" i="2"/>
  <c r="H443" i="2"/>
  <c r="K443" i="2"/>
  <c r="B443" i="2"/>
  <c r="C443" i="2"/>
  <c r="I443" i="2"/>
  <c r="D443" i="2"/>
  <c r="E443" i="2"/>
  <c r="F443" i="2"/>
  <c r="G443" i="2"/>
  <c r="J442" i="2"/>
  <c r="N442" i="2"/>
  <c r="A442" i="2"/>
  <c r="M442" i="2"/>
  <c r="L442" i="2"/>
  <c r="H442" i="2"/>
  <c r="K442" i="2"/>
  <c r="B442" i="2"/>
  <c r="C442" i="2"/>
  <c r="I442" i="2"/>
  <c r="D442" i="2"/>
  <c r="E442" i="2"/>
  <c r="F442" i="2"/>
  <c r="G442" i="2"/>
  <c r="J441" i="2"/>
  <c r="N441" i="2"/>
  <c r="A441" i="2"/>
  <c r="M441" i="2"/>
  <c r="L441" i="2"/>
  <c r="H441" i="2"/>
  <c r="K441" i="2"/>
  <c r="B441" i="2"/>
  <c r="C441" i="2"/>
  <c r="I441" i="2"/>
  <c r="D441" i="2"/>
  <c r="E441" i="2"/>
  <c r="F441" i="2"/>
  <c r="G441" i="2"/>
  <c r="J440" i="2"/>
  <c r="N440" i="2"/>
  <c r="A440" i="2"/>
  <c r="M440" i="2"/>
  <c r="L440" i="2"/>
  <c r="H440" i="2"/>
  <c r="K440" i="2"/>
  <c r="B440" i="2"/>
  <c r="C440" i="2"/>
  <c r="I440" i="2"/>
  <c r="D440" i="2"/>
  <c r="E440" i="2"/>
  <c r="F440" i="2"/>
  <c r="G440" i="2"/>
  <c r="J439" i="2"/>
  <c r="N439" i="2"/>
  <c r="A439" i="2"/>
  <c r="M439" i="2"/>
  <c r="L439" i="2"/>
  <c r="H439" i="2"/>
  <c r="K439" i="2"/>
  <c r="B439" i="2"/>
  <c r="C439" i="2"/>
  <c r="I439" i="2"/>
  <c r="D439" i="2"/>
  <c r="E439" i="2"/>
  <c r="F439" i="2"/>
  <c r="G439" i="2"/>
  <c r="J438" i="2"/>
  <c r="N438" i="2"/>
  <c r="A438" i="2"/>
  <c r="M438" i="2"/>
  <c r="L438" i="2"/>
  <c r="H438" i="2"/>
  <c r="K438" i="2"/>
  <c r="B438" i="2"/>
  <c r="C438" i="2"/>
  <c r="I438" i="2"/>
  <c r="D438" i="2"/>
  <c r="E438" i="2"/>
  <c r="F438" i="2"/>
  <c r="G438" i="2"/>
  <c r="J437" i="2"/>
  <c r="N437" i="2"/>
  <c r="A437" i="2"/>
  <c r="M437" i="2"/>
  <c r="L437" i="2"/>
  <c r="H437" i="2"/>
  <c r="K437" i="2"/>
  <c r="B437" i="2"/>
  <c r="C437" i="2"/>
  <c r="I437" i="2"/>
  <c r="D437" i="2"/>
  <c r="E437" i="2"/>
  <c r="F437" i="2"/>
  <c r="G437" i="2"/>
  <c r="J436" i="2"/>
  <c r="N436" i="2"/>
  <c r="A436" i="2"/>
  <c r="M436" i="2"/>
  <c r="L436" i="2"/>
  <c r="H436" i="2"/>
  <c r="K436" i="2"/>
  <c r="B436" i="2"/>
  <c r="C436" i="2"/>
  <c r="I436" i="2"/>
  <c r="D436" i="2"/>
  <c r="E436" i="2"/>
  <c r="F436" i="2"/>
  <c r="G436" i="2"/>
  <c r="J435" i="2"/>
  <c r="N435" i="2"/>
  <c r="A435" i="2"/>
  <c r="M435" i="2"/>
  <c r="L435" i="2"/>
  <c r="H435" i="2"/>
  <c r="K435" i="2"/>
  <c r="B435" i="2"/>
  <c r="C435" i="2"/>
  <c r="I435" i="2"/>
  <c r="D435" i="2"/>
  <c r="E435" i="2"/>
  <c r="F435" i="2"/>
  <c r="G435" i="2"/>
  <c r="J434" i="2"/>
  <c r="N434" i="2"/>
  <c r="A434" i="2"/>
  <c r="M434" i="2"/>
  <c r="L434" i="2"/>
  <c r="H434" i="2"/>
  <c r="K434" i="2"/>
  <c r="B434" i="2"/>
  <c r="C434" i="2"/>
  <c r="I434" i="2"/>
  <c r="D434" i="2"/>
  <c r="E434" i="2"/>
  <c r="F434" i="2"/>
  <c r="G434" i="2"/>
  <c r="J433" i="2"/>
  <c r="N433" i="2"/>
  <c r="A433" i="2"/>
  <c r="M433" i="2"/>
  <c r="L433" i="2"/>
  <c r="H433" i="2"/>
  <c r="K433" i="2"/>
  <c r="B433" i="2"/>
  <c r="C433" i="2"/>
  <c r="I433" i="2"/>
  <c r="D433" i="2"/>
  <c r="E433" i="2"/>
  <c r="F433" i="2"/>
  <c r="G433" i="2"/>
  <c r="J432" i="2"/>
  <c r="N432" i="2"/>
  <c r="A432" i="2"/>
  <c r="M432" i="2"/>
  <c r="L432" i="2"/>
  <c r="H432" i="2"/>
  <c r="K432" i="2"/>
  <c r="B432" i="2"/>
  <c r="C432" i="2"/>
  <c r="I432" i="2"/>
  <c r="D432" i="2"/>
  <c r="E432" i="2"/>
  <c r="F432" i="2"/>
  <c r="G432" i="2"/>
  <c r="J431" i="2"/>
  <c r="N431" i="2"/>
  <c r="A431" i="2"/>
  <c r="M431" i="2"/>
  <c r="L431" i="2"/>
  <c r="H431" i="2"/>
  <c r="K431" i="2"/>
  <c r="B431" i="2"/>
  <c r="C431" i="2"/>
  <c r="I431" i="2"/>
  <c r="D431" i="2"/>
  <c r="E431" i="2"/>
  <c r="F431" i="2"/>
  <c r="G431" i="2"/>
  <c r="J430" i="2"/>
  <c r="N430" i="2"/>
  <c r="A430" i="2"/>
  <c r="M430" i="2"/>
  <c r="L430" i="2"/>
  <c r="H430" i="2"/>
  <c r="K430" i="2"/>
  <c r="B430" i="2"/>
  <c r="C430" i="2"/>
  <c r="I430" i="2"/>
  <c r="D430" i="2"/>
  <c r="E430" i="2"/>
  <c r="F430" i="2"/>
  <c r="G430" i="2"/>
  <c r="J429" i="2"/>
  <c r="N429" i="2"/>
  <c r="A429" i="2"/>
  <c r="M429" i="2"/>
  <c r="L429" i="2"/>
  <c r="H429" i="2"/>
  <c r="K429" i="2"/>
  <c r="B429" i="2"/>
  <c r="C429" i="2"/>
  <c r="I429" i="2"/>
  <c r="D429" i="2"/>
  <c r="E429" i="2"/>
  <c r="F429" i="2"/>
  <c r="G429" i="2"/>
  <c r="J428" i="2"/>
  <c r="N428" i="2"/>
  <c r="A428" i="2"/>
  <c r="M428" i="2"/>
  <c r="L428" i="2"/>
  <c r="H428" i="2"/>
  <c r="K428" i="2"/>
  <c r="B428" i="2"/>
  <c r="C428" i="2"/>
  <c r="I428" i="2"/>
  <c r="D428" i="2"/>
  <c r="E428" i="2"/>
  <c r="F428" i="2"/>
  <c r="G428" i="2"/>
  <c r="J427" i="2"/>
  <c r="N427" i="2"/>
  <c r="A427" i="2"/>
  <c r="M427" i="2"/>
  <c r="L427" i="2"/>
  <c r="H427" i="2"/>
  <c r="K427" i="2"/>
  <c r="B427" i="2"/>
  <c r="C427" i="2"/>
  <c r="I427" i="2"/>
  <c r="D427" i="2"/>
  <c r="E427" i="2"/>
  <c r="F427" i="2"/>
  <c r="G427" i="2"/>
  <c r="J426" i="2"/>
  <c r="N426" i="2"/>
  <c r="A426" i="2"/>
  <c r="M426" i="2"/>
  <c r="L426" i="2"/>
  <c r="H426" i="2"/>
  <c r="K426" i="2"/>
  <c r="B426" i="2"/>
  <c r="C426" i="2"/>
  <c r="I426" i="2"/>
  <c r="D426" i="2"/>
  <c r="E426" i="2"/>
  <c r="F426" i="2"/>
  <c r="G426" i="2"/>
  <c r="J425" i="2"/>
  <c r="N425" i="2"/>
  <c r="A425" i="2"/>
  <c r="M425" i="2"/>
  <c r="L425" i="2"/>
  <c r="H425" i="2"/>
  <c r="K425" i="2"/>
  <c r="B425" i="2"/>
  <c r="C425" i="2"/>
  <c r="I425" i="2"/>
  <c r="D425" i="2"/>
  <c r="E425" i="2"/>
  <c r="F425" i="2"/>
  <c r="G425" i="2"/>
  <c r="J424" i="2"/>
  <c r="N424" i="2"/>
  <c r="A424" i="2"/>
  <c r="M424" i="2"/>
  <c r="L424" i="2"/>
  <c r="H424" i="2"/>
  <c r="K424" i="2"/>
  <c r="B424" i="2"/>
  <c r="C424" i="2"/>
  <c r="I424" i="2"/>
  <c r="D424" i="2"/>
  <c r="E424" i="2"/>
  <c r="F424" i="2"/>
  <c r="G424" i="2"/>
  <c r="J423" i="2"/>
  <c r="N423" i="2"/>
  <c r="A423" i="2"/>
  <c r="M423" i="2"/>
  <c r="L423" i="2"/>
  <c r="H423" i="2"/>
  <c r="K423" i="2"/>
  <c r="B423" i="2"/>
  <c r="C423" i="2"/>
  <c r="I423" i="2"/>
  <c r="D423" i="2"/>
  <c r="E423" i="2"/>
  <c r="F423" i="2"/>
  <c r="G423" i="2"/>
  <c r="J422" i="2"/>
  <c r="N422" i="2"/>
  <c r="A422" i="2"/>
  <c r="M422" i="2"/>
  <c r="L422" i="2"/>
  <c r="H422" i="2"/>
  <c r="K422" i="2"/>
  <c r="B422" i="2"/>
  <c r="C422" i="2"/>
  <c r="I422" i="2"/>
  <c r="D422" i="2"/>
  <c r="E422" i="2"/>
  <c r="F422" i="2"/>
  <c r="G422" i="2"/>
  <c r="J421" i="2"/>
  <c r="N421" i="2"/>
  <c r="A421" i="2"/>
  <c r="M421" i="2"/>
  <c r="L421" i="2"/>
  <c r="H421" i="2"/>
  <c r="K421" i="2"/>
  <c r="B421" i="2"/>
  <c r="C421" i="2"/>
  <c r="I421" i="2"/>
  <c r="D421" i="2"/>
  <c r="E421" i="2"/>
  <c r="F421" i="2"/>
  <c r="G421" i="2"/>
  <c r="J420" i="2"/>
  <c r="N420" i="2"/>
  <c r="A420" i="2"/>
  <c r="M420" i="2"/>
  <c r="L420" i="2"/>
  <c r="H420" i="2"/>
  <c r="K420" i="2"/>
  <c r="B420" i="2"/>
  <c r="C420" i="2"/>
  <c r="I420" i="2"/>
  <c r="D420" i="2"/>
  <c r="E420" i="2"/>
  <c r="F420" i="2"/>
  <c r="G420" i="2"/>
  <c r="J419" i="2"/>
  <c r="N419" i="2"/>
  <c r="A419" i="2"/>
  <c r="M419" i="2"/>
  <c r="L419" i="2"/>
  <c r="H419" i="2"/>
  <c r="K419" i="2"/>
  <c r="B419" i="2"/>
  <c r="C419" i="2"/>
  <c r="I419" i="2"/>
  <c r="D419" i="2"/>
  <c r="E419" i="2"/>
  <c r="F419" i="2"/>
  <c r="G419" i="2"/>
  <c r="J418" i="2"/>
  <c r="N418" i="2"/>
  <c r="A418" i="2"/>
  <c r="M418" i="2"/>
  <c r="L418" i="2"/>
  <c r="H418" i="2"/>
  <c r="K418" i="2"/>
  <c r="B418" i="2"/>
  <c r="C418" i="2"/>
  <c r="I418" i="2"/>
  <c r="D418" i="2"/>
  <c r="E418" i="2"/>
  <c r="F418" i="2"/>
  <c r="G418" i="2"/>
  <c r="J417" i="2"/>
  <c r="N417" i="2"/>
  <c r="A417" i="2"/>
  <c r="M417" i="2"/>
  <c r="L417" i="2"/>
  <c r="H417" i="2"/>
  <c r="K417" i="2"/>
  <c r="B417" i="2"/>
  <c r="C417" i="2"/>
  <c r="I417" i="2"/>
  <c r="D417" i="2"/>
  <c r="E417" i="2"/>
  <c r="F417" i="2"/>
  <c r="G417" i="2"/>
  <c r="J416" i="2"/>
  <c r="N416" i="2"/>
  <c r="A416" i="2"/>
  <c r="M416" i="2"/>
  <c r="L416" i="2"/>
  <c r="H416" i="2"/>
  <c r="K416" i="2"/>
  <c r="B416" i="2"/>
  <c r="C416" i="2"/>
  <c r="I416" i="2"/>
  <c r="D416" i="2"/>
  <c r="E416" i="2"/>
  <c r="F416" i="2"/>
  <c r="G416" i="2"/>
  <c r="J415" i="2"/>
  <c r="N415" i="2"/>
  <c r="A415" i="2"/>
  <c r="M415" i="2"/>
  <c r="L415" i="2"/>
  <c r="H415" i="2"/>
  <c r="K415" i="2"/>
  <c r="B415" i="2"/>
  <c r="C415" i="2"/>
  <c r="I415" i="2"/>
  <c r="D415" i="2"/>
  <c r="E415" i="2"/>
  <c r="F415" i="2"/>
  <c r="G415" i="2"/>
  <c r="J414" i="2"/>
  <c r="N414" i="2"/>
  <c r="A414" i="2"/>
  <c r="M414" i="2"/>
  <c r="L414" i="2"/>
  <c r="H414" i="2"/>
  <c r="K414" i="2"/>
  <c r="B414" i="2"/>
  <c r="C414" i="2"/>
  <c r="I414" i="2"/>
  <c r="D414" i="2"/>
  <c r="E414" i="2"/>
  <c r="F414" i="2"/>
  <c r="G414" i="2"/>
  <c r="J413" i="2"/>
  <c r="N413" i="2"/>
  <c r="A413" i="2"/>
  <c r="M413" i="2"/>
  <c r="L413" i="2"/>
  <c r="H413" i="2"/>
  <c r="K413" i="2"/>
  <c r="B413" i="2"/>
  <c r="C413" i="2"/>
  <c r="I413" i="2"/>
  <c r="D413" i="2"/>
  <c r="E413" i="2"/>
  <c r="F413" i="2"/>
  <c r="G413" i="2"/>
  <c r="J412" i="2"/>
  <c r="N412" i="2"/>
  <c r="A412" i="2"/>
  <c r="M412" i="2"/>
  <c r="L412" i="2"/>
  <c r="H412" i="2"/>
  <c r="K412" i="2"/>
  <c r="B412" i="2"/>
  <c r="C412" i="2"/>
  <c r="I412" i="2"/>
  <c r="D412" i="2"/>
  <c r="E412" i="2"/>
  <c r="F412" i="2"/>
  <c r="G412" i="2"/>
  <c r="J411" i="2"/>
  <c r="N411" i="2"/>
  <c r="A411" i="2"/>
  <c r="M411" i="2"/>
  <c r="L411" i="2"/>
  <c r="H411" i="2"/>
  <c r="K411" i="2"/>
  <c r="B411" i="2"/>
  <c r="C411" i="2"/>
  <c r="I411" i="2"/>
  <c r="D411" i="2"/>
  <c r="E411" i="2"/>
  <c r="F411" i="2"/>
  <c r="G411" i="2"/>
  <c r="J410" i="2"/>
  <c r="N410" i="2"/>
  <c r="A410" i="2"/>
  <c r="M410" i="2"/>
  <c r="L410" i="2"/>
  <c r="H410" i="2"/>
  <c r="K410" i="2"/>
  <c r="B410" i="2"/>
  <c r="C410" i="2"/>
  <c r="I410" i="2"/>
  <c r="D410" i="2"/>
  <c r="E410" i="2"/>
  <c r="F410" i="2"/>
  <c r="G410" i="2"/>
  <c r="J409" i="2"/>
  <c r="N409" i="2"/>
  <c r="A409" i="2"/>
  <c r="M409" i="2"/>
  <c r="L409" i="2"/>
  <c r="H409" i="2"/>
  <c r="K409" i="2"/>
  <c r="B409" i="2"/>
  <c r="C409" i="2"/>
  <c r="I409" i="2"/>
  <c r="D409" i="2"/>
  <c r="E409" i="2"/>
  <c r="F409" i="2"/>
  <c r="G409" i="2"/>
  <c r="J408" i="2"/>
  <c r="N408" i="2"/>
  <c r="A408" i="2"/>
  <c r="M408" i="2"/>
  <c r="L408" i="2"/>
  <c r="H408" i="2"/>
  <c r="K408" i="2"/>
  <c r="B408" i="2"/>
  <c r="C408" i="2"/>
  <c r="I408" i="2"/>
  <c r="D408" i="2"/>
  <c r="E408" i="2"/>
  <c r="F408" i="2"/>
  <c r="G408" i="2"/>
  <c r="J407" i="2"/>
  <c r="N407" i="2"/>
  <c r="A407" i="2"/>
  <c r="M407" i="2"/>
  <c r="L407" i="2"/>
  <c r="H407" i="2"/>
  <c r="K407" i="2"/>
  <c r="B407" i="2"/>
  <c r="C407" i="2"/>
  <c r="I407" i="2"/>
  <c r="D407" i="2"/>
  <c r="E407" i="2"/>
  <c r="F407" i="2"/>
  <c r="G407" i="2"/>
  <c r="J406" i="2"/>
  <c r="N406" i="2"/>
  <c r="A406" i="2"/>
  <c r="M406" i="2"/>
  <c r="L406" i="2"/>
  <c r="H406" i="2"/>
  <c r="K406" i="2"/>
  <c r="B406" i="2"/>
  <c r="C406" i="2"/>
  <c r="I406" i="2"/>
  <c r="D406" i="2"/>
  <c r="E406" i="2"/>
  <c r="F406" i="2"/>
  <c r="G406" i="2"/>
  <c r="J405" i="2"/>
  <c r="N405" i="2"/>
  <c r="A405" i="2"/>
  <c r="M405" i="2"/>
  <c r="L405" i="2"/>
  <c r="H405" i="2"/>
  <c r="K405" i="2"/>
  <c r="B405" i="2"/>
  <c r="C405" i="2"/>
  <c r="I405" i="2"/>
  <c r="D405" i="2"/>
  <c r="E405" i="2"/>
  <c r="F405" i="2"/>
  <c r="G405" i="2"/>
  <c r="J404" i="2"/>
  <c r="N404" i="2"/>
  <c r="A404" i="2"/>
  <c r="M404" i="2"/>
  <c r="L404" i="2"/>
  <c r="H404" i="2"/>
  <c r="K404" i="2"/>
  <c r="B404" i="2"/>
  <c r="C404" i="2"/>
  <c r="I404" i="2"/>
  <c r="D404" i="2"/>
  <c r="E404" i="2"/>
  <c r="F404" i="2"/>
  <c r="G404" i="2"/>
  <c r="J403" i="2"/>
  <c r="N403" i="2"/>
  <c r="A403" i="2"/>
  <c r="M403" i="2"/>
  <c r="L403" i="2"/>
  <c r="H403" i="2"/>
  <c r="K403" i="2"/>
  <c r="B403" i="2"/>
  <c r="C403" i="2"/>
  <c r="I403" i="2"/>
  <c r="D403" i="2"/>
  <c r="E403" i="2"/>
  <c r="F403" i="2"/>
  <c r="G403" i="2"/>
  <c r="J402" i="2"/>
  <c r="N402" i="2"/>
  <c r="A402" i="2"/>
  <c r="M402" i="2"/>
  <c r="L402" i="2"/>
  <c r="H402" i="2"/>
  <c r="K402" i="2"/>
  <c r="B402" i="2"/>
  <c r="C402" i="2"/>
  <c r="I402" i="2"/>
  <c r="D402" i="2"/>
  <c r="E402" i="2"/>
  <c r="F402" i="2"/>
  <c r="G402" i="2"/>
  <c r="J401" i="2"/>
  <c r="N401" i="2"/>
  <c r="A401" i="2"/>
  <c r="M401" i="2"/>
  <c r="L401" i="2"/>
  <c r="H401" i="2"/>
  <c r="K401" i="2"/>
  <c r="B401" i="2"/>
  <c r="C401" i="2"/>
  <c r="I401" i="2"/>
  <c r="D401" i="2"/>
  <c r="E401" i="2"/>
  <c r="F401" i="2"/>
  <c r="G401" i="2"/>
  <c r="J400" i="2"/>
  <c r="N400" i="2"/>
  <c r="A400" i="2"/>
  <c r="M400" i="2"/>
  <c r="L400" i="2"/>
  <c r="H400" i="2"/>
  <c r="K400" i="2"/>
  <c r="B400" i="2"/>
  <c r="C400" i="2"/>
  <c r="I400" i="2"/>
  <c r="D400" i="2"/>
  <c r="E400" i="2"/>
  <c r="F400" i="2"/>
  <c r="G400" i="2"/>
  <c r="J399" i="2"/>
  <c r="N399" i="2"/>
  <c r="A399" i="2"/>
  <c r="M399" i="2"/>
  <c r="L399" i="2"/>
  <c r="H399" i="2"/>
  <c r="K399" i="2"/>
  <c r="B399" i="2"/>
  <c r="C399" i="2"/>
  <c r="I399" i="2"/>
  <c r="D399" i="2"/>
  <c r="E399" i="2"/>
  <c r="F399" i="2"/>
  <c r="G399" i="2"/>
  <c r="J398" i="2"/>
  <c r="N398" i="2"/>
  <c r="A398" i="2"/>
  <c r="M398" i="2"/>
  <c r="L398" i="2"/>
  <c r="H398" i="2"/>
  <c r="K398" i="2"/>
  <c r="B398" i="2"/>
  <c r="C398" i="2"/>
  <c r="I398" i="2"/>
  <c r="D398" i="2"/>
  <c r="E398" i="2"/>
  <c r="F398" i="2"/>
  <c r="G398" i="2"/>
  <c r="J397" i="2"/>
  <c r="N397" i="2"/>
  <c r="A397" i="2"/>
  <c r="M397" i="2"/>
  <c r="L397" i="2"/>
  <c r="H397" i="2"/>
  <c r="K397" i="2"/>
  <c r="B397" i="2"/>
  <c r="C397" i="2"/>
  <c r="I397" i="2"/>
  <c r="D397" i="2"/>
  <c r="E397" i="2"/>
  <c r="F397" i="2"/>
  <c r="G397" i="2"/>
  <c r="J396" i="2"/>
  <c r="N396" i="2"/>
  <c r="A396" i="2"/>
  <c r="M396" i="2"/>
  <c r="L396" i="2"/>
  <c r="H396" i="2"/>
  <c r="K396" i="2"/>
  <c r="B396" i="2"/>
  <c r="C396" i="2"/>
  <c r="I396" i="2"/>
  <c r="D396" i="2"/>
  <c r="E396" i="2"/>
  <c r="F396" i="2"/>
  <c r="G396" i="2"/>
  <c r="J395" i="2"/>
  <c r="N395" i="2"/>
  <c r="A395" i="2"/>
  <c r="M395" i="2"/>
  <c r="L395" i="2"/>
  <c r="H395" i="2"/>
  <c r="K395" i="2"/>
  <c r="B395" i="2"/>
  <c r="C395" i="2"/>
  <c r="I395" i="2"/>
  <c r="D395" i="2"/>
  <c r="E395" i="2"/>
  <c r="F395" i="2"/>
  <c r="G395" i="2"/>
  <c r="J394" i="2"/>
  <c r="N394" i="2"/>
  <c r="A394" i="2"/>
  <c r="M394" i="2"/>
  <c r="L394" i="2"/>
  <c r="H394" i="2"/>
  <c r="K394" i="2"/>
  <c r="B394" i="2"/>
  <c r="C394" i="2"/>
  <c r="I394" i="2"/>
  <c r="D394" i="2"/>
  <c r="E394" i="2"/>
  <c r="F394" i="2"/>
  <c r="G394" i="2"/>
  <c r="J393" i="2"/>
  <c r="N393" i="2"/>
  <c r="A393" i="2"/>
  <c r="M393" i="2"/>
  <c r="L393" i="2"/>
  <c r="H393" i="2"/>
  <c r="K393" i="2"/>
  <c r="B393" i="2"/>
  <c r="C393" i="2"/>
  <c r="I393" i="2"/>
  <c r="D393" i="2"/>
  <c r="E393" i="2"/>
  <c r="F393" i="2"/>
  <c r="G393" i="2"/>
  <c r="J392" i="2"/>
  <c r="N392" i="2"/>
  <c r="A392" i="2"/>
  <c r="M392" i="2"/>
  <c r="L392" i="2"/>
  <c r="H392" i="2"/>
  <c r="K392" i="2"/>
  <c r="B392" i="2"/>
  <c r="C392" i="2"/>
  <c r="I392" i="2"/>
  <c r="D392" i="2"/>
  <c r="E392" i="2"/>
  <c r="F392" i="2"/>
  <c r="G392" i="2"/>
  <c r="J391" i="2"/>
  <c r="N391" i="2"/>
  <c r="A391" i="2"/>
  <c r="M391" i="2"/>
  <c r="L391" i="2"/>
  <c r="H391" i="2"/>
  <c r="K391" i="2"/>
  <c r="B391" i="2"/>
  <c r="C391" i="2"/>
  <c r="I391" i="2"/>
  <c r="D391" i="2"/>
  <c r="E391" i="2"/>
  <c r="F391" i="2"/>
  <c r="G391" i="2"/>
  <c r="J390" i="2"/>
  <c r="N390" i="2"/>
  <c r="A390" i="2"/>
  <c r="M390" i="2"/>
  <c r="L390" i="2"/>
  <c r="H390" i="2"/>
  <c r="K390" i="2"/>
  <c r="B390" i="2"/>
  <c r="C390" i="2"/>
  <c r="I390" i="2"/>
  <c r="D390" i="2"/>
  <c r="E390" i="2"/>
  <c r="F390" i="2"/>
  <c r="G390" i="2"/>
  <c r="J389" i="2"/>
  <c r="N389" i="2"/>
  <c r="A389" i="2"/>
  <c r="M389" i="2"/>
  <c r="L389" i="2"/>
  <c r="H389" i="2"/>
  <c r="K389" i="2"/>
  <c r="B389" i="2"/>
  <c r="C389" i="2"/>
  <c r="I389" i="2"/>
  <c r="D389" i="2"/>
  <c r="E389" i="2"/>
  <c r="F389" i="2"/>
  <c r="G389" i="2"/>
  <c r="J388" i="2"/>
  <c r="N388" i="2"/>
  <c r="A388" i="2"/>
  <c r="M388" i="2"/>
  <c r="L388" i="2"/>
  <c r="H388" i="2"/>
  <c r="K388" i="2"/>
  <c r="B388" i="2"/>
  <c r="C388" i="2"/>
  <c r="I388" i="2"/>
  <c r="D388" i="2"/>
  <c r="E388" i="2"/>
  <c r="F388" i="2"/>
  <c r="G388" i="2"/>
  <c r="J387" i="2"/>
  <c r="N387" i="2"/>
  <c r="A387" i="2"/>
  <c r="M387" i="2"/>
  <c r="L387" i="2"/>
  <c r="H387" i="2"/>
  <c r="K387" i="2"/>
  <c r="B387" i="2"/>
  <c r="C387" i="2"/>
  <c r="I387" i="2"/>
  <c r="D387" i="2"/>
  <c r="E387" i="2"/>
  <c r="F387" i="2"/>
  <c r="G387" i="2"/>
  <c r="J386" i="2"/>
  <c r="N386" i="2"/>
  <c r="A386" i="2"/>
  <c r="M386" i="2"/>
  <c r="L386" i="2"/>
  <c r="H386" i="2"/>
  <c r="K386" i="2"/>
  <c r="B386" i="2"/>
  <c r="C386" i="2"/>
  <c r="I386" i="2"/>
  <c r="D386" i="2"/>
  <c r="E386" i="2"/>
  <c r="F386" i="2"/>
  <c r="G386" i="2"/>
  <c r="J385" i="2"/>
  <c r="N385" i="2"/>
  <c r="A385" i="2"/>
  <c r="M385" i="2"/>
  <c r="L385" i="2"/>
  <c r="H385" i="2"/>
  <c r="K385" i="2"/>
  <c r="B385" i="2"/>
  <c r="C385" i="2"/>
  <c r="I385" i="2"/>
  <c r="D385" i="2"/>
  <c r="E385" i="2"/>
  <c r="F385" i="2"/>
  <c r="G385" i="2"/>
  <c r="J384" i="2"/>
  <c r="N384" i="2"/>
  <c r="A384" i="2"/>
  <c r="M384" i="2"/>
  <c r="L384" i="2"/>
  <c r="H384" i="2"/>
  <c r="K384" i="2"/>
  <c r="B384" i="2"/>
  <c r="C384" i="2"/>
  <c r="I384" i="2"/>
  <c r="D384" i="2"/>
  <c r="E384" i="2"/>
  <c r="F384" i="2"/>
  <c r="G384" i="2"/>
  <c r="J383" i="2"/>
  <c r="N383" i="2"/>
  <c r="A383" i="2"/>
  <c r="M383" i="2"/>
  <c r="L383" i="2"/>
  <c r="H383" i="2"/>
  <c r="K383" i="2"/>
  <c r="B383" i="2"/>
  <c r="C383" i="2"/>
  <c r="I383" i="2"/>
  <c r="D383" i="2"/>
  <c r="E383" i="2"/>
  <c r="F383" i="2"/>
  <c r="G383" i="2"/>
  <c r="J382" i="2"/>
  <c r="N382" i="2"/>
  <c r="A382" i="2"/>
  <c r="M382" i="2"/>
  <c r="L382" i="2"/>
  <c r="H382" i="2"/>
  <c r="K382" i="2"/>
  <c r="B382" i="2"/>
  <c r="C382" i="2"/>
  <c r="I382" i="2"/>
  <c r="D382" i="2"/>
  <c r="E382" i="2"/>
  <c r="F382" i="2"/>
  <c r="G382" i="2"/>
  <c r="J381" i="2"/>
  <c r="N381" i="2"/>
  <c r="A381" i="2"/>
  <c r="M381" i="2"/>
  <c r="L381" i="2"/>
  <c r="H381" i="2"/>
  <c r="K381" i="2"/>
  <c r="B381" i="2"/>
  <c r="C381" i="2"/>
  <c r="I381" i="2"/>
  <c r="D381" i="2"/>
  <c r="E381" i="2"/>
  <c r="F381" i="2"/>
  <c r="G381" i="2"/>
  <c r="J380" i="2"/>
  <c r="N380" i="2"/>
  <c r="A380" i="2"/>
  <c r="M380" i="2"/>
  <c r="L380" i="2"/>
  <c r="H380" i="2"/>
  <c r="K380" i="2"/>
  <c r="B380" i="2"/>
  <c r="C380" i="2"/>
  <c r="I380" i="2"/>
  <c r="D380" i="2"/>
  <c r="E380" i="2"/>
  <c r="F380" i="2"/>
  <c r="G380" i="2"/>
  <c r="J379" i="2"/>
  <c r="N379" i="2"/>
  <c r="A379" i="2"/>
  <c r="M379" i="2"/>
  <c r="L379" i="2"/>
  <c r="H379" i="2"/>
  <c r="K379" i="2"/>
  <c r="B379" i="2"/>
  <c r="C379" i="2"/>
  <c r="I379" i="2"/>
  <c r="D379" i="2"/>
  <c r="E379" i="2"/>
  <c r="F379" i="2"/>
  <c r="G379" i="2"/>
  <c r="J378" i="2"/>
  <c r="N378" i="2"/>
  <c r="A378" i="2"/>
  <c r="M378" i="2"/>
  <c r="L378" i="2"/>
  <c r="H378" i="2"/>
  <c r="K378" i="2"/>
  <c r="B378" i="2"/>
  <c r="C378" i="2"/>
  <c r="I378" i="2"/>
  <c r="D378" i="2"/>
  <c r="E378" i="2"/>
  <c r="F378" i="2"/>
  <c r="G378" i="2"/>
  <c r="J377" i="2"/>
  <c r="N377" i="2"/>
  <c r="A377" i="2"/>
  <c r="M377" i="2"/>
  <c r="L377" i="2"/>
  <c r="H377" i="2"/>
  <c r="K377" i="2"/>
  <c r="B377" i="2"/>
  <c r="C377" i="2"/>
  <c r="I377" i="2"/>
  <c r="D377" i="2"/>
  <c r="E377" i="2"/>
  <c r="F377" i="2"/>
  <c r="G377" i="2"/>
  <c r="J376" i="2"/>
  <c r="N376" i="2"/>
  <c r="A376" i="2"/>
  <c r="M376" i="2"/>
  <c r="L376" i="2"/>
  <c r="H376" i="2"/>
  <c r="K376" i="2"/>
  <c r="B376" i="2"/>
  <c r="C376" i="2"/>
  <c r="I376" i="2"/>
  <c r="D376" i="2"/>
  <c r="E376" i="2"/>
  <c r="F376" i="2"/>
  <c r="G376" i="2"/>
  <c r="J375" i="2"/>
  <c r="N375" i="2"/>
  <c r="A375" i="2"/>
  <c r="M375" i="2"/>
  <c r="L375" i="2"/>
  <c r="H375" i="2"/>
  <c r="K375" i="2"/>
  <c r="B375" i="2"/>
  <c r="C375" i="2"/>
  <c r="I375" i="2"/>
  <c r="D375" i="2"/>
  <c r="E375" i="2"/>
  <c r="F375" i="2"/>
  <c r="G375" i="2"/>
  <c r="J374" i="2"/>
  <c r="N374" i="2"/>
  <c r="A374" i="2"/>
  <c r="M374" i="2"/>
  <c r="L374" i="2"/>
  <c r="H374" i="2"/>
  <c r="K374" i="2"/>
  <c r="B374" i="2"/>
  <c r="C374" i="2"/>
  <c r="I374" i="2"/>
  <c r="D374" i="2"/>
  <c r="E374" i="2"/>
  <c r="F374" i="2"/>
  <c r="G374" i="2"/>
  <c r="J373" i="2"/>
  <c r="N373" i="2"/>
  <c r="A373" i="2"/>
  <c r="M373" i="2"/>
  <c r="L373" i="2"/>
  <c r="H373" i="2"/>
  <c r="K373" i="2"/>
  <c r="B373" i="2"/>
  <c r="C373" i="2"/>
  <c r="I373" i="2"/>
  <c r="D373" i="2"/>
  <c r="E373" i="2"/>
  <c r="F373" i="2"/>
  <c r="G373" i="2"/>
  <c r="J372" i="2"/>
  <c r="N372" i="2"/>
  <c r="A372" i="2"/>
  <c r="M372" i="2"/>
  <c r="L372" i="2"/>
  <c r="H372" i="2"/>
  <c r="K372" i="2"/>
  <c r="B372" i="2"/>
  <c r="C372" i="2"/>
  <c r="I372" i="2"/>
  <c r="D372" i="2"/>
  <c r="E372" i="2"/>
  <c r="F372" i="2"/>
  <c r="G372" i="2"/>
  <c r="J371" i="2"/>
  <c r="N371" i="2"/>
  <c r="A371" i="2"/>
  <c r="M371" i="2"/>
  <c r="L371" i="2"/>
  <c r="H371" i="2"/>
  <c r="K371" i="2"/>
  <c r="B371" i="2"/>
  <c r="C371" i="2"/>
  <c r="I371" i="2"/>
  <c r="D371" i="2"/>
  <c r="E371" i="2"/>
  <c r="F371" i="2"/>
  <c r="G371" i="2"/>
  <c r="J370" i="2"/>
  <c r="N370" i="2"/>
  <c r="A370" i="2"/>
  <c r="M370" i="2"/>
  <c r="L370" i="2"/>
  <c r="H370" i="2"/>
  <c r="K370" i="2"/>
  <c r="B370" i="2"/>
  <c r="C370" i="2"/>
  <c r="I370" i="2"/>
  <c r="D370" i="2"/>
  <c r="E370" i="2"/>
  <c r="F370" i="2"/>
  <c r="G370" i="2"/>
  <c r="J369" i="2"/>
  <c r="N369" i="2"/>
  <c r="A369" i="2"/>
  <c r="M369" i="2"/>
  <c r="L369" i="2"/>
  <c r="H369" i="2"/>
  <c r="K369" i="2"/>
  <c r="B369" i="2"/>
  <c r="C369" i="2"/>
  <c r="I369" i="2"/>
  <c r="D369" i="2"/>
  <c r="E369" i="2"/>
  <c r="F369" i="2"/>
  <c r="G369" i="2"/>
  <c r="J368" i="2"/>
  <c r="N368" i="2"/>
  <c r="A368" i="2"/>
  <c r="M368" i="2"/>
  <c r="L368" i="2"/>
  <c r="H368" i="2"/>
  <c r="K368" i="2"/>
  <c r="B368" i="2"/>
  <c r="C368" i="2"/>
  <c r="I368" i="2"/>
  <c r="D368" i="2"/>
  <c r="E368" i="2"/>
  <c r="F368" i="2"/>
  <c r="G368" i="2"/>
  <c r="J367" i="2"/>
  <c r="N367" i="2"/>
  <c r="A367" i="2"/>
  <c r="M367" i="2"/>
  <c r="L367" i="2"/>
  <c r="H367" i="2"/>
  <c r="K367" i="2"/>
  <c r="B367" i="2"/>
  <c r="C367" i="2"/>
  <c r="I367" i="2"/>
  <c r="D367" i="2"/>
  <c r="E367" i="2"/>
  <c r="F367" i="2"/>
  <c r="G367" i="2"/>
  <c r="J366" i="2"/>
  <c r="N366" i="2"/>
  <c r="A366" i="2"/>
  <c r="M366" i="2"/>
  <c r="L366" i="2"/>
  <c r="H366" i="2"/>
  <c r="K366" i="2"/>
  <c r="B366" i="2"/>
  <c r="C366" i="2"/>
  <c r="I366" i="2"/>
  <c r="D366" i="2"/>
  <c r="E366" i="2"/>
  <c r="F366" i="2"/>
  <c r="G366" i="2"/>
  <c r="J365" i="2"/>
  <c r="N365" i="2"/>
  <c r="A365" i="2"/>
  <c r="M365" i="2"/>
  <c r="L365" i="2"/>
  <c r="H365" i="2"/>
  <c r="K365" i="2"/>
  <c r="B365" i="2"/>
  <c r="C365" i="2"/>
  <c r="I365" i="2"/>
  <c r="D365" i="2"/>
  <c r="E365" i="2"/>
  <c r="F365" i="2"/>
  <c r="G365" i="2"/>
  <c r="J364" i="2"/>
  <c r="N364" i="2"/>
  <c r="A364" i="2"/>
  <c r="M364" i="2"/>
  <c r="L364" i="2"/>
  <c r="H364" i="2"/>
  <c r="K364" i="2"/>
  <c r="B364" i="2"/>
  <c r="C364" i="2"/>
  <c r="I364" i="2"/>
  <c r="D364" i="2"/>
  <c r="E364" i="2"/>
  <c r="F364" i="2"/>
  <c r="G364" i="2"/>
  <c r="J363" i="2"/>
  <c r="N363" i="2"/>
  <c r="A363" i="2"/>
  <c r="M363" i="2"/>
  <c r="L363" i="2"/>
  <c r="H363" i="2"/>
  <c r="K363" i="2"/>
  <c r="B363" i="2"/>
  <c r="C363" i="2"/>
  <c r="I363" i="2"/>
  <c r="D363" i="2"/>
  <c r="E363" i="2"/>
  <c r="F363" i="2"/>
  <c r="G363" i="2"/>
  <c r="J362" i="2"/>
  <c r="N362" i="2"/>
  <c r="A362" i="2"/>
  <c r="M362" i="2"/>
  <c r="L362" i="2"/>
  <c r="H362" i="2"/>
  <c r="K362" i="2"/>
  <c r="B362" i="2"/>
  <c r="C362" i="2"/>
  <c r="I362" i="2"/>
  <c r="D362" i="2"/>
  <c r="E362" i="2"/>
  <c r="F362" i="2"/>
  <c r="G362" i="2"/>
  <c r="J361" i="2"/>
  <c r="N361" i="2"/>
  <c r="A361" i="2"/>
  <c r="M361" i="2"/>
  <c r="L361" i="2"/>
  <c r="H361" i="2"/>
  <c r="K361" i="2"/>
  <c r="B361" i="2"/>
  <c r="C361" i="2"/>
  <c r="I361" i="2"/>
  <c r="D361" i="2"/>
  <c r="E361" i="2"/>
  <c r="F361" i="2"/>
  <c r="G361" i="2"/>
  <c r="J360" i="2"/>
  <c r="N360" i="2"/>
  <c r="A360" i="2"/>
  <c r="M360" i="2"/>
  <c r="L360" i="2"/>
  <c r="H360" i="2"/>
  <c r="K360" i="2"/>
  <c r="B360" i="2"/>
  <c r="C360" i="2"/>
  <c r="I360" i="2"/>
  <c r="D360" i="2"/>
  <c r="E360" i="2"/>
  <c r="F360" i="2"/>
  <c r="G360" i="2"/>
  <c r="J359" i="2"/>
  <c r="N359" i="2"/>
  <c r="A359" i="2"/>
  <c r="M359" i="2"/>
  <c r="L359" i="2"/>
  <c r="H359" i="2"/>
  <c r="K359" i="2"/>
  <c r="B359" i="2"/>
  <c r="C359" i="2"/>
  <c r="I359" i="2"/>
  <c r="D359" i="2"/>
  <c r="E359" i="2"/>
  <c r="F359" i="2"/>
  <c r="G359" i="2"/>
  <c r="J358" i="2"/>
  <c r="N358" i="2"/>
  <c r="A358" i="2"/>
  <c r="M358" i="2"/>
  <c r="L358" i="2"/>
  <c r="H358" i="2"/>
  <c r="K358" i="2"/>
  <c r="B358" i="2"/>
  <c r="C358" i="2"/>
  <c r="I358" i="2"/>
  <c r="D358" i="2"/>
  <c r="E358" i="2"/>
  <c r="F358" i="2"/>
  <c r="G358" i="2"/>
  <c r="J357" i="2"/>
  <c r="N357" i="2"/>
  <c r="A357" i="2"/>
  <c r="M357" i="2"/>
  <c r="L357" i="2"/>
  <c r="H357" i="2"/>
  <c r="K357" i="2"/>
  <c r="B357" i="2"/>
  <c r="C357" i="2"/>
  <c r="I357" i="2"/>
  <c r="D357" i="2"/>
  <c r="E357" i="2"/>
  <c r="F357" i="2"/>
  <c r="G357" i="2"/>
  <c r="J356" i="2"/>
  <c r="N356" i="2"/>
  <c r="A356" i="2"/>
  <c r="M356" i="2"/>
  <c r="L356" i="2"/>
  <c r="H356" i="2"/>
  <c r="K356" i="2"/>
  <c r="B356" i="2"/>
  <c r="C356" i="2"/>
  <c r="I356" i="2"/>
  <c r="D356" i="2"/>
  <c r="E356" i="2"/>
  <c r="F356" i="2"/>
  <c r="G356" i="2"/>
  <c r="J355" i="2"/>
  <c r="N355" i="2"/>
  <c r="A355" i="2"/>
  <c r="M355" i="2"/>
  <c r="L355" i="2"/>
  <c r="H355" i="2"/>
  <c r="K355" i="2"/>
  <c r="B355" i="2"/>
  <c r="C355" i="2"/>
  <c r="I355" i="2"/>
  <c r="D355" i="2"/>
  <c r="E355" i="2"/>
  <c r="F355" i="2"/>
  <c r="G355" i="2"/>
  <c r="J354" i="2"/>
  <c r="N354" i="2"/>
  <c r="A354" i="2"/>
  <c r="M354" i="2"/>
  <c r="L354" i="2"/>
  <c r="H354" i="2"/>
  <c r="K354" i="2"/>
  <c r="B354" i="2"/>
  <c r="C354" i="2"/>
  <c r="I354" i="2"/>
  <c r="D354" i="2"/>
  <c r="E354" i="2"/>
  <c r="F354" i="2"/>
  <c r="G354" i="2"/>
  <c r="J353" i="2"/>
  <c r="N353" i="2"/>
  <c r="A353" i="2"/>
  <c r="M353" i="2"/>
  <c r="L353" i="2"/>
  <c r="H353" i="2"/>
  <c r="K353" i="2"/>
  <c r="B353" i="2"/>
  <c r="C353" i="2"/>
  <c r="I353" i="2"/>
  <c r="D353" i="2"/>
  <c r="E353" i="2"/>
  <c r="F353" i="2"/>
  <c r="G353" i="2"/>
  <c r="J352" i="2"/>
  <c r="N352" i="2"/>
  <c r="A352" i="2"/>
  <c r="M352" i="2"/>
  <c r="L352" i="2"/>
  <c r="H352" i="2"/>
  <c r="K352" i="2"/>
  <c r="B352" i="2"/>
  <c r="C352" i="2"/>
  <c r="I352" i="2"/>
  <c r="D352" i="2"/>
  <c r="E352" i="2"/>
  <c r="F352" i="2"/>
  <c r="G352" i="2"/>
  <c r="J351" i="2"/>
  <c r="N351" i="2"/>
  <c r="A351" i="2"/>
  <c r="M351" i="2"/>
  <c r="L351" i="2"/>
  <c r="H351" i="2"/>
  <c r="K351" i="2"/>
  <c r="B351" i="2"/>
  <c r="C351" i="2"/>
  <c r="I351" i="2"/>
  <c r="D351" i="2"/>
  <c r="E351" i="2"/>
  <c r="F351" i="2"/>
  <c r="G351" i="2"/>
  <c r="J350" i="2"/>
  <c r="N350" i="2"/>
  <c r="A350" i="2"/>
  <c r="M350" i="2"/>
  <c r="L350" i="2"/>
  <c r="H350" i="2"/>
  <c r="K350" i="2"/>
  <c r="B350" i="2"/>
  <c r="C350" i="2"/>
  <c r="I350" i="2"/>
  <c r="D350" i="2"/>
  <c r="E350" i="2"/>
  <c r="F350" i="2"/>
  <c r="G350" i="2"/>
  <c r="J349" i="2"/>
  <c r="N349" i="2"/>
  <c r="A349" i="2"/>
  <c r="M349" i="2"/>
  <c r="L349" i="2"/>
  <c r="H349" i="2"/>
  <c r="K349" i="2"/>
  <c r="B349" i="2"/>
  <c r="C349" i="2"/>
  <c r="I349" i="2"/>
  <c r="D349" i="2"/>
  <c r="E349" i="2"/>
  <c r="F349" i="2"/>
  <c r="G349" i="2"/>
  <c r="J348" i="2"/>
  <c r="N348" i="2"/>
  <c r="A348" i="2"/>
  <c r="M348" i="2"/>
  <c r="L348" i="2"/>
  <c r="H348" i="2"/>
  <c r="K348" i="2"/>
  <c r="B348" i="2"/>
  <c r="C348" i="2"/>
  <c r="I348" i="2"/>
  <c r="D348" i="2"/>
  <c r="E348" i="2"/>
  <c r="F348" i="2"/>
  <c r="G348" i="2"/>
  <c r="J347" i="2"/>
  <c r="N347" i="2"/>
  <c r="A347" i="2"/>
  <c r="M347" i="2"/>
  <c r="L347" i="2"/>
  <c r="H347" i="2"/>
  <c r="K347" i="2"/>
  <c r="B347" i="2"/>
  <c r="C347" i="2"/>
  <c r="I347" i="2"/>
  <c r="D347" i="2"/>
  <c r="E347" i="2"/>
  <c r="F347" i="2"/>
  <c r="G347" i="2"/>
  <c r="J346" i="2"/>
  <c r="N346" i="2"/>
  <c r="A346" i="2"/>
  <c r="M346" i="2"/>
  <c r="L346" i="2"/>
  <c r="H346" i="2"/>
  <c r="K346" i="2"/>
  <c r="B346" i="2"/>
  <c r="C346" i="2"/>
  <c r="I346" i="2"/>
  <c r="D346" i="2"/>
  <c r="E346" i="2"/>
  <c r="F346" i="2"/>
  <c r="G346" i="2"/>
  <c r="J345" i="2"/>
  <c r="N345" i="2"/>
  <c r="A345" i="2"/>
  <c r="M345" i="2"/>
  <c r="L345" i="2"/>
  <c r="H345" i="2"/>
  <c r="K345" i="2"/>
  <c r="B345" i="2"/>
  <c r="C345" i="2"/>
  <c r="I345" i="2"/>
  <c r="D345" i="2"/>
  <c r="E345" i="2"/>
  <c r="F345" i="2"/>
  <c r="G345" i="2"/>
  <c r="J344" i="2"/>
  <c r="N344" i="2"/>
  <c r="A344" i="2"/>
  <c r="M344" i="2"/>
  <c r="L344" i="2"/>
  <c r="H344" i="2"/>
  <c r="K344" i="2"/>
  <c r="B344" i="2"/>
  <c r="C344" i="2"/>
  <c r="I344" i="2"/>
  <c r="D344" i="2"/>
  <c r="E344" i="2"/>
  <c r="F344" i="2"/>
  <c r="G344" i="2"/>
  <c r="J343" i="2"/>
  <c r="N343" i="2"/>
  <c r="A343" i="2"/>
  <c r="M343" i="2"/>
  <c r="L343" i="2"/>
  <c r="H343" i="2"/>
  <c r="K343" i="2"/>
  <c r="B343" i="2"/>
  <c r="C343" i="2"/>
  <c r="I343" i="2"/>
  <c r="D343" i="2"/>
  <c r="E343" i="2"/>
  <c r="F343" i="2"/>
  <c r="G343" i="2"/>
  <c r="J342" i="2"/>
  <c r="N342" i="2"/>
  <c r="A342" i="2"/>
  <c r="M342" i="2"/>
  <c r="L342" i="2"/>
  <c r="H342" i="2"/>
  <c r="K342" i="2"/>
  <c r="B342" i="2"/>
  <c r="C342" i="2"/>
  <c r="I342" i="2"/>
  <c r="D342" i="2"/>
  <c r="E342" i="2"/>
  <c r="F342" i="2"/>
  <c r="G342" i="2"/>
  <c r="J341" i="2"/>
  <c r="N341" i="2"/>
  <c r="A341" i="2"/>
  <c r="M341" i="2"/>
  <c r="L341" i="2"/>
  <c r="H341" i="2"/>
  <c r="K341" i="2"/>
  <c r="B341" i="2"/>
  <c r="C341" i="2"/>
  <c r="I341" i="2"/>
  <c r="D341" i="2"/>
  <c r="E341" i="2"/>
  <c r="F341" i="2"/>
  <c r="G341" i="2"/>
  <c r="J340" i="2"/>
  <c r="N340" i="2"/>
  <c r="A340" i="2"/>
  <c r="M340" i="2"/>
  <c r="L340" i="2"/>
  <c r="H340" i="2"/>
  <c r="K340" i="2"/>
  <c r="B340" i="2"/>
  <c r="C340" i="2"/>
  <c r="I340" i="2"/>
  <c r="D340" i="2"/>
  <c r="E340" i="2"/>
  <c r="F340" i="2"/>
  <c r="G340" i="2"/>
  <c r="J339" i="2"/>
  <c r="N339" i="2"/>
  <c r="A339" i="2"/>
  <c r="M339" i="2"/>
  <c r="L339" i="2"/>
  <c r="H339" i="2"/>
  <c r="K339" i="2"/>
  <c r="B339" i="2"/>
  <c r="C339" i="2"/>
  <c r="I339" i="2"/>
  <c r="D339" i="2"/>
  <c r="E339" i="2"/>
  <c r="F339" i="2"/>
  <c r="G339" i="2"/>
  <c r="J338" i="2"/>
  <c r="N338" i="2"/>
  <c r="A338" i="2"/>
  <c r="M338" i="2"/>
  <c r="L338" i="2"/>
  <c r="H338" i="2"/>
  <c r="K338" i="2"/>
  <c r="B338" i="2"/>
  <c r="C338" i="2"/>
  <c r="I338" i="2"/>
  <c r="D338" i="2"/>
  <c r="E338" i="2"/>
  <c r="F338" i="2"/>
  <c r="G338" i="2"/>
  <c r="J337" i="2"/>
  <c r="N337" i="2"/>
  <c r="A337" i="2"/>
  <c r="M337" i="2"/>
  <c r="L337" i="2"/>
  <c r="H337" i="2"/>
  <c r="K337" i="2"/>
  <c r="B337" i="2"/>
  <c r="C337" i="2"/>
  <c r="I337" i="2"/>
  <c r="D337" i="2"/>
  <c r="E337" i="2"/>
  <c r="F337" i="2"/>
  <c r="G337" i="2"/>
  <c r="J336" i="2"/>
  <c r="N336" i="2"/>
  <c r="A336" i="2"/>
  <c r="M336" i="2"/>
  <c r="L336" i="2"/>
  <c r="H336" i="2"/>
  <c r="K336" i="2"/>
  <c r="B336" i="2"/>
  <c r="C336" i="2"/>
  <c r="I336" i="2"/>
  <c r="D336" i="2"/>
  <c r="E336" i="2"/>
  <c r="F336" i="2"/>
  <c r="G336" i="2"/>
  <c r="J335" i="2"/>
  <c r="N335" i="2"/>
  <c r="A335" i="2"/>
  <c r="M335" i="2"/>
  <c r="L335" i="2"/>
  <c r="H335" i="2"/>
  <c r="K335" i="2"/>
  <c r="B335" i="2"/>
  <c r="C335" i="2"/>
  <c r="I335" i="2"/>
  <c r="D335" i="2"/>
  <c r="E335" i="2"/>
  <c r="F335" i="2"/>
  <c r="G335" i="2"/>
  <c r="J334" i="2"/>
  <c r="N334" i="2"/>
  <c r="A334" i="2"/>
  <c r="M334" i="2"/>
  <c r="L334" i="2"/>
  <c r="H334" i="2"/>
  <c r="K334" i="2"/>
  <c r="B334" i="2"/>
  <c r="C334" i="2"/>
  <c r="I334" i="2"/>
  <c r="D334" i="2"/>
  <c r="E334" i="2"/>
  <c r="F334" i="2"/>
  <c r="G334" i="2"/>
  <c r="J333" i="2"/>
  <c r="N333" i="2"/>
  <c r="A333" i="2"/>
  <c r="M333" i="2"/>
  <c r="L333" i="2"/>
  <c r="H333" i="2"/>
  <c r="K333" i="2"/>
  <c r="B333" i="2"/>
  <c r="C333" i="2"/>
  <c r="I333" i="2"/>
  <c r="D333" i="2"/>
  <c r="E333" i="2"/>
  <c r="F333" i="2"/>
  <c r="G333" i="2"/>
  <c r="J332" i="2"/>
  <c r="N332" i="2"/>
  <c r="A332" i="2"/>
  <c r="M332" i="2"/>
  <c r="L332" i="2"/>
  <c r="H332" i="2"/>
  <c r="K332" i="2"/>
  <c r="B332" i="2"/>
  <c r="C332" i="2"/>
  <c r="I332" i="2"/>
  <c r="D332" i="2"/>
  <c r="E332" i="2"/>
  <c r="F332" i="2"/>
  <c r="G332" i="2"/>
  <c r="J331" i="2"/>
  <c r="N331" i="2"/>
  <c r="A331" i="2"/>
  <c r="M331" i="2"/>
  <c r="L331" i="2"/>
  <c r="H331" i="2"/>
  <c r="K331" i="2"/>
  <c r="B331" i="2"/>
  <c r="C331" i="2"/>
  <c r="I331" i="2"/>
  <c r="D331" i="2"/>
  <c r="E331" i="2"/>
  <c r="F331" i="2"/>
  <c r="G331" i="2"/>
  <c r="J330" i="2"/>
  <c r="N330" i="2"/>
  <c r="A330" i="2"/>
  <c r="M330" i="2"/>
  <c r="L330" i="2"/>
  <c r="H330" i="2"/>
  <c r="K330" i="2"/>
  <c r="B330" i="2"/>
  <c r="C330" i="2"/>
  <c r="I330" i="2"/>
  <c r="D330" i="2"/>
  <c r="E330" i="2"/>
  <c r="F330" i="2"/>
  <c r="G330" i="2"/>
  <c r="J329" i="2"/>
  <c r="N329" i="2"/>
  <c r="A329" i="2"/>
  <c r="M329" i="2"/>
  <c r="L329" i="2"/>
  <c r="H329" i="2"/>
  <c r="K329" i="2"/>
  <c r="B329" i="2"/>
  <c r="C329" i="2"/>
  <c r="I329" i="2"/>
  <c r="D329" i="2"/>
  <c r="E329" i="2"/>
  <c r="F329" i="2"/>
  <c r="G329" i="2"/>
  <c r="J328" i="2"/>
  <c r="N328" i="2"/>
  <c r="A328" i="2"/>
  <c r="M328" i="2"/>
  <c r="L328" i="2"/>
  <c r="H328" i="2"/>
  <c r="K328" i="2"/>
  <c r="B328" i="2"/>
  <c r="C328" i="2"/>
  <c r="I328" i="2"/>
  <c r="D328" i="2"/>
  <c r="E328" i="2"/>
  <c r="F328" i="2"/>
  <c r="G328" i="2"/>
  <c r="J327" i="2"/>
  <c r="N327" i="2"/>
  <c r="A327" i="2"/>
  <c r="M327" i="2"/>
  <c r="L327" i="2"/>
  <c r="H327" i="2"/>
  <c r="K327" i="2"/>
  <c r="B327" i="2"/>
  <c r="C327" i="2"/>
  <c r="I327" i="2"/>
  <c r="D327" i="2"/>
  <c r="E327" i="2"/>
  <c r="F327" i="2"/>
  <c r="G327" i="2"/>
  <c r="J326" i="2"/>
  <c r="N326" i="2"/>
  <c r="A326" i="2"/>
  <c r="M326" i="2"/>
  <c r="L326" i="2"/>
  <c r="H326" i="2"/>
  <c r="K326" i="2"/>
  <c r="B326" i="2"/>
  <c r="C326" i="2"/>
  <c r="I326" i="2"/>
  <c r="D326" i="2"/>
  <c r="E326" i="2"/>
  <c r="F326" i="2"/>
  <c r="G326" i="2"/>
  <c r="J325" i="2"/>
  <c r="N325" i="2"/>
  <c r="A325" i="2"/>
  <c r="M325" i="2"/>
  <c r="L325" i="2"/>
  <c r="H325" i="2"/>
  <c r="K325" i="2"/>
  <c r="B325" i="2"/>
  <c r="C325" i="2"/>
  <c r="I325" i="2"/>
  <c r="D325" i="2"/>
  <c r="E325" i="2"/>
  <c r="F325" i="2"/>
  <c r="G325" i="2"/>
  <c r="J324" i="2"/>
  <c r="N324" i="2"/>
  <c r="A324" i="2"/>
  <c r="M324" i="2"/>
  <c r="L324" i="2"/>
  <c r="H324" i="2"/>
  <c r="K324" i="2"/>
  <c r="B324" i="2"/>
  <c r="C324" i="2"/>
  <c r="I324" i="2"/>
  <c r="D324" i="2"/>
  <c r="E324" i="2"/>
  <c r="F324" i="2"/>
  <c r="G324" i="2"/>
  <c r="J323" i="2"/>
  <c r="N323" i="2"/>
  <c r="A323" i="2"/>
  <c r="M323" i="2"/>
  <c r="L323" i="2"/>
  <c r="H323" i="2"/>
  <c r="K323" i="2"/>
  <c r="B323" i="2"/>
  <c r="C323" i="2"/>
  <c r="I323" i="2"/>
  <c r="D323" i="2"/>
  <c r="E323" i="2"/>
  <c r="F323" i="2"/>
  <c r="G323" i="2"/>
  <c r="J322" i="2"/>
  <c r="N322" i="2"/>
  <c r="A322" i="2"/>
  <c r="M322" i="2"/>
  <c r="L322" i="2"/>
  <c r="H322" i="2"/>
  <c r="K322" i="2"/>
  <c r="B322" i="2"/>
  <c r="C322" i="2"/>
  <c r="I322" i="2"/>
  <c r="D322" i="2"/>
  <c r="E322" i="2"/>
  <c r="F322" i="2"/>
  <c r="G322" i="2"/>
  <c r="J321" i="2"/>
  <c r="N321" i="2"/>
  <c r="A321" i="2"/>
  <c r="M321" i="2"/>
  <c r="L321" i="2"/>
  <c r="H321" i="2"/>
  <c r="K321" i="2"/>
  <c r="B321" i="2"/>
  <c r="C321" i="2"/>
  <c r="I321" i="2"/>
  <c r="D321" i="2"/>
  <c r="E321" i="2"/>
  <c r="F321" i="2"/>
  <c r="G321" i="2"/>
  <c r="J320" i="2"/>
  <c r="N320" i="2"/>
  <c r="A320" i="2"/>
  <c r="M320" i="2"/>
  <c r="L320" i="2"/>
  <c r="H320" i="2"/>
  <c r="K320" i="2"/>
  <c r="B320" i="2"/>
  <c r="C320" i="2"/>
  <c r="I320" i="2"/>
  <c r="D320" i="2"/>
  <c r="E320" i="2"/>
  <c r="F320" i="2"/>
  <c r="G320" i="2"/>
  <c r="J319" i="2"/>
  <c r="N319" i="2"/>
  <c r="A319" i="2"/>
  <c r="M319" i="2"/>
  <c r="L319" i="2"/>
  <c r="H319" i="2"/>
  <c r="K319" i="2"/>
  <c r="B319" i="2"/>
  <c r="C319" i="2"/>
  <c r="I319" i="2"/>
  <c r="D319" i="2"/>
  <c r="E319" i="2"/>
  <c r="F319" i="2"/>
  <c r="G319" i="2"/>
  <c r="J318" i="2"/>
  <c r="N318" i="2"/>
  <c r="A318" i="2"/>
  <c r="M318" i="2"/>
  <c r="L318" i="2"/>
  <c r="H318" i="2"/>
  <c r="K318" i="2"/>
  <c r="B318" i="2"/>
  <c r="C318" i="2"/>
  <c r="I318" i="2"/>
  <c r="D318" i="2"/>
  <c r="E318" i="2"/>
  <c r="F318" i="2"/>
  <c r="G318" i="2"/>
  <c r="J317" i="2"/>
  <c r="N317" i="2"/>
  <c r="A317" i="2"/>
  <c r="M317" i="2"/>
  <c r="L317" i="2"/>
  <c r="H317" i="2"/>
  <c r="K317" i="2"/>
  <c r="B317" i="2"/>
  <c r="C317" i="2"/>
  <c r="I317" i="2"/>
  <c r="D317" i="2"/>
  <c r="E317" i="2"/>
  <c r="F317" i="2"/>
  <c r="G317" i="2"/>
  <c r="J316" i="2"/>
  <c r="N316" i="2"/>
  <c r="A316" i="2"/>
  <c r="M316" i="2"/>
  <c r="L316" i="2"/>
  <c r="H316" i="2"/>
  <c r="K316" i="2"/>
  <c r="B316" i="2"/>
  <c r="C316" i="2"/>
  <c r="I316" i="2"/>
  <c r="D316" i="2"/>
  <c r="E316" i="2"/>
  <c r="F316" i="2"/>
  <c r="G316" i="2"/>
  <c r="J315" i="2"/>
  <c r="N315" i="2"/>
  <c r="A315" i="2"/>
  <c r="M315" i="2"/>
  <c r="L315" i="2"/>
  <c r="H315" i="2"/>
  <c r="K315" i="2"/>
  <c r="B315" i="2"/>
  <c r="C315" i="2"/>
  <c r="I315" i="2"/>
  <c r="D315" i="2"/>
  <c r="E315" i="2"/>
  <c r="F315" i="2"/>
  <c r="G315" i="2"/>
  <c r="J314" i="2"/>
  <c r="N314" i="2"/>
  <c r="A314" i="2"/>
  <c r="M314" i="2"/>
  <c r="L314" i="2"/>
  <c r="H314" i="2"/>
  <c r="K314" i="2"/>
  <c r="B314" i="2"/>
  <c r="C314" i="2"/>
  <c r="I314" i="2"/>
  <c r="D314" i="2"/>
  <c r="E314" i="2"/>
  <c r="F314" i="2"/>
  <c r="G314" i="2"/>
  <c r="J313" i="2"/>
  <c r="N313" i="2"/>
  <c r="A313" i="2"/>
  <c r="M313" i="2"/>
  <c r="L313" i="2"/>
  <c r="H313" i="2"/>
  <c r="K313" i="2"/>
  <c r="B313" i="2"/>
  <c r="C313" i="2"/>
  <c r="I313" i="2"/>
  <c r="D313" i="2"/>
  <c r="E313" i="2"/>
  <c r="F313" i="2"/>
  <c r="G313" i="2"/>
  <c r="J312" i="2"/>
  <c r="N312" i="2"/>
  <c r="A312" i="2"/>
  <c r="M312" i="2"/>
  <c r="L312" i="2"/>
  <c r="H312" i="2"/>
  <c r="K312" i="2"/>
  <c r="B312" i="2"/>
  <c r="C312" i="2"/>
  <c r="I312" i="2"/>
  <c r="D312" i="2"/>
  <c r="E312" i="2"/>
  <c r="F312" i="2"/>
  <c r="G312" i="2"/>
  <c r="J311" i="2"/>
  <c r="N311" i="2"/>
  <c r="A311" i="2"/>
  <c r="M311" i="2"/>
  <c r="L311" i="2"/>
  <c r="H311" i="2"/>
  <c r="K311" i="2"/>
  <c r="B311" i="2"/>
  <c r="C311" i="2"/>
  <c r="I311" i="2"/>
  <c r="D311" i="2"/>
  <c r="E311" i="2"/>
  <c r="F311" i="2"/>
  <c r="G311" i="2"/>
  <c r="J310" i="2"/>
  <c r="N310" i="2"/>
  <c r="A310" i="2"/>
  <c r="M310" i="2"/>
  <c r="L310" i="2"/>
  <c r="H310" i="2"/>
  <c r="K310" i="2"/>
  <c r="B310" i="2"/>
  <c r="C310" i="2"/>
  <c r="I310" i="2"/>
  <c r="D310" i="2"/>
  <c r="E310" i="2"/>
  <c r="F310" i="2"/>
  <c r="G310" i="2"/>
  <c r="J309" i="2"/>
  <c r="N309" i="2"/>
  <c r="A309" i="2"/>
  <c r="M309" i="2"/>
  <c r="L309" i="2"/>
  <c r="H309" i="2"/>
  <c r="K309" i="2"/>
  <c r="B309" i="2"/>
  <c r="C309" i="2"/>
  <c r="I309" i="2"/>
  <c r="D309" i="2"/>
  <c r="E309" i="2"/>
  <c r="F309" i="2"/>
  <c r="G309" i="2"/>
  <c r="J308" i="2"/>
  <c r="N308" i="2"/>
  <c r="A308" i="2"/>
  <c r="M308" i="2"/>
  <c r="L308" i="2"/>
  <c r="H308" i="2"/>
  <c r="K308" i="2"/>
  <c r="B308" i="2"/>
  <c r="C308" i="2"/>
  <c r="I308" i="2"/>
  <c r="D308" i="2"/>
  <c r="E308" i="2"/>
  <c r="F308" i="2"/>
  <c r="G308" i="2"/>
  <c r="J307" i="2"/>
  <c r="N307" i="2"/>
  <c r="A307" i="2"/>
  <c r="M307" i="2"/>
  <c r="L307" i="2"/>
  <c r="H307" i="2"/>
  <c r="K307" i="2"/>
  <c r="B307" i="2"/>
  <c r="C307" i="2"/>
  <c r="I307" i="2"/>
  <c r="D307" i="2"/>
  <c r="E307" i="2"/>
  <c r="F307" i="2"/>
  <c r="G307" i="2"/>
  <c r="J306" i="2"/>
  <c r="N306" i="2"/>
  <c r="A306" i="2"/>
  <c r="M306" i="2"/>
  <c r="L306" i="2"/>
  <c r="H306" i="2"/>
  <c r="K306" i="2"/>
  <c r="B306" i="2"/>
  <c r="C306" i="2"/>
  <c r="I306" i="2"/>
  <c r="D306" i="2"/>
  <c r="E306" i="2"/>
  <c r="F306" i="2"/>
  <c r="G306" i="2"/>
  <c r="J305" i="2"/>
  <c r="N305" i="2"/>
  <c r="A305" i="2"/>
  <c r="M305" i="2"/>
  <c r="L305" i="2"/>
  <c r="H305" i="2"/>
  <c r="K305" i="2"/>
  <c r="B305" i="2"/>
  <c r="C305" i="2"/>
  <c r="I305" i="2"/>
  <c r="D305" i="2"/>
  <c r="E305" i="2"/>
  <c r="F305" i="2"/>
  <c r="G305" i="2"/>
  <c r="J304" i="2"/>
  <c r="N304" i="2"/>
  <c r="A304" i="2"/>
  <c r="M304" i="2"/>
  <c r="L304" i="2"/>
  <c r="H304" i="2"/>
  <c r="K304" i="2"/>
  <c r="B304" i="2"/>
  <c r="C304" i="2"/>
  <c r="I304" i="2"/>
  <c r="D304" i="2"/>
  <c r="E304" i="2"/>
  <c r="F304" i="2"/>
  <c r="G304" i="2"/>
  <c r="J303" i="2"/>
  <c r="N303" i="2"/>
  <c r="A303" i="2"/>
  <c r="M303" i="2"/>
  <c r="L303" i="2"/>
  <c r="H303" i="2"/>
  <c r="K303" i="2"/>
  <c r="B303" i="2"/>
  <c r="C303" i="2"/>
  <c r="I303" i="2"/>
  <c r="D303" i="2"/>
  <c r="E303" i="2"/>
  <c r="F303" i="2"/>
  <c r="G303" i="2"/>
  <c r="J302" i="2"/>
  <c r="N302" i="2"/>
  <c r="A302" i="2"/>
  <c r="M302" i="2"/>
  <c r="L302" i="2"/>
  <c r="H302" i="2"/>
  <c r="K302" i="2"/>
  <c r="B302" i="2"/>
  <c r="C302" i="2"/>
  <c r="I302" i="2"/>
  <c r="D302" i="2"/>
  <c r="E302" i="2"/>
  <c r="F302" i="2"/>
  <c r="G302" i="2"/>
  <c r="J301" i="2"/>
  <c r="N301" i="2"/>
  <c r="A301" i="2"/>
  <c r="M301" i="2"/>
  <c r="L301" i="2"/>
  <c r="H301" i="2"/>
  <c r="K301" i="2"/>
  <c r="B301" i="2"/>
  <c r="C301" i="2"/>
  <c r="I301" i="2"/>
  <c r="D301" i="2"/>
  <c r="E301" i="2"/>
  <c r="F301" i="2"/>
  <c r="G301" i="2"/>
  <c r="J300" i="2"/>
  <c r="N300" i="2"/>
  <c r="A300" i="2"/>
  <c r="M300" i="2"/>
  <c r="L300" i="2"/>
  <c r="H300" i="2"/>
  <c r="K300" i="2"/>
  <c r="B300" i="2"/>
  <c r="C300" i="2"/>
  <c r="I300" i="2"/>
  <c r="D300" i="2"/>
  <c r="E300" i="2"/>
  <c r="F300" i="2"/>
  <c r="G300" i="2"/>
  <c r="J299" i="2"/>
  <c r="N299" i="2"/>
  <c r="A299" i="2"/>
  <c r="M299" i="2"/>
  <c r="L299" i="2"/>
  <c r="H299" i="2"/>
  <c r="K299" i="2"/>
  <c r="B299" i="2"/>
  <c r="C299" i="2"/>
  <c r="I299" i="2"/>
  <c r="D299" i="2"/>
  <c r="E299" i="2"/>
  <c r="F299" i="2"/>
  <c r="G299" i="2"/>
  <c r="J298" i="2"/>
  <c r="N298" i="2"/>
  <c r="A298" i="2"/>
  <c r="M298" i="2"/>
  <c r="L298" i="2"/>
  <c r="H298" i="2"/>
  <c r="K298" i="2"/>
  <c r="B298" i="2"/>
  <c r="C298" i="2"/>
  <c r="I298" i="2"/>
  <c r="D298" i="2"/>
  <c r="E298" i="2"/>
  <c r="F298" i="2"/>
  <c r="G298" i="2"/>
  <c r="J297" i="2"/>
  <c r="N297" i="2"/>
  <c r="A297" i="2"/>
  <c r="M297" i="2"/>
  <c r="L297" i="2"/>
  <c r="H297" i="2"/>
  <c r="K297" i="2"/>
  <c r="B297" i="2"/>
  <c r="C297" i="2"/>
  <c r="I297" i="2"/>
  <c r="D297" i="2"/>
  <c r="E297" i="2"/>
  <c r="F297" i="2"/>
  <c r="G297" i="2"/>
  <c r="J296" i="2"/>
  <c r="N296" i="2"/>
  <c r="A296" i="2"/>
  <c r="M296" i="2"/>
  <c r="L296" i="2"/>
  <c r="H296" i="2"/>
  <c r="K296" i="2"/>
  <c r="B296" i="2"/>
  <c r="C296" i="2"/>
  <c r="I296" i="2"/>
  <c r="D296" i="2"/>
  <c r="E296" i="2"/>
  <c r="F296" i="2"/>
  <c r="G296" i="2"/>
  <c r="J295" i="2"/>
  <c r="N295" i="2"/>
  <c r="A295" i="2"/>
  <c r="M295" i="2"/>
  <c r="L295" i="2"/>
  <c r="H295" i="2"/>
  <c r="K295" i="2"/>
  <c r="B295" i="2"/>
  <c r="C295" i="2"/>
  <c r="I295" i="2"/>
  <c r="D295" i="2"/>
  <c r="E295" i="2"/>
  <c r="F295" i="2"/>
  <c r="G295" i="2"/>
  <c r="J294" i="2"/>
  <c r="N294" i="2"/>
  <c r="A294" i="2"/>
  <c r="M294" i="2"/>
  <c r="L294" i="2"/>
  <c r="H294" i="2"/>
  <c r="K294" i="2"/>
  <c r="B294" i="2"/>
  <c r="C294" i="2"/>
  <c r="I294" i="2"/>
  <c r="D294" i="2"/>
  <c r="E294" i="2"/>
  <c r="F294" i="2"/>
  <c r="G294" i="2"/>
  <c r="J293" i="2"/>
  <c r="N293" i="2"/>
  <c r="A293" i="2"/>
  <c r="M293" i="2"/>
  <c r="L293" i="2"/>
  <c r="H293" i="2"/>
  <c r="K293" i="2"/>
  <c r="B293" i="2"/>
  <c r="C293" i="2"/>
  <c r="I293" i="2"/>
  <c r="D293" i="2"/>
  <c r="E293" i="2"/>
  <c r="F293" i="2"/>
  <c r="G293" i="2"/>
  <c r="J292" i="2"/>
  <c r="N292" i="2"/>
  <c r="A292" i="2"/>
  <c r="M292" i="2"/>
  <c r="L292" i="2"/>
  <c r="H292" i="2"/>
  <c r="K292" i="2"/>
  <c r="B292" i="2"/>
  <c r="C292" i="2"/>
  <c r="I292" i="2"/>
  <c r="D292" i="2"/>
  <c r="E292" i="2"/>
  <c r="F292" i="2"/>
  <c r="G292" i="2"/>
  <c r="J291" i="2"/>
  <c r="N291" i="2"/>
  <c r="A291" i="2"/>
  <c r="M291" i="2"/>
  <c r="L291" i="2"/>
  <c r="H291" i="2"/>
  <c r="K291" i="2"/>
  <c r="B291" i="2"/>
  <c r="C291" i="2"/>
  <c r="I291" i="2"/>
  <c r="D291" i="2"/>
  <c r="E291" i="2"/>
  <c r="F291" i="2"/>
  <c r="G291" i="2"/>
  <c r="J290" i="2"/>
  <c r="N290" i="2"/>
  <c r="A290" i="2"/>
  <c r="M290" i="2"/>
  <c r="L290" i="2"/>
  <c r="H290" i="2"/>
  <c r="K290" i="2"/>
  <c r="B290" i="2"/>
  <c r="C290" i="2"/>
  <c r="I290" i="2"/>
  <c r="D290" i="2"/>
  <c r="E290" i="2"/>
  <c r="F290" i="2"/>
  <c r="G290" i="2"/>
  <c r="J289" i="2"/>
  <c r="N289" i="2"/>
  <c r="A289" i="2"/>
  <c r="M289" i="2"/>
  <c r="L289" i="2"/>
  <c r="H289" i="2"/>
  <c r="K289" i="2"/>
  <c r="B289" i="2"/>
  <c r="C289" i="2"/>
  <c r="I289" i="2"/>
  <c r="D289" i="2"/>
  <c r="E289" i="2"/>
  <c r="F289" i="2"/>
  <c r="G289" i="2"/>
  <c r="J288" i="2"/>
  <c r="N288" i="2"/>
  <c r="A288" i="2"/>
  <c r="M288" i="2"/>
  <c r="L288" i="2"/>
  <c r="H288" i="2"/>
  <c r="K288" i="2"/>
  <c r="B288" i="2"/>
  <c r="C288" i="2"/>
  <c r="I288" i="2"/>
  <c r="D288" i="2"/>
  <c r="E288" i="2"/>
  <c r="F288" i="2"/>
  <c r="G288" i="2"/>
  <c r="J287" i="2"/>
  <c r="N287" i="2"/>
  <c r="A287" i="2"/>
  <c r="M287" i="2"/>
  <c r="L287" i="2"/>
  <c r="H287" i="2"/>
  <c r="K287" i="2"/>
  <c r="B287" i="2"/>
  <c r="C287" i="2"/>
  <c r="I287" i="2"/>
  <c r="D287" i="2"/>
  <c r="E287" i="2"/>
  <c r="F287" i="2"/>
  <c r="G287" i="2"/>
  <c r="J286" i="2"/>
  <c r="N286" i="2"/>
  <c r="A286" i="2"/>
  <c r="M286" i="2"/>
  <c r="L286" i="2"/>
  <c r="H286" i="2"/>
  <c r="K286" i="2"/>
  <c r="B286" i="2"/>
  <c r="C286" i="2"/>
  <c r="I286" i="2"/>
  <c r="D286" i="2"/>
  <c r="E286" i="2"/>
  <c r="F286" i="2"/>
  <c r="G286" i="2"/>
  <c r="J285" i="2"/>
  <c r="N285" i="2"/>
  <c r="A285" i="2"/>
  <c r="M285" i="2"/>
  <c r="L285" i="2"/>
  <c r="H285" i="2"/>
  <c r="K285" i="2"/>
  <c r="B285" i="2"/>
  <c r="C285" i="2"/>
  <c r="I285" i="2"/>
  <c r="D285" i="2"/>
  <c r="E285" i="2"/>
  <c r="F285" i="2"/>
  <c r="G285" i="2"/>
  <c r="J284" i="2"/>
  <c r="N284" i="2"/>
  <c r="A284" i="2"/>
  <c r="M284" i="2"/>
  <c r="L284" i="2"/>
  <c r="H284" i="2"/>
  <c r="K284" i="2"/>
  <c r="B284" i="2"/>
  <c r="C284" i="2"/>
  <c r="I284" i="2"/>
  <c r="D284" i="2"/>
  <c r="E284" i="2"/>
  <c r="F284" i="2"/>
  <c r="G284" i="2"/>
  <c r="J283" i="2"/>
  <c r="N283" i="2"/>
  <c r="A283" i="2"/>
  <c r="M283" i="2"/>
  <c r="L283" i="2"/>
  <c r="H283" i="2"/>
  <c r="K283" i="2"/>
  <c r="B283" i="2"/>
  <c r="C283" i="2"/>
  <c r="I283" i="2"/>
  <c r="D283" i="2"/>
  <c r="E283" i="2"/>
  <c r="F283" i="2"/>
  <c r="G283" i="2"/>
  <c r="J282" i="2"/>
  <c r="N282" i="2"/>
  <c r="A282" i="2"/>
  <c r="M282" i="2"/>
  <c r="L282" i="2"/>
  <c r="H282" i="2"/>
  <c r="K282" i="2"/>
  <c r="B282" i="2"/>
  <c r="C282" i="2"/>
  <c r="I282" i="2"/>
  <c r="D282" i="2"/>
  <c r="E282" i="2"/>
  <c r="F282" i="2"/>
  <c r="G282" i="2"/>
  <c r="J281" i="2"/>
  <c r="N281" i="2"/>
  <c r="A281" i="2"/>
  <c r="M281" i="2"/>
  <c r="L281" i="2"/>
  <c r="H281" i="2"/>
  <c r="K281" i="2"/>
  <c r="B281" i="2"/>
  <c r="C281" i="2"/>
  <c r="I281" i="2"/>
  <c r="D281" i="2"/>
  <c r="E281" i="2"/>
  <c r="F281" i="2"/>
  <c r="G281" i="2"/>
  <c r="J280" i="2"/>
  <c r="N280" i="2"/>
  <c r="A280" i="2"/>
  <c r="M280" i="2"/>
  <c r="L280" i="2"/>
  <c r="H280" i="2"/>
  <c r="K280" i="2"/>
  <c r="B280" i="2"/>
  <c r="C280" i="2"/>
  <c r="I280" i="2"/>
  <c r="D280" i="2"/>
  <c r="E280" i="2"/>
  <c r="F280" i="2"/>
  <c r="G280" i="2"/>
  <c r="J279" i="2"/>
  <c r="N279" i="2"/>
  <c r="A279" i="2"/>
  <c r="M279" i="2"/>
  <c r="L279" i="2"/>
  <c r="H279" i="2"/>
  <c r="K279" i="2"/>
  <c r="B279" i="2"/>
  <c r="C279" i="2"/>
  <c r="I279" i="2"/>
  <c r="D279" i="2"/>
  <c r="E279" i="2"/>
  <c r="F279" i="2"/>
  <c r="G279" i="2"/>
  <c r="J278" i="2"/>
  <c r="N278" i="2"/>
  <c r="A278" i="2"/>
  <c r="M278" i="2"/>
  <c r="L278" i="2"/>
  <c r="H278" i="2"/>
  <c r="K278" i="2"/>
  <c r="B278" i="2"/>
  <c r="C278" i="2"/>
  <c r="I278" i="2"/>
  <c r="D278" i="2"/>
  <c r="E278" i="2"/>
  <c r="F278" i="2"/>
  <c r="G278" i="2"/>
  <c r="J277" i="2"/>
  <c r="N277" i="2"/>
  <c r="A277" i="2"/>
  <c r="M277" i="2"/>
  <c r="L277" i="2"/>
  <c r="H277" i="2"/>
  <c r="K277" i="2"/>
  <c r="B277" i="2"/>
  <c r="C277" i="2"/>
  <c r="I277" i="2"/>
  <c r="D277" i="2"/>
  <c r="E277" i="2"/>
  <c r="F277" i="2"/>
  <c r="G277" i="2"/>
  <c r="J276" i="2"/>
  <c r="N276" i="2"/>
  <c r="A276" i="2"/>
  <c r="M276" i="2"/>
  <c r="L276" i="2"/>
  <c r="H276" i="2"/>
  <c r="K276" i="2"/>
  <c r="B276" i="2"/>
  <c r="C276" i="2"/>
  <c r="I276" i="2"/>
  <c r="D276" i="2"/>
  <c r="E276" i="2"/>
  <c r="F276" i="2"/>
  <c r="G276" i="2"/>
  <c r="J275" i="2"/>
  <c r="N275" i="2"/>
  <c r="A275" i="2"/>
  <c r="M275" i="2"/>
  <c r="L275" i="2"/>
  <c r="H275" i="2"/>
  <c r="K275" i="2"/>
  <c r="B275" i="2"/>
  <c r="C275" i="2"/>
  <c r="I275" i="2"/>
  <c r="D275" i="2"/>
  <c r="E275" i="2"/>
  <c r="F275" i="2"/>
  <c r="G275" i="2"/>
  <c r="J274" i="2"/>
  <c r="N274" i="2"/>
  <c r="A274" i="2"/>
  <c r="M274" i="2"/>
  <c r="L274" i="2"/>
  <c r="H274" i="2"/>
  <c r="K274" i="2"/>
  <c r="B274" i="2"/>
  <c r="C274" i="2"/>
  <c r="I274" i="2"/>
  <c r="D274" i="2"/>
  <c r="E274" i="2"/>
  <c r="F274" i="2"/>
  <c r="G274" i="2"/>
  <c r="J273" i="2"/>
  <c r="N273" i="2"/>
  <c r="A273" i="2"/>
  <c r="M273" i="2"/>
  <c r="L273" i="2"/>
  <c r="H273" i="2"/>
  <c r="K273" i="2"/>
  <c r="B273" i="2"/>
  <c r="C273" i="2"/>
  <c r="I273" i="2"/>
  <c r="D273" i="2"/>
  <c r="E273" i="2"/>
  <c r="F273" i="2"/>
  <c r="G273" i="2"/>
  <c r="J272" i="2"/>
  <c r="N272" i="2"/>
  <c r="A272" i="2"/>
  <c r="M272" i="2"/>
  <c r="L272" i="2"/>
  <c r="H272" i="2"/>
  <c r="K272" i="2"/>
  <c r="B272" i="2"/>
  <c r="C272" i="2"/>
  <c r="I272" i="2"/>
  <c r="D272" i="2"/>
  <c r="E272" i="2"/>
  <c r="F272" i="2"/>
  <c r="G272" i="2"/>
  <c r="J271" i="2"/>
  <c r="N271" i="2"/>
  <c r="A271" i="2"/>
  <c r="M271" i="2"/>
  <c r="L271" i="2"/>
  <c r="H271" i="2"/>
  <c r="K271" i="2"/>
  <c r="B271" i="2"/>
  <c r="C271" i="2"/>
  <c r="I271" i="2"/>
  <c r="D271" i="2"/>
  <c r="E271" i="2"/>
  <c r="F271" i="2"/>
  <c r="G271" i="2"/>
  <c r="J270" i="2"/>
  <c r="N270" i="2"/>
  <c r="A270" i="2"/>
  <c r="M270" i="2"/>
  <c r="L270" i="2"/>
  <c r="H270" i="2"/>
  <c r="K270" i="2"/>
  <c r="B270" i="2"/>
  <c r="C270" i="2"/>
  <c r="I270" i="2"/>
  <c r="D270" i="2"/>
  <c r="E270" i="2"/>
  <c r="F270" i="2"/>
  <c r="G270" i="2"/>
  <c r="J269" i="2"/>
  <c r="N269" i="2"/>
  <c r="A269" i="2"/>
  <c r="M269" i="2"/>
  <c r="L269" i="2"/>
  <c r="H269" i="2"/>
  <c r="K269" i="2"/>
  <c r="B269" i="2"/>
  <c r="C269" i="2"/>
  <c r="I269" i="2"/>
  <c r="D269" i="2"/>
  <c r="E269" i="2"/>
  <c r="F269" i="2"/>
  <c r="G269" i="2"/>
  <c r="J268" i="2"/>
  <c r="N268" i="2"/>
  <c r="A268" i="2"/>
  <c r="M268" i="2"/>
  <c r="L268" i="2"/>
  <c r="H268" i="2"/>
  <c r="K268" i="2"/>
  <c r="B268" i="2"/>
  <c r="C268" i="2"/>
  <c r="I268" i="2"/>
  <c r="D268" i="2"/>
  <c r="E268" i="2"/>
  <c r="F268" i="2"/>
  <c r="G268" i="2"/>
  <c r="J267" i="2"/>
  <c r="N267" i="2"/>
  <c r="A267" i="2"/>
  <c r="M267" i="2"/>
  <c r="L267" i="2"/>
  <c r="H267" i="2"/>
  <c r="K267" i="2"/>
  <c r="B267" i="2"/>
  <c r="C267" i="2"/>
  <c r="I267" i="2"/>
  <c r="D267" i="2"/>
  <c r="E267" i="2"/>
  <c r="F267" i="2"/>
  <c r="G267" i="2"/>
  <c r="J266" i="2"/>
  <c r="N266" i="2"/>
  <c r="A266" i="2"/>
  <c r="M266" i="2"/>
  <c r="L266" i="2"/>
  <c r="H266" i="2"/>
  <c r="K266" i="2"/>
  <c r="B266" i="2"/>
  <c r="C266" i="2"/>
  <c r="I266" i="2"/>
  <c r="D266" i="2"/>
  <c r="E266" i="2"/>
  <c r="F266" i="2"/>
  <c r="G266" i="2"/>
  <c r="J265" i="2"/>
  <c r="N265" i="2"/>
  <c r="A265" i="2"/>
  <c r="M265" i="2"/>
  <c r="L265" i="2"/>
  <c r="H265" i="2"/>
  <c r="K265" i="2"/>
  <c r="B265" i="2"/>
  <c r="C265" i="2"/>
  <c r="I265" i="2"/>
  <c r="D265" i="2"/>
  <c r="E265" i="2"/>
  <c r="F265" i="2"/>
  <c r="G265" i="2"/>
  <c r="J264" i="2"/>
  <c r="N264" i="2"/>
  <c r="A264" i="2"/>
  <c r="M264" i="2"/>
  <c r="L264" i="2"/>
  <c r="H264" i="2"/>
  <c r="K264" i="2"/>
  <c r="B264" i="2"/>
  <c r="C264" i="2"/>
  <c r="I264" i="2"/>
  <c r="D264" i="2"/>
  <c r="E264" i="2"/>
  <c r="F264" i="2"/>
  <c r="G264" i="2"/>
  <c r="J263" i="2"/>
  <c r="N263" i="2"/>
  <c r="A263" i="2"/>
  <c r="M263" i="2"/>
  <c r="L263" i="2"/>
  <c r="H263" i="2"/>
  <c r="K263" i="2"/>
  <c r="B263" i="2"/>
  <c r="C263" i="2"/>
  <c r="I263" i="2"/>
  <c r="D263" i="2"/>
  <c r="E263" i="2"/>
  <c r="F263" i="2"/>
  <c r="G263" i="2"/>
  <c r="J262" i="2"/>
  <c r="N262" i="2"/>
  <c r="A262" i="2"/>
  <c r="M262" i="2"/>
  <c r="L262" i="2"/>
  <c r="H262" i="2"/>
  <c r="K262" i="2"/>
  <c r="B262" i="2"/>
  <c r="C262" i="2"/>
  <c r="I262" i="2"/>
  <c r="D262" i="2"/>
  <c r="E262" i="2"/>
  <c r="F262" i="2"/>
  <c r="G262" i="2"/>
  <c r="J261" i="2"/>
  <c r="N261" i="2"/>
  <c r="A261" i="2"/>
  <c r="M261" i="2"/>
  <c r="L261" i="2"/>
  <c r="H261" i="2"/>
  <c r="K261" i="2"/>
  <c r="B261" i="2"/>
  <c r="C261" i="2"/>
  <c r="I261" i="2"/>
  <c r="D261" i="2"/>
  <c r="E261" i="2"/>
  <c r="F261" i="2"/>
  <c r="G261" i="2"/>
  <c r="J260" i="2"/>
  <c r="N260" i="2"/>
  <c r="A260" i="2"/>
  <c r="M260" i="2"/>
  <c r="L260" i="2"/>
  <c r="H260" i="2"/>
  <c r="K260" i="2"/>
  <c r="B260" i="2"/>
  <c r="C260" i="2"/>
  <c r="I260" i="2"/>
  <c r="D260" i="2"/>
  <c r="E260" i="2"/>
  <c r="F260" i="2"/>
  <c r="G260" i="2"/>
  <c r="J259" i="2"/>
  <c r="N259" i="2"/>
  <c r="A259" i="2"/>
  <c r="M259" i="2"/>
  <c r="L259" i="2"/>
  <c r="H259" i="2"/>
  <c r="K259" i="2"/>
  <c r="B259" i="2"/>
  <c r="C259" i="2"/>
  <c r="I259" i="2"/>
  <c r="D259" i="2"/>
  <c r="E259" i="2"/>
  <c r="F259" i="2"/>
  <c r="G259" i="2"/>
  <c r="J258" i="2"/>
  <c r="N258" i="2"/>
  <c r="A258" i="2"/>
  <c r="M258" i="2"/>
  <c r="L258" i="2"/>
  <c r="H258" i="2"/>
  <c r="K258" i="2"/>
  <c r="B258" i="2"/>
  <c r="C258" i="2"/>
  <c r="I258" i="2"/>
  <c r="D258" i="2"/>
  <c r="E258" i="2"/>
  <c r="F258" i="2"/>
  <c r="G258" i="2"/>
  <c r="J257" i="2"/>
  <c r="N257" i="2"/>
  <c r="A257" i="2"/>
  <c r="M257" i="2"/>
  <c r="L257" i="2"/>
  <c r="H257" i="2"/>
  <c r="K257" i="2"/>
  <c r="B257" i="2"/>
  <c r="C257" i="2"/>
  <c r="I257" i="2"/>
  <c r="D257" i="2"/>
  <c r="E257" i="2"/>
  <c r="F257" i="2"/>
  <c r="G257" i="2"/>
  <c r="J256" i="2"/>
  <c r="N256" i="2"/>
  <c r="A256" i="2"/>
  <c r="M256" i="2"/>
  <c r="L256" i="2"/>
  <c r="H256" i="2"/>
  <c r="K256" i="2"/>
  <c r="B256" i="2"/>
  <c r="C256" i="2"/>
  <c r="I256" i="2"/>
  <c r="D256" i="2"/>
  <c r="E256" i="2"/>
  <c r="F256" i="2"/>
  <c r="G256" i="2"/>
  <c r="J255" i="2"/>
  <c r="N255" i="2"/>
  <c r="A255" i="2"/>
  <c r="M255" i="2"/>
  <c r="L255" i="2"/>
  <c r="H255" i="2"/>
  <c r="K255" i="2"/>
  <c r="B255" i="2"/>
  <c r="C255" i="2"/>
  <c r="I255" i="2"/>
  <c r="D255" i="2"/>
  <c r="E255" i="2"/>
  <c r="F255" i="2"/>
  <c r="G255" i="2"/>
  <c r="J254" i="2"/>
  <c r="N254" i="2"/>
  <c r="A254" i="2"/>
  <c r="M254" i="2"/>
  <c r="L254" i="2"/>
  <c r="H254" i="2"/>
  <c r="K254" i="2"/>
  <c r="B254" i="2"/>
  <c r="C254" i="2"/>
  <c r="I254" i="2"/>
  <c r="D254" i="2"/>
  <c r="E254" i="2"/>
  <c r="F254" i="2"/>
  <c r="G254" i="2"/>
  <c r="J253" i="2"/>
  <c r="N253" i="2"/>
  <c r="A253" i="2"/>
  <c r="M253" i="2"/>
  <c r="L253" i="2"/>
  <c r="H253" i="2"/>
  <c r="K253" i="2"/>
  <c r="B253" i="2"/>
  <c r="C253" i="2"/>
  <c r="I253" i="2"/>
  <c r="D253" i="2"/>
  <c r="E253" i="2"/>
  <c r="F253" i="2"/>
  <c r="G253" i="2"/>
  <c r="J252" i="2"/>
  <c r="N252" i="2"/>
  <c r="A252" i="2"/>
  <c r="M252" i="2"/>
  <c r="L252" i="2"/>
  <c r="H252" i="2"/>
  <c r="K252" i="2"/>
  <c r="B252" i="2"/>
  <c r="C252" i="2"/>
  <c r="I252" i="2"/>
  <c r="D252" i="2"/>
  <c r="E252" i="2"/>
  <c r="F252" i="2"/>
  <c r="G252" i="2"/>
  <c r="J251" i="2"/>
  <c r="N251" i="2"/>
  <c r="A251" i="2"/>
  <c r="M251" i="2"/>
  <c r="L251" i="2"/>
  <c r="H251" i="2"/>
  <c r="K251" i="2"/>
  <c r="B251" i="2"/>
  <c r="C251" i="2"/>
  <c r="I251" i="2"/>
  <c r="D251" i="2"/>
  <c r="E251" i="2"/>
  <c r="F251" i="2"/>
  <c r="G251" i="2"/>
  <c r="J250" i="2"/>
  <c r="N250" i="2"/>
  <c r="A250" i="2"/>
  <c r="M250" i="2"/>
  <c r="L250" i="2"/>
  <c r="H250" i="2"/>
  <c r="K250" i="2"/>
  <c r="B250" i="2"/>
  <c r="C250" i="2"/>
  <c r="I250" i="2"/>
  <c r="D250" i="2"/>
  <c r="E250" i="2"/>
  <c r="F250" i="2"/>
  <c r="G250" i="2"/>
  <c r="J249" i="2"/>
  <c r="N249" i="2"/>
  <c r="A249" i="2"/>
  <c r="M249" i="2"/>
  <c r="L249" i="2"/>
  <c r="H249" i="2"/>
  <c r="K249" i="2"/>
  <c r="B249" i="2"/>
  <c r="C249" i="2"/>
  <c r="I249" i="2"/>
  <c r="D249" i="2"/>
  <c r="E249" i="2"/>
  <c r="F249" i="2"/>
  <c r="G249" i="2"/>
  <c r="J248" i="2"/>
  <c r="N248" i="2"/>
  <c r="A248" i="2"/>
  <c r="M248" i="2"/>
  <c r="L248" i="2"/>
  <c r="H248" i="2"/>
  <c r="K248" i="2"/>
  <c r="B248" i="2"/>
  <c r="C248" i="2"/>
  <c r="I248" i="2"/>
  <c r="D248" i="2"/>
  <c r="E248" i="2"/>
  <c r="F248" i="2"/>
  <c r="G248" i="2"/>
  <c r="J247" i="2"/>
  <c r="N247" i="2"/>
  <c r="A247" i="2"/>
  <c r="M247" i="2"/>
  <c r="L247" i="2"/>
  <c r="H247" i="2"/>
  <c r="K247" i="2"/>
  <c r="B247" i="2"/>
  <c r="C247" i="2"/>
  <c r="I247" i="2"/>
  <c r="D247" i="2"/>
  <c r="E247" i="2"/>
  <c r="F247" i="2"/>
  <c r="G247" i="2"/>
  <c r="J246" i="2"/>
  <c r="N246" i="2"/>
  <c r="A246" i="2"/>
  <c r="M246" i="2"/>
  <c r="L246" i="2"/>
  <c r="H246" i="2"/>
  <c r="K246" i="2"/>
  <c r="B246" i="2"/>
  <c r="C246" i="2"/>
  <c r="I246" i="2"/>
  <c r="D246" i="2"/>
  <c r="E246" i="2"/>
  <c r="F246" i="2"/>
  <c r="G246" i="2"/>
  <c r="J245" i="2"/>
  <c r="N245" i="2"/>
  <c r="A245" i="2"/>
  <c r="M245" i="2"/>
  <c r="L245" i="2"/>
  <c r="H245" i="2"/>
  <c r="K245" i="2"/>
  <c r="B245" i="2"/>
  <c r="C245" i="2"/>
  <c r="I245" i="2"/>
  <c r="D245" i="2"/>
  <c r="E245" i="2"/>
  <c r="F245" i="2"/>
  <c r="G245" i="2"/>
  <c r="J244" i="2"/>
  <c r="N244" i="2"/>
  <c r="A244" i="2"/>
  <c r="M244" i="2"/>
  <c r="L244" i="2"/>
  <c r="H244" i="2"/>
  <c r="K244" i="2"/>
  <c r="B244" i="2"/>
  <c r="C244" i="2"/>
  <c r="I244" i="2"/>
  <c r="D244" i="2"/>
  <c r="E244" i="2"/>
  <c r="F244" i="2"/>
  <c r="G244" i="2"/>
  <c r="J243" i="2"/>
  <c r="N243" i="2"/>
  <c r="A243" i="2"/>
  <c r="M243" i="2"/>
  <c r="L243" i="2"/>
  <c r="H243" i="2"/>
  <c r="K243" i="2"/>
  <c r="B243" i="2"/>
  <c r="C243" i="2"/>
  <c r="I243" i="2"/>
  <c r="D243" i="2"/>
  <c r="E243" i="2"/>
  <c r="F243" i="2"/>
  <c r="G243" i="2"/>
  <c r="J242" i="2"/>
  <c r="N242" i="2"/>
  <c r="A242" i="2"/>
  <c r="M242" i="2"/>
  <c r="L242" i="2"/>
  <c r="H242" i="2"/>
  <c r="K242" i="2"/>
  <c r="B242" i="2"/>
  <c r="C242" i="2"/>
  <c r="I242" i="2"/>
  <c r="D242" i="2"/>
  <c r="E242" i="2"/>
  <c r="F242" i="2"/>
  <c r="G242" i="2"/>
  <c r="J241" i="2"/>
  <c r="N241" i="2"/>
  <c r="A241" i="2"/>
  <c r="M241" i="2"/>
  <c r="L241" i="2"/>
  <c r="H241" i="2"/>
  <c r="K241" i="2"/>
  <c r="B241" i="2"/>
  <c r="C241" i="2"/>
  <c r="I241" i="2"/>
  <c r="D241" i="2"/>
  <c r="E241" i="2"/>
  <c r="F241" i="2"/>
  <c r="G241" i="2"/>
  <c r="J240" i="2"/>
  <c r="N240" i="2"/>
  <c r="A240" i="2"/>
  <c r="M240" i="2"/>
  <c r="L240" i="2"/>
  <c r="H240" i="2"/>
  <c r="K240" i="2"/>
  <c r="B240" i="2"/>
  <c r="C240" i="2"/>
  <c r="I240" i="2"/>
  <c r="D240" i="2"/>
  <c r="E240" i="2"/>
  <c r="F240" i="2"/>
  <c r="G240" i="2"/>
  <c r="J239" i="2"/>
  <c r="N239" i="2"/>
  <c r="A239" i="2"/>
  <c r="M239" i="2"/>
  <c r="L239" i="2"/>
  <c r="H239" i="2"/>
  <c r="K239" i="2"/>
  <c r="B239" i="2"/>
  <c r="C239" i="2"/>
  <c r="I239" i="2"/>
  <c r="D239" i="2"/>
  <c r="E239" i="2"/>
  <c r="F239" i="2"/>
  <c r="G239" i="2"/>
  <c r="J238" i="2"/>
  <c r="N238" i="2"/>
  <c r="A238" i="2"/>
  <c r="M238" i="2"/>
  <c r="L238" i="2"/>
  <c r="H238" i="2"/>
  <c r="K238" i="2"/>
  <c r="B238" i="2"/>
  <c r="C238" i="2"/>
  <c r="I238" i="2"/>
  <c r="D238" i="2"/>
  <c r="E238" i="2"/>
  <c r="F238" i="2"/>
  <c r="G238" i="2"/>
  <c r="J237" i="2"/>
  <c r="N237" i="2"/>
  <c r="A237" i="2"/>
  <c r="M237" i="2"/>
  <c r="L237" i="2"/>
  <c r="H237" i="2"/>
  <c r="K237" i="2"/>
  <c r="B237" i="2"/>
  <c r="C237" i="2"/>
  <c r="I237" i="2"/>
  <c r="D237" i="2"/>
  <c r="E237" i="2"/>
  <c r="F237" i="2"/>
  <c r="G237" i="2"/>
  <c r="J236" i="2"/>
  <c r="N236" i="2"/>
  <c r="A236" i="2"/>
  <c r="M236" i="2"/>
  <c r="L236" i="2"/>
  <c r="H236" i="2"/>
  <c r="K236" i="2"/>
  <c r="B236" i="2"/>
  <c r="C236" i="2"/>
  <c r="I236" i="2"/>
  <c r="D236" i="2"/>
  <c r="E236" i="2"/>
  <c r="F236" i="2"/>
  <c r="G236" i="2"/>
  <c r="J235" i="2"/>
  <c r="N235" i="2"/>
  <c r="A235" i="2"/>
  <c r="M235" i="2"/>
  <c r="L235" i="2"/>
  <c r="H235" i="2"/>
  <c r="K235" i="2"/>
  <c r="B235" i="2"/>
  <c r="C235" i="2"/>
  <c r="I235" i="2"/>
  <c r="D235" i="2"/>
  <c r="E235" i="2"/>
  <c r="F235" i="2"/>
  <c r="G235" i="2"/>
  <c r="J234" i="2"/>
  <c r="N234" i="2"/>
  <c r="A234" i="2"/>
  <c r="M234" i="2"/>
  <c r="L234" i="2"/>
  <c r="H234" i="2"/>
  <c r="K234" i="2"/>
  <c r="B234" i="2"/>
  <c r="C234" i="2"/>
  <c r="I234" i="2"/>
  <c r="D234" i="2"/>
  <c r="E234" i="2"/>
  <c r="F234" i="2"/>
  <c r="G234" i="2"/>
  <c r="J233" i="2"/>
  <c r="N233" i="2"/>
  <c r="A233" i="2"/>
  <c r="M233" i="2"/>
  <c r="L233" i="2"/>
  <c r="H233" i="2"/>
  <c r="K233" i="2"/>
  <c r="B233" i="2"/>
  <c r="C233" i="2"/>
  <c r="I233" i="2"/>
  <c r="D233" i="2"/>
  <c r="E233" i="2"/>
  <c r="F233" i="2"/>
  <c r="G233" i="2"/>
  <c r="J232" i="2"/>
  <c r="N232" i="2"/>
  <c r="A232" i="2"/>
  <c r="M232" i="2"/>
  <c r="L232" i="2"/>
  <c r="H232" i="2"/>
  <c r="K232" i="2"/>
  <c r="B232" i="2"/>
  <c r="C232" i="2"/>
  <c r="I232" i="2"/>
  <c r="D232" i="2"/>
  <c r="E232" i="2"/>
  <c r="F232" i="2"/>
  <c r="G232" i="2"/>
  <c r="J231" i="2"/>
  <c r="N231" i="2"/>
  <c r="A231" i="2"/>
  <c r="M231" i="2"/>
  <c r="L231" i="2"/>
  <c r="H231" i="2"/>
  <c r="K231" i="2"/>
  <c r="B231" i="2"/>
  <c r="C231" i="2"/>
  <c r="I231" i="2"/>
  <c r="D231" i="2"/>
  <c r="E231" i="2"/>
  <c r="F231" i="2"/>
  <c r="G231" i="2"/>
  <c r="J230" i="2"/>
  <c r="N230" i="2"/>
  <c r="A230" i="2"/>
  <c r="M230" i="2"/>
  <c r="L230" i="2"/>
  <c r="H230" i="2"/>
  <c r="K230" i="2"/>
  <c r="B230" i="2"/>
  <c r="C230" i="2"/>
  <c r="I230" i="2"/>
  <c r="D230" i="2"/>
  <c r="E230" i="2"/>
  <c r="F230" i="2"/>
  <c r="G230" i="2"/>
  <c r="J229" i="2"/>
  <c r="N229" i="2"/>
  <c r="A229" i="2"/>
  <c r="M229" i="2"/>
  <c r="L229" i="2"/>
  <c r="H229" i="2"/>
  <c r="K229" i="2"/>
  <c r="B229" i="2"/>
  <c r="C229" i="2"/>
  <c r="I229" i="2"/>
  <c r="D229" i="2"/>
  <c r="E229" i="2"/>
  <c r="F229" i="2"/>
  <c r="G229" i="2"/>
  <c r="J228" i="2"/>
  <c r="N228" i="2"/>
  <c r="A228" i="2"/>
  <c r="M228" i="2"/>
  <c r="L228" i="2"/>
  <c r="H228" i="2"/>
  <c r="K228" i="2"/>
  <c r="B228" i="2"/>
  <c r="C228" i="2"/>
  <c r="I228" i="2"/>
  <c r="D228" i="2"/>
  <c r="E228" i="2"/>
  <c r="F228" i="2"/>
  <c r="G228" i="2"/>
  <c r="J227" i="2"/>
  <c r="N227" i="2"/>
  <c r="A227" i="2"/>
  <c r="M227" i="2"/>
  <c r="L227" i="2"/>
  <c r="H227" i="2"/>
  <c r="K227" i="2"/>
  <c r="B227" i="2"/>
  <c r="C227" i="2"/>
  <c r="I227" i="2"/>
  <c r="D227" i="2"/>
  <c r="E227" i="2"/>
  <c r="F227" i="2"/>
  <c r="G227" i="2"/>
  <c r="J226" i="2"/>
  <c r="N226" i="2"/>
  <c r="A226" i="2"/>
  <c r="M226" i="2"/>
  <c r="L226" i="2"/>
  <c r="H226" i="2"/>
  <c r="K226" i="2"/>
  <c r="B226" i="2"/>
  <c r="C226" i="2"/>
  <c r="I226" i="2"/>
  <c r="D226" i="2"/>
  <c r="E226" i="2"/>
  <c r="F226" i="2"/>
  <c r="G226" i="2"/>
  <c r="J225" i="2"/>
  <c r="N225" i="2"/>
  <c r="A225" i="2"/>
  <c r="M225" i="2"/>
  <c r="L225" i="2"/>
  <c r="H225" i="2"/>
  <c r="K225" i="2"/>
  <c r="B225" i="2"/>
  <c r="C225" i="2"/>
  <c r="I225" i="2"/>
  <c r="D225" i="2"/>
  <c r="E225" i="2"/>
  <c r="F225" i="2"/>
  <c r="G225" i="2"/>
  <c r="J224" i="2"/>
  <c r="N224" i="2"/>
  <c r="A224" i="2"/>
  <c r="M224" i="2"/>
  <c r="L224" i="2"/>
  <c r="H224" i="2"/>
  <c r="K224" i="2"/>
  <c r="B224" i="2"/>
  <c r="C224" i="2"/>
  <c r="I224" i="2"/>
  <c r="D224" i="2"/>
  <c r="E224" i="2"/>
  <c r="F224" i="2"/>
  <c r="G224" i="2"/>
  <c r="J223" i="2"/>
  <c r="N223" i="2"/>
  <c r="A223" i="2"/>
  <c r="M223" i="2"/>
  <c r="L223" i="2"/>
  <c r="H223" i="2"/>
  <c r="K223" i="2"/>
  <c r="B223" i="2"/>
  <c r="C223" i="2"/>
  <c r="I223" i="2"/>
  <c r="D223" i="2"/>
  <c r="E223" i="2"/>
  <c r="F223" i="2"/>
  <c r="G223" i="2"/>
  <c r="J222" i="2"/>
  <c r="N222" i="2"/>
  <c r="A222" i="2"/>
  <c r="M222" i="2"/>
  <c r="L222" i="2"/>
  <c r="H222" i="2"/>
  <c r="K222" i="2"/>
  <c r="B222" i="2"/>
  <c r="C222" i="2"/>
  <c r="I222" i="2"/>
  <c r="D222" i="2"/>
  <c r="E222" i="2"/>
  <c r="F222" i="2"/>
  <c r="G222" i="2"/>
  <c r="J221" i="2"/>
  <c r="N221" i="2"/>
  <c r="A221" i="2"/>
  <c r="M221" i="2"/>
  <c r="L221" i="2"/>
  <c r="H221" i="2"/>
  <c r="K221" i="2"/>
  <c r="B221" i="2"/>
  <c r="C221" i="2"/>
  <c r="I221" i="2"/>
  <c r="D221" i="2"/>
  <c r="E221" i="2"/>
  <c r="F221" i="2"/>
  <c r="G221" i="2"/>
  <c r="J220" i="2"/>
  <c r="N220" i="2"/>
  <c r="A220" i="2"/>
  <c r="M220" i="2"/>
  <c r="L220" i="2"/>
  <c r="H220" i="2"/>
  <c r="K220" i="2"/>
  <c r="B220" i="2"/>
  <c r="C220" i="2"/>
  <c r="I220" i="2"/>
  <c r="D220" i="2"/>
  <c r="E220" i="2"/>
  <c r="F220" i="2"/>
  <c r="G220" i="2"/>
  <c r="J219" i="2"/>
  <c r="N219" i="2"/>
  <c r="A219" i="2"/>
  <c r="M219" i="2"/>
  <c r="L219" i="2"/>
  <c r="H219" i="2"/>
  <c r="K219" i="2"/>
  <c r="B219" i="2"/>
  <c r="C219" i="2"/>
  <c r="I219" i="2"/>
  <c r="D219" i="2"/>
  <c r="E219" i="2"/>
  <c r="F219" i="2"/>
  <c r="G219" i="2"/>
  <c r="J218" i="2"/>
  <c r="N218" i="2"/>
  <c r="A218" i="2"/>
  <c r="M218" i="2"/>
  <c r="L218" i="2"/>
  <c r="H218" i="2"/>
  <c r="K218" i="2"/>
  <c r="B218" i="2"/>
  <c r="C218" i="2"/>
  <c r="I218" i="2"/>
  <c r="D218" i="2"/>
  <c r="E218" i="2"/>
  <c r="F218" i="2"/>
  <c r="G218" i="2"/>
  <c r="J217" i="2"/>
  <c r="N217" i="2"/>
  <c r="A217" i="2"/>
  <c r="M217" i="2"/>
  <c r="L217" i="2"/>
  <c r="H217" i="2"/>
  <c r="K217" i="2"/>
  <c r="B217" i="2"/>
  <c r="C217" i="2"/>
  <c r="I217" i="2"/>
  <c r="D217" i="2"/>
  <c r="E217" i="2"/>
  <c r="F217" i="2"/>
  <c r="G217" i="2"/>
  <c r="J216" i="2"/>
  <c r="N216" i="2"/>
  <c r="A216" i="2"/>
  <c r="M216" i="2"/>
  <c r="L216" i="2"/>
  <c r="H216" i="2"/>
  <c r="K216" i="2"/>
  <c r="B216" i="2"/>
  <c r="C216" i="2"/>
  <c r="I216" i="2"/>
  <c r="D216" i="2"/>
  <c r="E216" i="2"/>
  <c r="F216" i="2"/>
  <c r="G216" i="2"/>
  <c r="J215" i="2"/>
  <c r="N215" i="2"/>
  <c r="A215" i="2"/>
  <c r="M215" i="2"/>
  <c r="L215" i="2"/>
  <c r="H215" i="2"/>
  <c r="K215" i="2"/>
  <c r="B215" i="2"/>
  <c r="C215" i="2"/>
  <c r="I215" i="2"/>
  <c r="D215" i="2"/>
  <c r="E215" i="2"/>
  <c r="F215" i="2"/>
  <c r="G215" i="2"/>
  <c r="J214" i="2"/>
  <c r="N214" i="2"/>
  <c r="A214" i="2"/>
  <c r="M214" i="2"/>
  <c r="L214" i="2"/>
  <c r="H214" i="2"/>
  <c r="K214" i="2"/>
  <c r="B214" i="2"/>
  <c r="C214" i="2"/>
  <c r="I214" i="2"/>
  <c r="D214" i="2"/>
  <c r="E214" i="2"/>
  <c r="F214" i="2"/>
  <c r="G214" i="2"/>
  <c r="J213" i="2"/>
  <c r="N213" i="2"/>
  <c r="A213" i="2"/>
  <c r="M213" i="2"/>
  <c r="L213" i="2"/>
  <c r="H213" i="2"/>
  <c r="K213" i="2"/>
  <c r="B213" i="2"/>
  <c r="C213" i="2"/>
  <c r="I213" i="2"/>
  <c r="D213" i="2"/>
  <c r="E213" i="2"/>
  <c r="F213" i="2"/>
  <c r="G213" i="2"/>
  <c r="J212" i="2"/>
  <c r="N212" i="2"/>
  <c r="A212" i="2"/>
  <c r="M212" i="2"/>
  <c r="L212" i="2"/>
  <c r="H212" i="2"/>
  <c r="K212" i="2"/>
  <c r="B212" i="2"/>
  <c r="C212" i="2"/>
  <c r="I212" i="2"/>
  <c r="D212" i="2"/>
  <c r="E212" i="2"/>
  <c r="F212" i="2"/>
  <c r="G212" i="2"/>
  <c r="J211" i="2"/>
  <c r="N211" i="2"/>
  <c r="A211" i="2"/>
  <c r="M211" i="2"/>
  <c r="L211" i="2"/>
  <c r="H211" i="2"/>
  <c r="K211" i="2"/>
  <c r="B211" i="2"/>
  <c r="C211" i="2"/>
  <c r="I211" i="2"/>
  <c r="D211" i="2"/>
  <c r="E211" i="2"/>
  <c r="F211" i="2"/>
  <c r="G211" i="2"/>
  <c r="J210" i="2"/>
  <c r="N210" i="2"/>
  <c r="A210" i="2"/>
  <c r="M210" i="2"/>
  <c r="L210" i="2"/>
  <c r="H210" i="2"/>
  <c r="K210" i="2"/>
  <c r="B210" i="2"/>
  <c r="C210" i="2"/>
  <c r="I210" i="2"/>
  <c r="D210" i="2"/>
  <c r="E210" i="2"/>
  <c r="F210" i="2"/>
  <c r="G210" i="2"/>
  <c r="J209" i="2"/>
  <c r="N209" i="2"/>
  <c r="A209" i="2"/>
  <c r="M209" i="2"/>
  <c r="L209" i="2"/>
  <c r="H209" i="2"/>
  <c r="K209" i="2"/>
  <c r="B209" i="2"/>
  <c r="C209" i="2"/>
  <c r="I209" i="2"/>
  <c r="D209" i="2"/>
  <c r="E209" i="2"/>
  <c r="F209" i="2"/>
  <c r="G209" i="2"/>
  <c r="J208" i="2"/>
  <c r="N208" i="2"/>
  <c r="A208" i="2"/>
  <c r="M208" i="2"/>
  <c r="L208" i="2"/>
  <c r="H208" i="2"/>
  <c r="K208" i="2"/>
  <c r="B208" i="2"/>
  <c r="C208" i="2"/>
  <c r="I208" i="2"/>
  <c r="D208" i="2"/>
  <c r="E208" i="2"/>
  <c r="F208" i="2"/>
  <c r="G208" i="2"/>
  <c r="J207" i="2"/>
  <c r="N207" i="2"/>
  <c r="A207" i="2"/>
  <c r="M207" i="2"/>
  <c r="L207" i="2"/>
  <c r="H207" i="2"/>
  <c r="K207" i="2"/>
  <c r="B207" i="2"/>
  <c r="C207" i="2"/>
  <c r="I207" i="2"/>
  <c r="D207" i="2"/>
  <c r="E207" i="2"/>
  <c r="F207" i="2"/>
  <c r="G207" i="2"/>
  <c r="J206" i="2"/>
  <c r="N206" i="2"/>
  <c r="A206" i="2"/>
  <c r="M206" i="2"/>
  <c r="L206" i="2"/>
  <c r="H206" i="2"/>
  <c r="K206" i="2"/>
  <c r="B206" i="2"/>
  <c r="C206" i="2"/>
  <c r="I206" i="2"/>
  <c r="D206" i="2"/>
  <c r="E206" i="2"/>
  <c r="F206" i="2"/>
  <c r="G206" i="2"/>
  <c r="J205" i="2"/>
  <c r="N205" i="2"/>
  <c r="A205" i="2"/>
  <c r="M205" i="2"/>
  <c r="L205" i="2"/>
  <c r="H205" i="2"/>
  <c r="K205" i="2"/>
  <c r="B205" i="2"/>
  <c r="C205" i="2"/>
  <c r="I205" i="2"/>
  <c r="D205" i="2"/>
  <c r="E205" i="2"/>
  <c r="F205" i="2"/>
  <c r="G205" i="2"/>
  <c r="J204" i="2"/>
  <c r="N204" i="2"/>
  <c r="A204" i="2"/>
  <c r="M204" i="2"/>
  <c r="L204" i="2"/>
  <c r="H204" i="2"/>
  <c r="K204" i="2"/>
  <c r="B204" i="2"/>
  <c r="C204" i="2"/>
  <c r="I204" i="2"/>
  <c r="D204" i="2"/>
  <c r="E204" i="2"/>
  <c r="F204" i="2"/>
  <c r="G204" i="2"/>
  <c r="J203" i="2"/>
  <c r="N203" i="2"/>
  <c r="A203" i="2"/>
  <c r="M203" i="2"/>
  <c r="L203" i="2"/>
  <c r="H203" i="2"/>
  <c r="K203" i="2"/>
  <c r="B203" i="2"/>
  <c r="C203" i="2"/>
  <c r="I203" i="2"/>
  <c r="D203" i="2"/>
  <c r="E203" i="2"/>
  <c r="F203" i="2"/>
  <c r="G203" i="2"/>
  <c r="J202" i="2"/>
  <c r="N202" i="2"/>
  <c r="A202" i="2"/>
  <c r="M202" i="2"/>
  <c r="L202" i="2"/>
  <c r="H202" i="2"/>
  <c r="K202" i="2"/>
  <c r="B202" i="2"/>
  <c r="C202" i="2"/>
  <c r="I202" i="2"/>
  <c r="D202" i="2"/>
  <c r="E202" i="2"/>
  <c r="F202" i="2"/>
  <c r="G202" i="2"/>
  <c r="J201" i="2"/>
  <c r="N201" i="2"/>
  <c r="A201" i="2"/>
  <c r="M201" i="2"/>
  <c r="L201" i="2"/>
  <c r="H201" i="2"/>
  <c r="K201" i="2"/>
  <c r="B201" i="2"/>
  <c r="C201" i="2"/>
  <c r="I201" i="2"/>
  <c r="D201" i="2"/>
  <c r="E201" i="2"/>
  <c r="F201" i="2"/>
  <c r="G201" i="2"/>
  <c r="J200" i="2"/>
  <c r="N200" i="2"/>
  <c r="A200" i="2"/>
  <c r="M200" i="2"/>
  <c r="L200" i="2"/>
  <c r="H200" i="2"/>
  <c r="K200" i="2"/>
  <c r="B200" i="2"/>
  <c r="C200" i="2"/>
  <c r="I200" i="2"/>
  <c r="D200" i="2"/>
  <c r="E200" i="2"/>
  <c r="F200" i="2"/>
  <c r="G200" i="2"/>
  <c r="J199" i="2"/>
  <c r="N199" i="2"/>
  <c r="A199" i="2"/>
  <c r="M199" i="2"/>
  <c r="L199" i="2"/>
  <c r="H199" i="2"/>
  <c r="K199" i="2"/>
  <c r="B199" i="2"/>
  <c r="C199" i="2"/>
  <c r="I199" i="2"/>
  <c r="D199" i="2"/>
  <c r="E199" i="2"/>
  <c r="F199" i="2"/>
  <c r="G199" i="2"/>
  <c r="J198" i="2"/>
  <c r="N198" i="2"/>
  <c r="A198" i="2"/>
  <c r="M198" i="2"/>
  <c r="L198" i="2"/>
  <c r="H198" i="2"/>
  <c r="K198" i="2"/>
  <c r="B198" i="2"/>
  <c r="C198" i="2"/>
  <c r="I198" i="2"/>
  <c r="D198" i="2"/>
  <c r="E198" i="2"/>
  <c r="F198" i="2"/>
  <c r="G198" i="2"/>
  <c r="J197" i="2"/>
  <c r="N197" i="2"/>
  <c r="A197" i="2"/>
  <c r="M197" i="2"/>
  <c r="L197" i="2"/>
  <c r="H197" i="2"/>
  <c r="K197" i="2"/>
  <c r="B197" i="2"/>
  <c r="C197" i="2"/>
  <c r="I197" i="2"/>
  <c r="D197" i="2"/>
  <c r="E197" i="2"/>
  <c r="F197" i="2"/>
  <c r="G197" i="2"/>
  <c r="J196" i="2"/>
  <c r="N196" i="2"/>
  <c r="A196" i="2"/>
  <c r="M196" i="2"/>
  <c r="L196" i="2"/>
  <c r="H196" i="2"/>
  <c r="K196" i="2"/>
  <c r="B196" i="2"/>
  <c r="C196" i="2"/>
  <c r="I196" i="2"/>
  <c r="D196" i="2"/>
  <c r="E196" i="2"/>
  <c r="F196" i="2"/>
  <c r="G196" i="2"/>
  <c r="J195" i="2"/>
  <c r="N195" i="2"/>
  <c r="A195" i="2"/>
  <c r="M195" i="2"/>
  <c r="L195" i="2"/>
  <c r="H195" i="2"/>
  <c r="K195" i="2"/>
  <c r="B195" i="2"/>
  <c r="C195" i="2"/>
  <c r="I195" i="2"/>
  <c r="D195" i="2"/>
  <c r="E195" i="2"/>
  <c r="F195" i="2"/>
  <c r="G195" i="2"/>
  <c r="J194" i="2"/>
  <c r="N194" i="2"/>
  <c r="A194" i="2"/>
  <c r="M194" i="2"/>
  <c r="L194" i="2"/>
  <c r="H194" i="2"/>
  <c r="K194" i="2"/>
  <c r="B194" i="2"/>
  <c r="C194" i="2"/>
  <c r="I194" i="2"/>
  <c r="D194" i="2"/>
  <c r="E194" i="2"/>
  <c r="F194" i="2"/>
  <c r="G194" i="2"/>
  <c r="J193" i="2"/>
  <c r="N193" i="2"/>
  <c r="A193" i="2"/>
  <c r="M193" i="2"/>
  <c r="L193" i="2"/>
  <c r="H193" i="2"/>
  <c r="K193" i="2"/>
  <c r="B193" i="2"/>
  <c r="C193" i="2"/>
  <c r="I193" i="2"/>
  <c r="D193" i="2"/>
  <c r="E193" i="2"/>
  <c r="F193" i="2"/>
  <c r="G193" i="2"/>
  <c r="J192" i="2"/>
  <c r="N192" i="2"/>
  <c r="A192" i="2"/>
  <c r="M192" i="2"/>
  <c r="L192" i="2"/>
  <c r="H192" i="2"/>
  <c r="K192" i="2"/>
  <c r="B192" i="2"/>
  <c r="C192" i="2"/>
  <c r="I192" i="2"/>
  <c r="D192" i="2"/>
  <c r="E192" i="2"/>
  <c r="F192" i="2"/>
  <c r="G192" i="2"/>
  <c r="J191" i="2"/>
  <c r="N191" i="2"/>
  <c r="A191" i="2"/>
  <c r="M191" i="2"/>
  <c r="L191" i="2"/>
  <c r="H191" i="2"/>
  <c r="K191" i="2"/>
  <c r="B191" i="2"/>
  <c r="C191" i="2"/>
  <c r="I191" i="2"/>
  <c r="D191" i="2"/>
  <c r="E191" i="2"/>
  <c r="F191" i="2"/>
  <c r="G191" i="2"/>
  <c r="J190" i="2"/>
  <c r="N190" i="2"/>
  <c r="A190" i="2"/>
  <c r="M190" i="2"/>
  <c r="L190" i="2"/>
  <c r="H190" i="2"/>
  <c r="K190" i="2"/>
  <c r="B190" i="2"/>
  <c r="C190" i="2"/>
  <c r="I190" i="2"/>
  <c r="D190" i="2"/>
  <c r="E190" i="2"/>
  <c r="F190" i="2"/>
  <c r="G190" i="2"/>
  <c r="J189" i="2"/>
  <c r="N189" i="2"/>
  <c r="A189" i="2"/>
  <c r="M189" i="2"/>
  <c r="L189" i="2"/>
  <c r="H189" i="2"/>
  <c r="K189" i="2"/>
  <c r="B189" i="2"/>
  <c r="C189" i="2"/>
  <c r="I189" i="2"/>
  <c r="D189" i="2"/>
  <c r="E189" i="2"/>
  <c r="F189" i="2"/>
  <c r="G189" i="2"/>
  <c r="J188" i="2"/>
  <c r="N188" i="2"/>
  <c r="A188" i="2"/>
  <c r="M188" i="2"/>
  <c r="L188" i="2"/>
  <c r="H188" i="2"/>
  <c r="K188" i="2"/>
  <c r="B188" i="2"/>
  <c r="C188" i="2"/>
  <c r="I188" i="2"/>
  <c r="D188" i="2"/>
  <c r="E188" i="2"/>
  <c r="F188" i="2"/>
  <c r="G188" i="2"/>
  <c r="J187" i="2"/>
  <c r="N187" i="2"/>
  <c r="A187" i="2"/>
  <c r="M187" i="2"/>
  <c r="L187" i="2"/>
  <c r="H187" i="2"/>
  <c r="K187" i="2"/>
  <c r="B187" i="2"/>
  <c r="C187" i="2"/>
  <c r="I187" i="2"/>
  <c r="D187" i="2"/>
  <c r="E187" i="2"/>
  <c r="F187" i="2"/>
  <c r="G187" i="2"/>
  <c r="J186" i="2"/>
  <c r="N186" i="2"/>
  <c r="A186" i="2"/>
  <c r="M186" i="2"/>
  <c r="L186" i="2"/>
  <c r="H186" i="2"/>
  <c r="K186" i="2"/>
  <c r="B186" i="2"/>
  <c r="C186" i="2"/>
  <c r="I186" i="2"/>
  <c r="D186" i="2"/>
  <c r="E186" i="2"/>
  <c r="F186" i="2"/>
  <c r="G186" i="2"/>
  <c r="J185" i="2"/>
  <c r="N185" i="2"/>
  <c r="A185" i="2"/>
  <c r="M185" i="2"/>
  <c r="L185" i="2"/>
  <c r="H185" i="2"/>
  <c r="K185" i="2"/>
  <c r="B185" i="2"/>
  <c r="C185" i="2"/>
  <c r="I185" i="2"/>
  <c r="D185" i="2"/>
  <c r="E185" i="2"/>
  <c r="F185" i="2"/>
  <c r="G185" i="2"/>
  <c r="J184" i="2"/>
  <c r="N184" i="2"/>
  <c r="A184" i="2"/>
  <c r="M184" i="2"/>
  <c r="L184" i="2"/>
  <c r="H184" i="2"/>
  <c r="K184" i="2"/>
  <c r="B184" i="2"/>
  <c r="C184" i="2"/>
  <c r="I184" i="2"/>
  <c r="D184" i="2"/>
  <c r="E184" i="2"/>
  <c r="F184" i="2"/>
  <c r="G184" i="2"/>
  <c r="J183" i="2"/>
  <c r="N183" i="2"/>
  <c r="A183" i="2"/>
  <c r="M183" i="2"/>
  <c r="L183" i="2"/>
  <c r="H183" i="2"/>
  <c r="K183" i="2"/>
  <c r="B183" i="2"/>
  <c r="C183" i="2"/>
  <c r="I183" i="2"/>
  <c r="D183" i="2"/>
  <c r="E183" i="2"/>
  <c r="F183" i="2"/>
  <c r="G183" i="2"/>
  <c r="J182" i="2"/>
  <c r="N182" i="2"/>
  <c r="A182" i="2"/>
  <c r="M182" i="2"/>
  <c r="L182" i="2"/>
  <c r="H182" i="2"/>
  <c r="K182" i="2"/>
  <c r="B182" i="2"/>
  <c r="C182" i="2"/>
  <c r="I182" i="2"/>
  <c r="D182" i="2"/>
  <c r="E182" i="2"/>
  <c r="F182" i="2"/>
  <c r="G182" i="2"/>
  <c r="J181" i="2"/>
  <c r="N181" i="2"/>
  <c r="A181" i="2"/>
  <c r="M181" i="2"/>
  <c r="L181" i="2"/>
  <c r="H181" i="2"/>
  <c r="K181" i="2"/>
  <c r="B181" i="2"/>
  <c r="C181" i="2"/>
  <c r="I181" i="2"/>
  <c r="D181" i="2"/>
  <c r="E181" i="2"/>
  <c r="F181" i="2"/>
  <c r="G181" i="2"/>
  <c r="J180" i="2"/>
  <c r="N180" i="2"/>
  <c r="A180" i="2"/>
  <c r="M180" i="2"/>
  <c r="L180" i="2"/>
  <c r="H180" i="2"/>
  <c r="K180" i="2"/>
  <c r="B180" i="2"/>
  <c r="C180" i="2"/>
  <c r="I180" i="2"/>
  <c r="D180" i="2"/>
  <c r="E180" i="2"/>
  <c r="F180" i="2"/>
  <c r="G180" i="2"/>
  <c r="J179" i="2"/>
  <c r="N179" i="2"/>
  <c r="A179" i="2"/>
  <c r="M179" i="2"/>
  <c r="L179" i="2"/>
  <c r="H179" i="2"/>
  <c r="K179" i="2"/>
  <c r="B179" i="2"/>
  <c r="C179" i="2"/>
  <c r="I179" i="2"/>
  <c r="D179" i="2"/>
  <c r="E179" i="2"/>
  <c r="F179" i="2"/>
  <c r="G179" i="2"/>
  <c r="J178" i="2"/>
  <c r="N178" i="2"/>
  <c r="A178" i="2"/>
  <c r="M178" i="2"/>
  <c r="L178" i="2"/>
  <c r="H178" i="2"/>
  <c r="K178" i="2"/>
  <c r="B178" i="2"/>
  <c r="C178" i="2"/>
  <c r="I178" i="2"/>
  <c r="D178" i="2"/>
  <c r="E178" i="2"/>
  <c r="F178" i="2"/>
  <c r="G178" i="2"/>
  <c r="J177" i="2"/>
  <c r="N177" i="2"/>
  <c r="A177" i="2"/>
  <c r="M177" i="2"/>
  <c r="L177" i="2"/>
  <c r="H177" i="2"/>
  <c r="K177" i="2"/>
  <c r="B177" i="2"/>
  <c r="C177" i="2"/>
  <c r="I177" i="2"/>
  <c r="D177" i="2"/>
  <c r="E177" i="2"/>
  <c r="F177" i="2"/>
  <c r="G177" i="2"/>
  <c r="J176" i="2"/>
  <c r="N176" i="2"/>
  <c r="A176" i="2"/>
  <c r="M176" i="2"/>
  <c r="L176" i="2"/>
  <c r="H176" i="2"/>
  <c r="K176" i="2"/>
  <c r="B176" i="2"/>
  <c r="C176" i="2"/>
  <c r="I176" i="2"/>
  <c r="D176" i="2"/>
  <c r="E176" i="2"/>
  <c r="F176" i="2"/>
  <c r="G176" i="2"/>
  <c r="J175" i="2"/>
  <c r="N175" i="2"/>
  <c r="A175" i="2"/>
  <c r="M175" i="2"/>
  <c r="L175" i="2"/>
  <c r="H175" i="2"/>
  <c r="K175" i="2"/>
  <c r="B175" i="2"/>
  <c r="C175" i="2"/>
  <c r="I175" i="2"/>
  <c r="D175" i="2"/>
  <c r="E175" i="2"/>
  <c r="F175" i="2"/>
  <c r="G175" i="2"/>
  <c r="J174" i="2"/>
  <c r="N174" i="2"/>
  <c r="A174" i="2"/>
  <c r="M174" i="2"/>
  <c r="L174" i="2"/>
  <c r="H174" i="2"/>
  <c r="K174" i="2"/>
  <c r="B174" i="2"/>
  <c r="C174" i="2"/>
  <c r="I174" i="2"/>
  <c r="D174" i="2"/>
  <c r="E174" i="2"/>
  <c r="F174" i="2"/>
  <c r="G174" i="2"/>
  <c r="J173" i="2"/>
  <c r="N173" i="2"/>
  <c r="A173" i="2"/>
  <c r="M173" i="2"/>
  <c r="L173" i="2"/>
  <c r="H173" i="2"/>
  <c r="K173" i="2"/>
  <c r="B173" i="2"/>
  <c r="C173" i="2"/>
  <c r="I173" i="2"/>
  <c r="D173" i="2"/>
  <c r="E173" i="2"/>
  <c r="F173" i="2"/>
  <c r="G173" i="2"/>
  <c r="J172" i="2"/>
  <c r="N172" i="2"/>
  <c r="A172" i="2"/>
  <c r="M172" i="2"/>
  <c r="L172" i="2"/>
  <c r="H172" i="2"/>
  <c r="K172" i="2"/>
  <c r="B172" i="2"/>
  <c r="C172" i="2"/>
  <c r="I172" i="2"/>
  <c r="D172" i="2"/>
  <c r="E172" i="2"/>
  <c r="F172" i="2"/>
  <c r="G172" i="2"/>
  <c r="J171" i="2"/>
  <c r="N171" i="2"/>
  <c r="A171" i="2"/>
  <c r="M171" i="2"/>
  <c r="L171" i="2"/>
  <c r="H171" i="2"/>
  <c r="K171" i="2"/>
  <c r="B171" i="2"/>
  <c r="C171" i="2"/>
  <c r="I171" i="2"/>
  <c r="D171" i="2"/>
  <c r="E171" i="2"/>
  <c r="F171" i="2"/>
  <c r="G171" i="2"/>
  <c r="J170" i="2"/>
  <c r="N170" i="2"/>
  <c r="A170" i="2"/>
  <c r="M170" i="2"/>
  <c r="L170" i="2"/>
  <c r="H170" i="2"/>
  <c r="K170" i="2"/>
  <c r="B170" i="2"/>
  <c r="C170" i="2"/>
  <c r="I170" i="2"/>
  <c r="D170" i="2"/>
  <c r="E170" i="2"/>
  <c r="F170" i="2"/>
  <c r="G170" i="2"/>
  <c r="J169" i="2"/>
  <c r="N169" i="2"/>
  <c r="A169" i="2"/>
  <c r="M169" i="2"/>
  <c r="L169" i="2"/>
  <c r="H169" i="2"/>
  <c r="K169" i="2"/>
  <c r="B169" i="2"/>
  <c r="C169" i="2"/>
  <c r="I169" i="2"/>
  <c r="D169" i="2"/>
  <c r="E169" i="2"/>
  <c r="F169" i="2"/>
  <c r="G169" i="2"/>
  <c r="J168" i="2"/>
  <c r="N168" i="2"/>
  <c r="A168" i="2"/>
  <c r="M168" i="2"/>
  <c r="L168" i="2"/>
  <c r="H168" i="2"/>
  <c r="K168" i="2"/>
  <c r="B168" i="2"/>
  <c r="C168" i="2"/>
  <c r="I168" i="2"/>
  <c r="D168" i="2"/>
  <c r="E168" i="2"/>
  <c r="F168" i="2"/>
  <c r="G168" i="2"/>
  <c r="J167" i="2"/>
  <c r="N167" i="2"/>
  <c r="A167" i="2"/>
  <c r="M167" i="2"/>
  <c r="L167" i="2"/>
  <c r="H167" i="2"/>
  <c r="K167" i="2"/>
  <c r="B167" i="2"/>
  <c r="C167" i="2"/>
  <c r="I167" i="2"/>
  <c r="D167" i="2"/>
  <c r="E167" i="2"/>
  <c r="F167" i="2"/>
  <c r="G167" i="2"/>
  <c r="J166" i="2"/>
  <c r="N166" i="2"/>
  <c r="A166" i="2"/>
  <c r="M166" i="2"/>
  <c r="L166" i="2"/>
  <c r="H166" i="2"/>
  <c r="K166" i="2"/>
  <c r="B166" i="2"/>
  <c r="C166" i="2"/>
  <c r="I166" i="2"/>
  <c r="D166" i="2"/>
  <c r="E166" i="2"/>
  <c r="F166" i="2"/>
  <c r="G166" i="2"/>
  <c r="J165" i="2"/>
  <c r="N165" i="2"/>
  <c r="A165" i="2"/>
  <c r="M165" i="2"/>
  <c r="L165" i="2"/>
  <c r="H165" i="2"/>
  <c r="K165" i="2"/>
  <c r="B165" i="2"/>
  <c r="C165" i="2"/>
  <c r="I165" i="2"/>
  <c r="D165" i="2"/>
  <c r="E165" i="2"/>
  <c r="F165" i="2"/>
  <c r="G165" i="2"/>
  <c r="J164" i="2"/>
  <c r="N164" i="2"/>
  <c r="A164" i="2"/>
  <c r="M164" i="2"/>
  <c r="L164" i="2"/>
  <c r="H164" i="2"/>
  <c r="K164" i="2"/>
  <c r="B164" i="2"/>
  <c r="C164" i="2"/>
  <c r="I164" i="2"/>
  <c r="D164" i="2"/>
  <c r="E164" i="2"/>
  <c r="F164" i="2"/>
  <c r="G164" i="2"/>
  <c r="J163" i="2"/>
  <c r="N163" i="2"/>
  <c r="A163" i="2"/>
  <c r="M163" i="2"/>
  <c r="L163" i="2"/>
  <c r="H163" i="2"/>
  <c r="K163" i="2"/>
  <c r="B163" i="2"/>
  <c r="C163" i="2"/>
  <c r="I163" i="2"/>
  <c r="D163" i="2"/>
  <c r="E163" i="2"/>
  <c r="F163" i="2"/>
  <c r="G163" i="2"/>
  <c r="J162" i="2"/>
  <c r="N162" i="2"/>
  <c r="A162" i="2"/>
  <c r="M162" i="2"/>
  <c r="L162" i="2"/>
  <c r="H162" i="2"/>
  <c r="K162" i="2"/>
  <c r="B162" i="2"/>
  <c r="C162" i="2"/>
  <c r="I162" i="2"/>
  <c r="D162" i="2"/>
  <c r="E162" i="2"/>
  <c r="F162" i="2"/>
  <c r="G162" i="2"/>
  <c r="J161" i="2"/>
  <c r="N161" i="2"/>
  <c r="A161" i="2"/>
  <c r="M161" i="2"/>
  <c r="L161" i="2"/>
  <c r="H161" i="2"/>
  <c r="K161" i="2"/>
  <c r="B161" i="2"/>
  <c r="C161" i="2"/>
  <c r="I161" i="2"/>
  <c r="D161" i="2"/>
  <c r="E161" i="2"/>
  <c r="F161" i="2"/>
  <c r="G161" i="2"/>
  <c r="J160" i="2"/>
  <c r="N160" i="2"/>
  <c r="A160" i="2"/>
  <c r="M160" i="2"/>
  <c r="L160" i="2"/>
  <c r="H160" i="2"/>
  <c r="K160" i="2"/>
  <c r="B160" i="2"/>
  <c r="C160" i="2"/>
  <c r="I160" i="2"/>
  <c r="D160" i="2"/>
  <c r="E160" i="2"/>
  <c r="F160" i="2"/>
  <c r="G160" i="2"/>
  <c r="J159" i="2"/>
  <c r="N159" i="2"/>
  <c r="A159" i="2"/>
  <c r="M159" i="2"/>
  <c r="L159" i="2"/>
  <c r="H159" i="2"/>
  <c r="K159" i="2"/>
  <c r="B159" i="2"/>
  <c r="C159" i="2"/>
  <c r="I159" i="2"/>
  <c r="D159" i="2"/>
  <c r="E159" i="2"/>
  <c r="F159" i="2"/>
  <c r="G159" i="2"/>
  <c r="J158" i="2"/>
  <c r="N158" i="2"/>
  <c r="A158" i="2"/>
  <c r="M158" i="2"/>
  <c r="L158" i="2"/>
  <c r="H158" i="2"/>
  <c r="K158" i="2"/>
  <c r="B158" i="2"/>
  <c r="C158" i="2"/>
  <c r="I158" i="2"/>
  <c r="D158" i="2"/>
  <c r="E158" i="2"/>
  <c r="F158" i="2"/>
  <c r="G158" i="2"/>
  <c r="J157" i="2"/>
  <c r="N157" i="2"/>
  <c r="A157" i="2"/>
  <c r="M157" i="2"/>
  <c r="L157" i="2"/>
  <c r="H157" i="2"/>
  <c r="K157" i="2"/>
  <c r="B157" i="2"/>
  <c r="C157" i="2"/>
  <c r="I157" i="2"/>
  <c r="D157" i="2"/>
  <c r="E157" i="2"/>
  <c r="F157" i="2"/>
  <c r="G157" i="2"/>
  <c r="J156" i="2"/>
  <c r="N156" i="2"/>
  <c r="A156" i="2"/>
  <c r="M156" i="2"/>
  <c r="L156" i="2"/>
  <c r="H156" i="2"/>
  <c r="K156" i="2"/>
  <c r="B156" i="2"/>
  <c r="C156" i="2"/>
  <c r="I156" i="2"/>
  <c r="D156" i="2"/>
  <c r="E156" i="2"/>
  <c r="F156" i="2"/>
  <c r="G156" i="2"/>
  <c r="J155" i="2"/>
  <c r="N155" i="2"/>
  <c r="A155" i="2"/>
  <c r="M155" i="2"/>
  <c r="L155" i="2"/>
  <c r="H155" i="2"/>
  <c r="K155" i="2"/>
  <c r="B155" i="2"/>
  <c r="C155" i="2"/>
  <c r="I155" i="2"/>
  <c r="D155" i="2"/>
  <c r="E155" i="2"/>
  <c r="F155" i="2"/>
  <c r="G155" i="2"/>
  <c r="J154" i="2"/>
  <c r="N154" i="2"/>
  <c r="A154" i="2"/>
  <c r="M154" i="2"/>
  <c r="L154" i="2"/>
  <c r="H154" i="2"/>
  <c r="K154" i="2"/>
  <c r="B154" i="2"/>
  <c r="C154" i="2"/>
  <c r="I154" i="2"/>
  <c r="D154" i="2"/>
  <c r="E154" i="2"/>
  <c r="F154" i="2"/>
  <c r="G154" i="2"/>
  <c r="J153" i="2"/>
  <c r="N153" i="2"/>
  <c r="A153" i="2"/>
  <c r="M153" i="2"/>
  <c r="L153" i="2"/>
  <c r="H153" i="2"/>
  <c r="K153" i="2"/>
  <c r="B153" i="2"/>
  <c r="C153" i="2"/>
  <c r="I153" i="2"/>
  <c r="D153" i="2"/>
  <c r="E153" i="2"/>
  <c r="F153" i="2"/>
  <c r="G153" i="2"/>
  <c r="J152" i="2"/>
  <c r="N152" i="2"/>
  <c r="A152" i="2"/>
  <c r="M152" i="2"/>
  <c r="L152" i="2"/>
  <c r="H152" i="2"/>
  <c r="K152" i="2"/>
  <c r="B152" i="2"/>
  <c r="C152" i="2"/>
  <c r="I152" i="2"/>
  <c r="D152" i="2"/>
  <c r="E152" i="2"/>
  <c r="F152" i="2"/>
  <c r="G152" i="2"/>
  <c r="J151" i="2"/>
  <c r="N151" i="2"/>
  <c r="A151" i="2"/>
  <c r="M151" i="2"/>
  <c r="L151" i="2"/>
  <c r="H151" i="2"/>
  <c r="K151" i="2"/>
  <c r="B151" i="2"/>
  <c r="C151" i="2"/>
  <c r="I151" i="2"/>
  <c r="D151" i="2"/>
  <c r="E151" i="2"/>
  <c r="F151" i="2"/>
  <c r="G151" i="2"/>
  <c r="J150" i="2"/>
  <c r="N150" i="2"/>
  <c r="A150" i="2"/>
  <c r="M150" i="2"/>
  <c r="L150" i="2"/>
  <c r="H150" i="2"/>
  <c r="K150" i="2"/>
  <c r="B150" i="2"/>
  <c r="C150" i="2"/>
  <c r="I150" i="2"/>
  <c r="D150" i="2"/>
  <c r="E150" i="2"/>
  <c r="F150" i="2"/>
  <c r="G150" i="2"/>
  <c r="J149" i="2"/>
  <c r="N149" i="2"/>
  <c r="A149" i="2"/>
  <c r="M149" i="2"/>
  <c r="L149" i="2"/>
  <c r="H149" i="2"/>
  <c r="K149" i="2"/>
  <c r="B149" i="2"/>
  <c r="C149" i="2"/>
  <c r="I149" i="2"/>
  <c r="D149" i="2"/>
  <c r="E149" i="2"/>
  <c r="F149" i="2"/>
  <c r="G149" i="2"/>
  <c r="J148" i="2"/>
  <c r="N148" i="2"/>
  <c r="A148" i="2"/>
  <c r="M148" i="2"/>
  <c r="L148" i="2"/>
  <c r="H148" i="2"/>
  <c r="K148" i="2"/>
  <c r="B148" i="2"/>
  <c r="C148" i="2"/>
  <c r="I148" i="2"/>
  <c r="D148" i="2"/>
  <c r="E148" i="2"/>
  <c r="F148" i="2"/>
  <c r="G148" i="2"/>
  <c r="J147" i="2"/>
  <c r="N147" i="2"/>
  <c r="A147" i="2"/>
  <c r="M147" i="2"/>
  <c r="L147" i="2"/>
  <c r="H147" i="2"/>
  <c r="K147" i="2"/>
  <c r="B147" i="2"/>
  <c r="C147" i="2"/>
  <c r="I147" i="2"/>
  <c r="D147" i="2"/>
  <c r="E147" i="2"/>
  <c r="F147" i="2"/>
  <c r="G147" i="2"/>
  <c r="J146" i="2"/>
  <c r="N146" i="2"/>
  <c r="A146" i="2"/>
  <c r="M146" i="2"/>
  <c r="L146" i="2"/>
  <c r="H146" i="2"/>
  <c r="K146" i="2"/>
  <c r="B146" i="2"/>
  <c r="C146" i="2"/>
  <c r="I146" i="2"/>
  <c r="D146" i="2"/>
  <c r="E146" i="2"/>
  <c r="F146" i="2"/>
  <c r="G146" i="2"/>
  <c r="J145" i="2"/>
  <c r="N145" i="2"/>
  <c r="A145" i="2"/>
  <c r="M145" i="2"/>
  <c r="L145" i="2"/>
  <c r="H145" i="2"/>
  <c r="K145" i="2"/>
  <c r="B145" i="2"/>
  <c r="C145" i="2"/>
  <c r="I145" i="2"/>
  <c r="D145" i="2"/>
  <c r="E145" i="2"/>
  <c r="F145" i="2"/>
  <c r="G145" i="2"/>
  <c r="J144" i="2"/>
  <c r="N144" i="2"/>
  <c r="A144" i="2"/>
  <c r="M144" i="2"/>
  <c r="L144" i="2"/>
  <c r="H144" i="2"/>
  <c r="K144" i="2"/>
  <c r="B144" i="2"/>
  <c r="C144" i="2"/>
  <c r="I144" i="2"/>
  <c r="D144" i="2"/>
  <c r="E144" i="2"/>
  <c r="F144" i="2"/>
  <c r="G144" i="2"/>
  <c r="J143" i="2"/>
  <c r="N143" i="2"/>
  <c r="A143" i="2"/>
  <c r="M143" i="2"/>
  <c r="L143" i="2"/>
  <c r="H143" i="2"/>
  <c r="K143" i="2"/>
  <c r="B143" i="2"/>
  <c r="C143" i="2"/>
  <c r="I143" i="2"/>
  <c r="D143" i="2"/>
  <c r="E143" i="2"/>
  <c r="F143" i="2"/>
  <c r="G143" i="2"/>
  <c r="J142" i="2"/>
  <c r="N142" i="2"/>
  <c r="A142" i="2"/>
  <c r="M142" i="2"/>
  <c r="L142" i="2"/>
  <c r="H142" i="2"/>
  <c r="K142" i="2"/>
  <c r="B142" i="2"/>
  <c r="C142" i="2"/>
  <c r="I142" i="2"/>
  <c r="D142" i="2"/>
  <c r="E142" i="2"/>
  <c r="F142" i="2"/>
  <c r="G142" i="2"/>
  <c r="J141" i="2"/>
  <c r="N141" i="2"/>
  <c r="A141" i="2"/>
  <c r="M141" i="2"/>
  <c r="L141" i="2"/>
  <c r="H141" i="2"/>
  <c r="K141" i="2"/>
  <c r="B141" i="2"/>
  <c r="C141" i="2"/>
  <c r="I141" i="2"/>
  <c r="D141" i="2"/>
  <c r="E141" i="2"/>
  <c r="F141" i="2"/>
  <c r="G141" i="2"/>
  <c r="J140" i="2"/>
  <c r="N140" i="2"/>
  <c r="A140" i="2"/>
  <c r="M140" i="2"/>
  <c r="L140" i="2"/>
  <c r="H140" i="2"/>
  <c r="K140" i="2"/>
  <c r="B140" i="2"/>
  <c r="C140" i="2"/>
  <c r="I140" i="2"/>
  <c r="D140" i="2"/>
  <c r="E140" i="2"/>
  <c r="F140" i="2"/>
  <c r="G140" i="2"/>
  <c r="J139" i="2"/>
  <c r="N139" i="2"/>
  <c r="A139" i="2"/>
  <c r="M139" i="2"/>
  <c r="L139" i="2"/>
  <c r="H139" i="2"/>
  <c r="K139" i="2"/>
  <c r="B139" i="2"/>
  <c r="C139" i="2"/>
  <c r="I139" i="2"/>
  <c r="D139" i="2"/>
  <c r="E139" i="2"/>
  <c r="F139" i="2"/>
  <c r="G139" i="2"/>
  <c r="J138" i="2"/>
  <c r="N138" i="2"/>
  <c r="A138" i="2"/>
  <c r="M138" i="2"/>
  <c r="L138" i="2"/>
  <c r="H138" i="2"/>
  <c r="K138" i="2"/>
  <c r="B138" i="2"/>
  <c r="C138" i="2"/>
  <c r="I138" i="2"/>
  <c r="D138" i="2"/>
  <c r="E138" i="2"/>
  <c r="F138" i="2"/>
  <c r="G138" i="2"/>
  <c r="J137" i="2"/>
  <c r="N137" i="2"/>
  <c r="A137" i="2"/>
  <c r="M137" i="2"/>
  <c r="L137" i="2"/>
  <c r="H137" i="2"/>
  <c r="K137" i="2"/>
  <c r="B137" i="2"/>
  <c r="C137" i="2"/>
  <c r="I137" i="2"/>
  <c r="D137" i="2"/>
  <c r="E137" i="2"/>
  <c r="F137" i="2"/>
  <c r="G137" i="2"/>
  <c r="J136" i="2"/>
  <c r="N136" i="2"/>
  <c r="A136" i="2"/>
  <c r="M136" i="2"/>
  <c r="L136" i="2"/>
  <c r="H136" i="2"/>
  <c r="K136" i="2"/>
  <c r="B136" i="2"/>
  <c r="C136" i="2"/>
  <c r="I136" i="2"/>
  <c r="D136" i="2"/>
  <c r="E136" i="2"/>
  <c r="F136" i="2"/>
  <c r="G136" i="2"/>
  <c r="J135" i="2"/>
  <c r="N135" i="2"/>
  <c r="A135" i="2"/>
  <c r="M135" i="2"/>
  <c r="L135" i="2"/>
  <c r="H135" i="2"/>
  <c r="K135" i="2"/>
  <c r="B135" i="2"/>
  <c r="C135" i="2"/>
  <c r="I135" i="2"/>
  <c r="D135" i="2"/>
  <c r="E135" i="2"/>
  <c r="F135" i="2"/>
  <c r="G135" i="2"/>
  <c r="J134" i="2"/>
  <c r="N134" i="2"/>
  <c r="A134" i="2"/>
  <c r="M134" i="2"/>
  <c r="L134" i="2"/>
  <c r="H134" i="2"/>
  <c r="K134" i="2"/>
  <c r="B134" i="2"/>
  <c r="C134" i="2"/>
  <c r="I134" i="2"/>
  <c r="D134" i="2"/>
  <c r="E134" i="2"/>
  <c r="F134" i="2"/>
  <c r="G134" i="2"/>
  <c r="J133" i="2"/>
  <c r="N133" i="2"/>
  <c r="A133" i="2"/>
  <c r="M133" i="2"/>
  <c r="L133" i="2"/>
  <c r="H133" i="2"/>
  <c r="K133" i="2"/>
  <c r="B133" i="2"/>
  <c r="C133" i="2"/>
  <c r="I133" i="2"/>
  <c r="D133" i="2"/>
  <c r="E133" i="2"/>
  <c r="F133" i="2"/>
  <c r="G133" i="2"/>
  <c r="J132" i="2"/>
  <c r="N132" i="2"/>
  <c r="A132" i="2"/>
  <c r="M132" i="2"/>
  <c r="L132" i="2"/>
  <c r="H132" i="2"/>
  <c r="K132" i="2"/>
  <c r="B132" i="2"/>
  <c r="C132" i="2"/>
  <c r="I132" i="2"/>
  <c r="D132" i="2"/>
  <c r="E132" i="2"/>
  <c r="F132" i="2"/>
  <c r="G132" i="2"/>
  <c r="J131" i="2"/>
  <c r="N131" i="2"/>
  <c r="A131" i="2"/>
  <c r="M131" i="2"/>
  <c r="L131" i="2"/>
  <c r="H131" i="2"/>
  <c r="K131" i="2"/>
  <c r="B131" i="2"/>
  <c r="C131" i="2"/>
  <c r="I131" i="2"/>
  <c r="D131" i="2"/>
  <c r="E131" i="2"/>
  <c r="F131" i="2"/>
  <c r="G131" i="2"/>
  <c r="J130" i="2"/>
  <c r="N130" i="2"/>
  <c r="A130" i="2"/>
  <c r="M130" i="2"/>
  <c r="L130" i="2"/>
  <c r="H130" i="2"/>
  <c r="K130" i="2"/>
  <c r="B130" i="2"/>
  <c r="C130" i="2"/>
  <c r="I130" i="2"/>
  <c r="D130" i="2"/>
  <c r="E130" i="2"/>
  <c r="F130" i="2"/>
  <c r="G130" i="2"/>
  <c r="J129" i="2"/>
  <c r="N129" i="2"/>
  <c r="A129" i="2"/>
  <c r="M129" i="2"/>
  <c r="L129" i="2"/>
  <c r="H129" i="2"/>
  <c r="K129" i="2"/>
  <c r="B129" i="2"/>
  <c r="C129" i="2"/>
  <c r="I129" i="2"/>
  <c r="D129" i="2"/>
  <c r="E129" i="2"/>
  <c r="F129" i="2"/>
  <c r="G129" i="2"/>
  <c r="J128" i="2"/>
  <c r="N128" i="2"/>
  <c r="A128" i="2"/>
  <c r="M128" i="2"/>
  <c r="L128" i="2"/>
  <c r="H128" i="2"/>
  <c r="K128" i="2"/>
  <c r="B128" i="2"/>
  <c r="C128" i="2"/>
  <c r="I128" i="2"/>
  <c r="D128" i="2"/>
  <c r="E128" i="2"/>
  <c r="F128" i="2"/>
  <c r="G128" i="2"/>
  <c r="J127" i="2"/>
  <c r="N127" i="2"/>
  <c r="A127" i="2"/>
  <c r="M127" i="2"/>
  <c r="L127" i="2"/>
  <c r="H127" i="2"/>
  <c r="K127" i="2"/>
  <c r="B127" i="2"/>
  <c r="C127" i="2"/>
  <c r="I127" i="2"/>
  <c r="D127" i="2"/>
  <c r="E127" i="2"/>
  <c r="F127" i="2"/>
  <c r="G127" i="2"/>
  <c r="J126" i="2"/>
  <c r="N126" i="2"/>
  <c r="A126" i="2"/>
  <c r="M126" i="2"/>
  <c r="L126" i="2"/>
  <c r="H126" i="2"/>
  <c r="K126" i="2"/>
  <c r="B126" i="2"/>
  <c r="C126" i="2"/>
  <c r="I126" i="2"/>
  <c r="D126" i="2"/>
  <c r="E126" i="2"/>
  <c r="F126" i="2"/>
  <c r="G126" i="2"/>
  <c r="J125" i="2"/>
  <c r="N125" i="2"/>
  <c r="A125" i="2"/>
  <c r="M125" i="2"/>
  <c r="L125" i="2"/>
  <c r="H125" i="2"/>
  <c r="K125" i="2"/>
  <c r="B125" i="2"/>
  <c r="C125" i="2"/>
  <c r="I125" i="2"/>
  <c r="D125" i="2"/>
  <c r="E125" i="2"/>
  <c r="F125" i="2"/>
  <c r="G125" i="2"/>
  <c r="J124" i="2"/>
  <c r="N124" i="2"/>
  <c r="A124" i="2"/>
  <c r="M124" i="2"/>
  <c r="L124" i="2"/>
  <c r="H124" i="2"/>
  <c r="K124" i="2"/>
  <c r="B124" i="2"/>
  <c r="C124" i="2"/>
  <c r="I124" i="2"/>
  <c r="D124" i="2"/>
  <c r="E124" i="2"/>
  <c r="F124" i="2"/>
  <c r="G124" i="2"/>
  <c r="J123" i="2"/>
  <c r="N123" i="2"/>
  <c r="A123" i="2"/>
  <c r="M123" i="2"/>
  <c r="L123" i="2"/>
  <c r="H123" i="2"/>
  <c r="K123" i="2"/>
  <c r="B123" i="2"/>
  <c r="C123" i="2"/>
  <c r="I123" i="2"/>
  <c r="D123" i="2"/>
  <c r="E123" i="2"/>
  <c r="F123" i="2"/>
  <c r="G123" i="2"/>
  <c r="J122" i="2"/>
  <c r="N122" i="2"/>
  <c r="A122" i="2"/>
  <c r="M122" i="2"/>
  <c r="L122" i="2"/>
  <c r="H122" i="2"/>
  <c r="K122" i="2"/>
  <c r="B122" i="2"/>
  <c r="C122" i="2"/>
  <c r="I122" i="2"/>
  <c r="D122" i="2"/>
  <c r="E122" i="2"/>
  <c r="F122" i="2"/>
  <c r="G122" i="2"/>
  <c r="J121" i="2"/>
  <c r="N121" i="2"/>
  <c r="A121" i="2"/>
  <c r="M121" i="2"/>
  <c r="L121" i="2"/>
  <c r="H121" i="2"/>
  <c r="K121" i="2"/>
  <c r="B121" i="2"/>
  <c r="C121" i="2"/>
  <c r="I121" i="2"/>
  <c r="D121" i="2"/>
  <c r="E121" i="2"/>
  <c r="F121" i="2"/>
  <c r="G121" i="2"/>
  <c r="J120" i="2"/>
  <c r="N120" i="2"/>
  <c r="A120" i="2"/>
  <c r="M120" i="2"/>
  <c r="L120" i="2"/>
  <c r="H120" i="2"/>
  <c r="K120" i="2"/>
  <c r="B120" i="2"/>
  <c r="C120" i="2"/>
  <c r="I120" i="2"/>
  <c r="D120" i="2"/>
  <c r="E120" i="2"/>
  <c r="F120" i="2"/>
  <c r="G120" i="2"/>
  <c r="J119" i="2"/>
  <c r="N119" i="2"/>
  <c r="A119" i="2"/>
  <c r="M119" i="2"/>
  <c r="L119" i="2"/>
  <c r="H119" i="2"/>
  <c r="K119" i="2"/>
  <c r="B119" i="2"/>
  <c r="C119" i="2"/>
  <c r="I119" i="2"/>
  <c r="D119" i="2"/>
  <c r="E119" i="2"/>
  <c r="F119" i="2"/>
  <c r="G119" i="2"/>
  <c r="J118" i="2"/>
  <c r="N118" i="2"/>
  <c r="A118" i="2"/>
  <c r="M118" i="2"/>
  <c r="L118" i="2"/>
  <c r="H118" i="2"/>
  <c r="K118" i="2"/>
  <c r="B118" i="2"/>
  <c r="C118" i="2"/>
  <c r="I118" i="2"/>
  <c r="D118" i="2"/>
  <c r="E118" i="2"/>
  <c r="F118" i="2"/>
  <c r="G118" i="2"/>
  <c r="J117" i="2"/>
  <c r="N117" i="2"/>
  <c r="A117" i="2"/>
  <c r="M117" i="2"/>
  <c r="L117" i="2"/>
  <c r="H117" i="2"/>
  <c r="K117" i="2"/>
  <c r="B117" i="2"/>
  <c r="C117" i="2"/>
  <c r="I117" i="2"/>
  <c r="D117" i="2"/>
  <c r="E117" i="2"/>
  <c r="F117" i="2"/>
  <c r="G117" i="2"/>
  <c r="J116" i="2"/>
  <c r="N116" i="2"/>
  <c r="A116" i="2"/>
  <c r="M116" i="2"/>
  <c r="L116" i="2"/>
  <c r="H116" i="2"/>
  <c r="K116" i="2"/>
  <c r="B116" i="2"/>
  <c r="C116" i="2"/>
  <c r="I116" i="2"/>
  <c r="D116" i="2"/>
  <c r="E116" i="2"/>
  <c r="F116" i="2"/>
  <c r="G116" i="2"/>
  <c r="J115" i="2"/>
  <c r="N115" i="2"/>
  <c r="A115" i="2"/>
  <c r="M115" i="2"/>
  <c r="L115" i="2"/>
  <c r="H115" i="2"/>
  <c r="K115" i="2"/>
  <c r="B115" i="2"/>
  <c r="C115" i="2"/>
  <c r="I115" i="2"/>
  <c r="D115" i="2"/>
  <c r="E115" i="2"/>
  <c r="F115" i="2"/>
  <c r="G115" i="2"/>
  <c r="J114" i="2"/>
  <c r="N114" i="2"/>
  <c r="A114" i="2"/>
  <c r="M114" i="2"/>
  <c r="L114" i="2"/>
  <c r="H114" i="2"/>
  <c r="K114" i="2"/>
  <c r="B114" i="2"/>
  <c r="C114" i="2"/>
  <c r="I114" i="2"/>
  <c r="D114" i="2"/>
  <c r="E114" i="2"/>
  <c r="F114" i="2"/>
  <c r="G114" i="2"/>
  <c r="J113" i="2"/>
  <c r="N113" i="2"/>
  <c r="A113" i="2"/>
  <c r="M113" i="2"/>
  <c r="L113" i="2"/>
  <c r="H113" i="2"/>
  <c r="K113" i="2"/>
  <c r="B113" i="2"/>
  <c r="C113" i="2"/>
  <c r="I113" i="2"/>
  <c r="D113" i="2"/>
  <c r="E113" i="2"/>
  <c r="F113" i="2"/>
  <c r="G113" i="2"/>
  <c r="J112" i="2"/>
  <c r="N112" i="2"/>
  <c r="A112" i="2"/>
  <c r="M112" i="2"/>
  <c r="L112" i="2"/>
  <c r="H112" i="2"/>
  <c r="K112" i="2"/>
  <c r="B112" i="2"/>
  <c r="C112" i="2"/>
  <c r="I112" i="2"/>
  <c r="D112" i="2"/>
  <c r="E112" i="2"/>
  <c r="F112" i="2"/>
  <c r="G112" i="2"/>
  <c r="J111" i="2"/>
  <c r="N111" i="2"/>
  <c r="A111" i="2"/>
  <c r="M111" i="2"/>
  <c r="L111" i="2"/>
  <c r="H111" i="2"/>
  <c r="K111" i="2"/>
  <c r="B111" i="2"/>
  <c r="C111" i="2"/>
  <c r="I111" i="2"/>
  <c r="D111" i="2"/>
  <c r="E111" i="2"/>
  <c r="F111" i="2"/>
  <c r="G111" i="2"/>
  <c r="J110" i="2"/>
  <c r="N110" i="2"/>
  <c r="A110" i="2"/>
  <c r="M110" i="2"/>
  <c r="L110" i="2"/>
  <c r="H110" i="2"/>
  <c r="K110" i="2"/>
  <c r="B110" i="2"/>
  <c r="C110" i="2"/>
  <c r="I110" i="2"/>
  <c r="D110" i="2"/>
  <c r="E110" i="2"/>
  <c r="F110" i="2"/>
  <c r="G110" i="2"/>
  <c r="J109" i="2"/>
  <c r="N109" i="2"/>
  <c r="A109" i="2"/>
  <c r="M109" i="2"/>
  <c r="L109" i="2"/>
  <c r="H109" i="2"/>
  <c r="K109" i="2"/>
  <c r="B109" i="2"/>
  <c r="C109" i="2"/>
  <c r="I109" i="2"/>
  <c r="D109" i="2"/>
  <c r="E109" i="2"/>
  <c r="F109" i="2"/>
  <c r="G109" i="2"/>
  <c r="J108" i="2"/>
  <c r="N108" i="2"/>
  <c r="A108" i="2"/>
  <c r="M108" i="2"/>
  <c r="L108" i="2"/>
  <c r="H108" i="2"/>
  <c r="K108" i="2"/>
  <c r="B108" i="2"/>
  <c r="C108" i="2"/>
  <c r="I108" i="2"/>
  <c r="D108" i="2"/>
  <c r="E108" i="2"/>
  <c r="F108" i="2"/>
  <c r="G108" i="2"/>
  <c r="J107" i="2"/>
  <c r="N107" i="2"/>
  <c r="A107" i="2"/>
  <c r="M107" i="2"/>
  <c r="L107" i="2"/>
  <c r="H107" i="2"/>
  <c r="K107" i="2"/>
  <c r="B107" i="2"/>
  <c r="C107" i="2"/>
  <c r="I107" i="2"/>
  <c r="D107" i="2"/>
  <c r="E107" i="2"/>
  <c r="F107" i="2"/>
  <c r="G107" i="2"/>
  <c r="J106" i="2"/>
  <c r="N106" i="2"/>
  <c r="A106" i="2"/>
  <c r="M106" i="2"/>
  <c r="L106" i="2"/>
  <c r="H106" i="2"/>
  <c r="K106" i="2"/>
  <c r="B106" i="2"/>
  <c r="C106" i="2"/>
  <c r="I106" i="2"/>
  <c r="D106" i="2"/>
  <c r="E106" i="2"/>
  <c r="F106" i="2"/>
  <c r="G106" i="2"/>
  <c r="J105" i="2"/>
  <c r="N105" i="2"/>
  <c r="A105" i="2"/>
  <c r="M105" i="2"/>
  <c r="L105" i="2"/>
  <c r="H105" i="2"/>
  <c r="K105" i="2"/>
  <c r="B105" i="2"/>
  <c r="C105" i="2"/>
  <c r="I105" i="2"/>
  <c r="D105" i="2"/>
  <c r="E105" i="2"/>
  <c r="F105" i="2"/>
  <c r="G105" i="2"/>
  <c r="J104" i="2"/>
  <c r="N104" i="2"/>
  <c r="A104" i="2"/>
  <c r="M104" i="2"/>
  <c r="L104" i="2"/>
  <c r="H104" i="2"/>
  <c r="K104" i="2"/>
  <c r="B104" i="2"/>
  <c r="C104" i="2"/>
  <c r="I104" i="2"/>
  <c r="D104" i="2"/>
  <c r="E104" i="2"/>
  <c r="F104" i="2"/>
  <c r="G104" i="2"/>
  <c r="J103" i="2"/>
  <c r="N103" i="2"/>
  <c r="A103" i="2"/>
  <c r="M103" i="2"/>
  <c r="L103" i="2"/>
  <c r="H103" i="2"/>
  <c r="K103" i="2"/>
  <c r="B103" i="2"/>
  <c r="C103" i="2"/>
  <c r="I103" i="2"/>
  <c r="D103" i="2"/>
  <c r="E103" i="2"/>
  <c r="F103" i="2"/>
  <c r="G103" i="2"/>
  <c r="J102" i="2"/>
  <c r="N102" i="2"/>
  <c r="A102" i="2"/>
  <c r="M102" i="2"/>
  <c r="L102" i="2"/>
  <c r="H102" i="2"/>
  <c r="K102" i="2"/>
  <c r="B102" i="2"/>
  <c r="C102" i="2"/>
  <c r="I102" i="2"/>
  <c r="D102" i="2"/>
  <c r="E102" i="2"/>
  <c r="F102" i="2"/>
  <c r="G102" i="2"/>
  <c r="J101" i="2"/>
  <c r="N101" i="2"/>
  <c r="A101" i="2"/>
  <c r="M101" i="2"/>
  <c r="L101" i="2"/>
  <c r="H101" i="2"/>
  <c r="K101" i="2"/>
  <c r="B101" i="2"/>
  <c r="C101" i="2"/>
  <c r="I101" i="2"/>
  <c r="D101" i="2"/>
  <c r="E101" i="2"/>
  <c r="F101" i="2"/>
  <c r="G101" i="2"/>
  <c r="J100" i="2"/>
  <c r="N100" i="2"/>
  <c r="A100" i="2"/>
  <c r="M100" i="2"/>
  <c r="L100" i="2"/>
  <c r="H100" i="2"/>
  <c r="K100" i="2"/>
  <c r="B100" i="2"/>
  <c r="C100" i="2"/>
  <c r="I100" i="2"/>
  <c r="D100" i="2"/>
  <c r="E100" i="2"/>
  <c r="F100" i="2"/>
  <c r="G100" i="2"/>
  <c r="J99" i="2"/>
  <c r="N99" i="2"/>
  <c r="A99" i="2"/>
  <c r="M99" i="2"/>
  <c r="L99" i="2"/>
  <c r="H99" i="2"/>
  <c r="K99" i="2"/>
  <c r="B99" i="2"/>
  <c r="C99" i="2"/>
  <c r="I99" i="2"/>
  <c r="D99" i="2"/>
  <c r="E99" i="2"/>
  <c r="F99" i="2"/>
  <c r="G99" i="2"/>
  <c r="J98" i="2"/>
  <c r="N98" i="2"/>
  <c r="A98" i="2"/>
  <c r="M98" i="2"/>
  <c r="L98" i="2"/>
  <c r="H98" i="2"/>
  <c r="K98" i="2"/>
  <c r="B98" i="2"/>
  <c r="C98" i="2"/>
  <c r="I98" i="2"/>
  <c r="D98" i="2"/>
  <c r="E98" i="2"/>
  <c r="F98" i="2"/>
  <c r="G98" i="2"/>
  <c r="J97" i="2"/>
  <c r="N97" i="2"/>
  <c r="A97" i="2"/>
  <c r="M97" i="2"/>
  <c r="L97" i="2"/>
  <c r="H97" i="2"/>
  <c r="K97" i="2"/>
  <c r="B97" i="2"/>
  <c r="C97" i="2"/>
  <c r="I97" i="2"/>
  <c r="D97" i="2"/>
  <c r="E97" i="2"/>
  <c r="F97" i="2"/>
  <c r="G97" i="2"/>
  <c r="J96" i="2"/>
  <c r="N96" i="2"/>
  <c r="A96" i="2"/>
  <c r="M96" i="2"/>
  <c r="L96" i="2"/>
  <c r="H96" i="2"/>
  <c r="K96" i="2"/>
  <c r="B96" i="2"/>
  <c r="C96" i="2"/>
  <c r="I96" i="2"/>
  <c r="D96" i="2"/>
  <c r="E96" i="2"/>
  <c r="F96" i="2"/>
  <c r="G96" i="2"/>
  <c r="J95" i="2"/>
  <c r="N95" i="2"/>
  <c r="A95" i="2"/>
  <c r="M95" i="2"/>
  <c r="L95" i="2"/>
  <c r="H95" i="2"/>
  <c r="K95" i="2"/>
  <c r="B95" i="2"/>
  <c r="C95" i="2"/>
  <c r="I95" i="2"/>
  <c r="D95" i="2"/>
  <c r="E95" i="2"/>
  <c r="F95" i="2"/>
  <c r="G95" i="2"/>
  <c r="J94" i="2"/>
  <c r="N94" i="2"/>
  <c r="A94" i="2"/>
  <c r="M94" i="2"/>
  <c r="L94" i="2"/>
  <c r="H94" i="2"/>
  <c r="K94" i="2"/>
  <c r="B94" i="2"/>
  <c r="C94" i="2"/>
  <c r="I94" i="2"/>
  <c r="D94" i="2"/>
  <c r="E94" i="2"/>
  <c r="F94" i="2"/>
  <c r="G94" i="2"/>
  <c r="J93" i="2"/>
  <c r="N93" i="2"/>
  <c r="A93" i="2"/>
  <c r="M93" i="2"/>
  <c r="L93" i="2"/>
  <c r="H93" i="2"/>
  <c r="K93" i="2"/>
  <c r="B93" i="2"/>
  <c r="C93" i="2"/>
  <c r="I93" i="2"/>
  <c r="D93" i="2"/>
  <c r="E93" i="2"/>
  <c r="F93" i="2"/>
  <c r="G93" i="2"/>
  <c r="J92" i="2"/>
  <c r="N92" i="2"/>
  <c r="A92" i="2"/>
  <c r="M92" i="2"/>
  <c r="L92" i="2"/>
  <c r="H92" i="2"/>
  <c r="K92" i="2"/>
  <c r="B92" i="2"/>
  <c r="C92" i="2"/>
  <c r="I92" i="2"/>
  <c r="D92" i="2"/>
  <c r="E92" i="2"/>
  <c r="F92" i="2"/>
  <c r="G92" i="2"/>
  <c r="J91" i="2"/>
  <c r="N91" i="2"/>
  <c r="A91" i="2"/>
  <c r="M91" i="2"/>
  <c r="L91" i="2"/>
  <c r="H91" i="2"/>
  <c r="K91" i="2"/>
  <c r="B91" i="2"/>
  <c r="C91" i="2"/>
  <c r="I91" i="2"/>
  <c r="D91" i="2"/>
  <c r="E91" i="2"/>
  <c r="F91" i="2"/>
  <c r="G91" i="2"/>
  <c r="J90" i="2"/>
  <c r="N90" i="2"/>
  <c r="A90" i="2"/>
  <c r="M90" i="2"/>
  <c r="L90" i="2"/>
  <c r="H90" i="2"/>
  <c r="K90" i="2"/>
  <c r="B90" i="2"/>
  <c r="C90" i="2"/>
  <c r="I90" i="2"/>
  <c r="D90" i="2"/>
  <c r="E90" i="2"/>
  <c r="F90" i="2"/>
  <c r="G90" i="2"/>
  <c r="J89" i="2"/>
  <c r="N89" i="2"/>
  <c r="A89" i="2"/>
  <c r="M89" i="2"/>
  <c r="L89" i="2"/>
  <c r="H89" i="2"/>
  <c r="K89" i="2"/>
  <c r="B89" i="2"/>
  <c r="C89" i="2"/>
  <c r="I89" i="2"/>
  <c r="D89" i="2"/>
  <c r="E89" i="2"/>
  <c r="F89" i="2"/>
  <c r="G89" i="2"/>
  <c r="J88" i="2"/>
  <c r="N88" i="2"/>
  <c r="A88" i="2"/>
  <c r="M88" i="2"/>
  <c r="L88" i="2"/>
  <c r="H88" i="2"/>
  <c r="K88" i="2"/>
  <c r="B88" i="2"/>
  <c r="C88" i="2"/>
  <c r="I88" i="2"/>
  <c r="D88" i="2"/>
  <c r="E88" i="2"/>
  <c r="F88" i="2"/>
  <c r="G88" i="2"/>
  <c r="J87" i="2"/>
  <c r="N87" i="2"/>
  <c r="A87" i="2"/>
  <c r="M87" i="2"/>
  <c r="L87" i="2"/>
  <c r="H87" i="2"/>
  <c r="K87" i="2"/>
  <c r="B87" i="2"/>
  <c r="C87" i="2"/>
  <c r="I87" i="2"/>
  <c r="D87" i="2"/>
  <c r="E87" i="2"/>
  <c r="F87" i="2"/>
  <c r="G87" i="2"/>
  <c r="J86" i="2"/>
  <c r="N86" i="2"/>
  <c r="A86" i="2"/>
  <c r="M86" i="2"/>
  <c r="L86" i="2"/>
  <c r="H86" i="2"/>
  <c r="K86" i="2"/>
  <c r="B86" i="2"/>
  <c r="C86" i="2"/>
  <c r="I86" i="2"/>
  <c r="D86" i="2"/>
  <c r="E86" i="2"/>
  <c r="F86" i="2"/>
  <c r="G86" i="2"/>
  <c r="J85" i="2"/>
  <c r="N85" i="2"/>
  <c r="A85" i="2"/>
  <c r="M85" i="2"/>
  <c r="L85" i="2"/>
  <c r="H85" i="2"/>
  <c r="K85" i="2"/>
  <c r="B85" i="2"/>
  <c r="C85" i="2"/>
  <c r="I85" i="2"/>
  <c r="D85" i="2"/>
  <c r="E85" i="2"/>
  <c r="F85" i="2"/>
  <c r="G85" i="2"/>
  <c r="J84" i="2"/>
  <c r="N84" i="2"/>
  <c r="A84" i="2"/>
  <c r="M84" i="2"/>
  <c r="L84" i="2"/>
  <c r="H84" i="2"/>
  <c r="K84" i="2"/>
  <c r="B84" i="2"/>
  <c r="C84" i="2"/>
  <c r="I84" i="2"/>
  <c r="D84" i="2"/>
  <c r="E84" i="2"/>
  <c r="F84" i="2"/>
  <c r="G84" i="2"/>
  <c r="J83" i="2"/>
  <c r="N83" i="2"/>
  <c r="A83" i="2"/>
  <c r="M83" i="2"/>
  <c r="L83" i="2"/>
  <c r="H83" i="2"/>
  <c r="K83" i="2"/>
  <c r="B83" i="2"/>
  <c r="C83" i="2"/>
  <c r="I83" i="2"/>
  <c r="D83" i="2"/>
  <c r="E83" i="2"/>
  <c r="F83" i="2"/>
  <c r="G83" i="2"/>
  <c r="J82" i="2"/>
  <c r="N82" i="2"/>
  <c r="A82" i="2"/>
  <c r="M82" i="2"/>
  <c r="L82" i="2"/>
  <c r="H82" i="2"/>
  <c r="K82" i="2"/>
  <c r="B82" i="2"/>
  <c r="C82" i="2"/>
  <c r="I82" i="2"/>
  <c r="D82" i="2"/>
  <c r="E82" i="2"/>
  <c r="F82" i="2"/>
  <c r="G82" i="2"/>
  <c r="J81" i="2"/>
  <c r="N81" i="2"/>
  <c r="A81" i="2"/>
  <c r="M81" i="2"/>
  <c r="L81" i="2"/>
  <c r="H81" i="2"/>
  <c r="K81" i="2"/>
  <c r="B81" i="2"/>
  <c r="C81" i="2"/>
  <c r="I81" i="2"/>
  <c r="D81" i="2"/>
  <c r="E81" i="2"/>
  <c r="F81" i="2"/>
  <c r="G81" i="2"/>
  <c r="J80" i="2"/>
  <c r="N80" i="2"/>
  <c r="A80" i="2"/>
  <c r="M80" i="2"/>
  <c r="L80" i="2"/>
  <c r="H80" i="2"/>
  <c r="K80" i="2"/>
  <c r="B80" i="2"/>
  <c r="C80" i="2"/>
  <c r="I80" i="2"/>
  <c r="D80" i="2"/>
  <c r="E80" i="2"/>
  <c r="F80" i="2"/>
  <c r="G80" i="2"/>
  <c r="J79" i="2"/>
  <c r="N79" i="2"/>
  <c r="A79" i="2"/>
  <c r="M79" i="2"/>
  <c r="L79" i="2"/>
  <c r="H79" i="2"/>
  <c r="K79" i="2"/>
  <c r="B79" i="2"/>
  <c r="C79" i="2"/>
  <c r="I79" i="2"/>
  <c r="D79" i="2"/>
  <c r="E79" i="2"/>
  <c r="F79" i="2"/>
  <c r="G79" i="2"/>
  <c r="J78" i="2"/>
  <c r="N78" i="2"/>
  <c r="A78" i="2"/>
  <c r="M78" i="2"/>
  <c r="L78" i="2"/>
  <c r="H78" i="2"/>
  <c r="K78" i="2"/>
  <c r="B78" i="2"/>
  <c r="C78" i="2"/>
  <c r="I78" i="2"/>
  <c r="D78" i="2"/>
  <c r="E78" i="2"/>
  <c r="F78" i="2"/>
  <c r="G78" i="2"/>
  <c r="J77" i="2"/>
  <c r="N77" i="2"/>
  <c r="A77" i="2"/>
  <c r="M77" i="2"/>
  <c r="L77" i="2"/>
  <c r="H77" i="2"/>
  <c r="K77" i="2"/>
  <c r="B77" i="2"/>
  <c r="C77" i="2"/>
  <c r="I77" i="2"/>
  <c r="D77" i="2"/>
  <c r="E77" i="2"/>
  <c r="F77" i="2"/>
  <c r="G77" i="2"/>
  <c r="J76" i="2"/>
  <c r="N76" i="2"/>
  <c r="A76" i="2"/>
  <c r="M76" i="2"/>
  <c r="L76" i="2"/>
  <c r="H76" i="2"/>
  <c r="K76" i="2"/>
  <c r="B76" i="2"/>
  <c r="C76" i="2"/>
  <c r="I76" i="2"/>
  <c r="D76" i="2"/>
  <c r="E76" i="2"/>
  <c r="F76" i="2"/>
  <c r="G76" i="2"/>
  <c r="J75" i="2"/>
  <c r="N75" i="2"/>
  <c r="A75" i="2"/>
  <c r="M75" i="2"/>
  <c r="L75" i="2"/>
  <c r="H75" i="2"/>
  <c r="K75" i="2"/>
  <c r="B75" i="2"/>
  <c r="C75" i="2"/>
  <c r="I75" i="2"/>
  <c r="D75" i="2"/>
  <c r="E75" i="2"/>
  <c r="F75" i="2"/>
  <c r="G75" i="2"/>
  <c r="J74" i="2"/>
  <c r="N74" i="2"/>
  <c r="A74" i="2"/>
  <c r="M74" i="2"/>
  <c r="L74" i="2"/>
  <c r="H74" i="2"/>
  <c r="K74" i="2"/>
  <c r="B74" i="2"/>
  <c r="C74" i="2"/>
  <c r="I74" i="2"/>
  <c r="D74" i="2"/>
  <c r="E74" i="2"/>
  <c r="F74" i="2"/>
  <c r="G74" i="2"/>
  <c r="J73" i="2"/>
  <c r="N73" i="2"/>
  <c r="A73" i="2"/>
  <c r="M73" i="2"/>
  <c r="L73" i="2"/>
  <c r="H73" i="2"/>
  <c r="K73" i="2"/>
  <c r="B73" i="2"/>
  <c r="C73" i="2"/>
  <c r="I73" i="2"/>
  <c r="D73" i="2"/>
  <c r="E73" i="2"/>
  <c r="F73" i="2"/>
  <c r="G73" i="2"/>
  <c r="J72" i="2"/>
  <c r="N72" i="2"/>
  <c r="A72" i="2"/>
  <c r="M72" i="2"/>
  <c r="L72" i="2"/>
  <c r="H72" i="2"/>
  <c r="K72" i="2"/>
  <c r="B72" i="2"/>
  <c r="C72" i="2"/>
  <c r="I72" i="2"/>
  <c r="D72" i="2"/>
  <c r="E72" i="2"/>
  <c r="F72" i="2"/>
  <c r="G72" i="2"/>
  <c r="J71" i="2"/>
  <c r="N71" i="2"/>
  <c r="A71" i="2"/>
  <c r="M71" i="2"/>
  <c r="L71" i="2"/>
  <c r="H71" i="2"/>
  <c r="K71" i="2"/>
  <c r="B71" i="2"/>
  <c r="C71" i="2"/>
  <c r="I71" i="2"/>
  <c r="D71" i="2"/>
  <c r="E71" i="2"/>
  <c r="F71" i="2"/>
  <c r="G71" i="2"/>
  <c r="J70" i="2"/>
  <c r="N70" i="2"/>
  <c r="A70" i="2"/>
  <c r="M70" i="2"/>
  <c r="L70" i="2"/>
  <c r="H70" i="2"/>
  <c r="K70" i="2"/>
  <c r="B70" i="2"/>
  <c r="C70" i="2"/>
  <c r="I70" i="2"/>
  <c r="D70" i="2"/>
  <c r="E70" i="2"/>
  <c r="F70" i="2"/>
  <c r="G70" i="2"/>
  <c r="J69" i="2"/>
  <c r="N69" i="2"/>
  <c r="A69" i="2"/>
  <c r="M69" i="2"/>
  <c r="L69" i="2"/>
  <c r="H69" i="2"/>
  <c r="K69" i="2"/>
  <c r="B69" i="2"/>
  <c r="C69" i="2"/>
  <c r="I69" i="2"/>
  <c r="D69" i="2"/>
  <c r="E69" i="2"/>
  <c r="F69" i="2"/>
  <c r="G69" i="2"/>
  <c r="J68" i="2"/>
  <c r="N68" i="2"/>
  <c r="A68" i="2"/>
  <c r="M68" i="2"/>
  <c r="L68" i="2"/>
  <c r="H68" i="2"/>
  <c r="K68" i="2"/>
  <c r="B68" i="2"/>
  <c r="C68" i="2"/>
  <c r="I68" i="2"/>
  <c r="D68" i="2"/>
  <c r="E68" i="2"/>
  <c r="F68" i="2"/>
  <c r="G68" i="2"/>
  <c r="J67" i="2"/>
  <c r="N67" i="2"/>
  <c r="A67" i="2"/>
  <c r="M67" i="2"/>
  <c r="L67" i="2"/>
  <c r="H67" i="2"/>
  <c r="K67" i="2"/>
  <c r="B67" i="2"/>
  <c r="C67" i="2"/>
  <c r="I67" i="2"/>
  <c r="D67" i="2"/>
  <c r="E67" i="2"/>
  <c r="F67" i="2"/>
  <c r="G67" i="2"/>
  <c r="J66" i="2"/>
  <c r="N66" i="2"/>
  <c r="A66" i="2"/>
  <c r="M66" i="2"/>
  <c r="L66" i="2"/>
  <c r="H66" i="2"/>
  <c r="K66" i="2"/>
  <c r="B66" i="2"/>
  <c r="C66" i="2"/>
  <c r="I66" i="2"/>
  <c r="D66" i="2"/>
  <c r="E66" i="2"/>
  <c r="F66" i="2"/>
  <c r="G66" i="2"/>
  <c r="J65" i="2"/>
  <c r="N65" i="2"/>
  <c r="A65" i="2"/>
  <c r="M65" i="2"/>
  <c r="L65" i="2"/>
  <c r="H65" i="2"/>
  <c r="K65" i="2"/>
  <c r="B65" i="2"/>
  <c r="C65" i="2"/>
  <c r="I65" i="2"/>
  <c r="D65" i="2"/>
  <c r="E65" i="2"/>
  <c r="F65" i="2"/>
  <c r="G65" i="2"/>
  <c r="J64" i="2"/>
  <c r="N64" i="2"/>
  <c r="A64" i="2"/>
  <c r="M64" i="2"/>
  <c r="L64" i="2"/>
  <c r="H64" i="2"/>
  <c r="K64" i="2"/>
  <c r="B64" i="2"/>
  <c r="C64" i="2"/>
  <c r="I64" i="2"/>
  <c r="D64" i="2"/>
  <c r="E64" i="2"/>
  <c r="F64" i="2"/>
  <c r="G64" i="2"/>
  <c r="J63" i="2"/>
  <c r="N63" i="2"/>
  <c r="A63" i="2"/>
  <c r="M63" i="2"/>
  <c r="L63" i="2"/>
  <c r="H63" i="2"/>
  <c r="K63" i="2"/>
  <c r="B63" i="2"/>
  <c r="C63" i="2"/>
  <c r="I63" i="2"/>
  <c r="D63" i="2"/>
  <c r="E63" i="2"/>
  <c r="F63" i="2"/>
  <c r="G63" i="2"/>
  <c r="J62" i="2"/>
  <c r="N62" i="2"/>
  <c r="A62" i="2"/>
  <c r="M62" i="2"/>
  <c r="L62" i="2"/>
  <c r="H62" i="2"/>
  <c r="K62" i="2"/>
  <c r="B62" i="2"/>
  <c r="C62" i="2"/>
  <c r="I62" i="2"/>
  <c r="D62" i="2"/>
  <c r="E62" i="2"/>
  <c r="F62" i="2"/>
  <c r="G62" i="2"/>
  <c r="J61" i="2"/>
  <c r="N61" i="2"/>
  <c r="A61" i="2"/>
  <c r="M61" i="2"/>
  <c r="L61" i="2"/>
  <c r="H61" i="2"/>
  <c r="K61" i="2"/>
  <c r="B61" i="2"/>
  <c r="C61" i="2"/>
  <c r="I61" i="2"/>
  <c r="D61" i="2"/>
  <c r="E61" i="2"/>
  <c r="F61" i="2"/>
  <c r="G61" i="2"/>
  <c r="J60" i="2"/>
  <c r="N60" i="2"/>
  <c r="A60" i="2"/>
  <c r="M60" i="2"/>
  <c r="L60" i="2"/>
  <c r="H60" i="2"/>
  <c r="K60" i="2"/>
  <c r="B60" i="2"/>
  <c r="C60" i="2"/>
  <c r="I60" i="2"/>
  <c r="D60" i="2"/>
  <c r="E60" i="2"/>
  <c r="F60" i="2"/>
  <c r="G60" i="2"/>
  <c r="J59" i="2"/>
  <c r="N59" i="2"/>
  <c r="A59" i="2"/>
  <c r="M59" i="2"/>
  <c r="L59" i="2"/>
  <c r="H59" i="2"/>
  <c r="K59" i="2"/>
  <c r="B59" i="2"/>
  <c r="C59" i="2"/>
  <c r="I59" i="2"/>
  <c r="D59" i="2"/>
  <c r="E59" i="2"/>
  <c r="F59" i="2"/>
  <c r="G59" i="2"/>
  <c r="J58" i="2"/>
  <c r="N58" i="2"/>
  <c r="A58" i="2"/>
  <c r="M58" i="2"/>
  <c r="L58" i="2"/>
  <c r="H58" i="2"/>
  <c r="K58" i="2"/>
  <c r="B58" i="2"/>
  <c r="C58" i="2"/>
  <c r="I58" i="2"/>
  <c r="D58" i="2"/>
  <c r="E58" i="2"/>
  <c r="F58" i="2"/>
  <c r="G58" i="2"/>
  <c r="J57" i="2"/>
  <c r="N57" i="2"/>
  <c r="A57" i="2"/>
  <c r="M57" i="2"/>
  <c r="L57" i="2"/>
  <c r="H57" i="2"/>
  <c r="K57" i="2"/>
  <c r="B57" i="2"/>
  <c r="C57" i="2"/>
  <c r="I57" i="2"/>
  <c r="D57" i="2"/>
  <c r="E57" i="2"/>
  <c r="F57" i="2"/>
  <c r="G57" i="2"/>
  <c r="J56" i="2"/>
  <c r="N56" i="2"/>
  <c r="A56" i="2"/>
  <c r="M56" i="2"/>
  <c r="L56" i="2"/>
  <c r="H56" i="2"/>
  <c r="K56" i="2"/>
  <c r="B56" i="2"/>
  <c r="C56" i="2"/>
  <c r="I56" i="2"/>
  <c r="D56" i="2"/>
  <c r="E56" i="2"/>
  <c r="F56" i="2"/>
  <c r="G56" i="2"/>
  <c r="J55" i="2"/>
  <c r="N55" i="2"/>
  <c r="A55" i="2"/>
  <c r="M55" i="2"/>
  <c r="L55" i="2"/>
  <c r="H55" i="2"/>
  <c r="K55" i="2"/>
  <c r="B55" i="2"/>
  <c r="C55" i="2"/>
  <c r="I55" i="2"/>
  <c r="D55" i="2"/>
  <c r="E55" i="2"/>
  <c r="F55" i="2"/>
  <c r="G55" i="2"/>
  <c r="J54" i="2"/>
  <c r="N54" i="2"/>
  <c r="A54" i="2"/>
  <c r="M54" i="2"/>
  <c r="L54" i="2"/>
  <c r="H54" i="2"/>
  <c r="K54" i="2"/>
  <c r="B54" i="2"/>
  <c r="C54" i="2"/>
  <c r="I54" i="2"/>
  <c r="D54" i="2"/>
  <c r="E54" i="2"/>
  <c r="F54" i="2"/>
  <c r="G54" i="2"/>
  <c r="J53" i="2"/>
  <c r="N53" i="2"/>
  <c r="A53" i="2"/>
  <c r="M53" i="2"/>
  <c r="L53" i="2"/>
  <c r="H53" i="2"/>
  <c r="K53" i="2"/>
  <c r="B53" i="2"/>
  <c r="C53" i="2"/>
  <c r="I53" i="2"/>
  <c r="D53" i="2"/>
  <c r="E53" i="2"/>
  <c r="F53" i="2"/>
  <c r="G53" i="2"/>
  <c r="J52" i="2"/>
  <c r="N52" i="2"/>
  <c r="A52" i="2"/>
  <c r="M52" i="2"/>
  <c r="L52" i="2"/>
  <c r="H52" i="2"/>
  <c r="K52" i="2"/>
  <c r="B52" i="2"/>
  <c r="C52" i="2"/>
  <c r="I52" i="2"/>
  <c r="D52" i="2"/>
  <c r="E52" i="2"/>
  <c r="F52" i="2"/>
  <c r="G52" i="2"/>
  <c r="J51" i="2"/>
  <c r="N51" i="2"/>
  <c r="A51" i="2"/>
  <c r="M51" i="2"/>
  <c r="L51" i="2"/>
  <c r="H51" i="2"/>
  <c r="K51" i="2"/>
  <c r="B51" i="2"/>
  <c r="C51" i="2"/>
  <c r="I51" i="2"/>
  <c r="D51" i="2"/>
  <c r="E51" i="2"/>
  <c r="F51" i="2"/>
  <c r="G51" i="2"/>
  <c r="J50" i="2"/>
  <c r="N50" i="2"/>
  <c r="A50" i="2"/>
  <c r="M50" i="2"/>
  <c r="L50" i="2"/>
  <c r="H50" i="2"/>
  <c r="K50" i="2"/>
  <c r="B50" i="2"/>
  <c r="C50" i="2"/>
  <c r="I50" i="2"/>
  <c r="D50" i="2"/>
  <c r="E50" i="2"/>
  <c r="F50" i="2"/>
  <c r="G50" i="2"/>
  <c r="J49" i="2"/>
  <c r="N49" i="2"/>
  <c r="A49" i="2"/>
  <c r="M49" i="2"/>
  <c r="L49" i="2"/>
  <c r="H49" i="2"/>
  <c r="K49" i="2"/>
  <c r="B49" i="2"/>
  <c r="C49" i="2"/>
  <c r="I49" i="2"/>
  <c r="D49" i="2"/>
  <c r="E49" i="2"/>
  <c r="F49" i="2"/>
  <c r="G49" i="2"/>
  <c r="J48" i="2"/>
  <c r="N48" i="2"/>
  <c r="A48" i="2"/>
  <c r="M48" i="2"/>
  <c r="L48" i="2"/>
  <c r="H48" i="2"/>
  <c r="K48" i="2"/>
  <c r="B48" i="2"/>
  <c r="C48" i="2"/>
  <c r="I48" i="2"/>
  <c r="D48" i="2"/>
  <c r="E48" i="2"/>
  <c r="F48" i="2"/>
  <c r="G48" i="2"/>
  <c r="J47" i="2"/>
  <c r="N47" i="2"/>
  <c r="A47" i="2"/>
  <c r="M47" i="2"/>
  <c r="L47" i="2"/>
  <c r="H47" i="2"/>
  <c r="K47" i="2"/>
  <c r="B47" i="2"/>
  <c r="C47" i="2"/>
  <c r="I47" i="2"/>
  <c r="D47" i="2"/>
  <c r="E47" i="2"/>
  <c r="F47" i="2"/>
  <c r="G47" i="2"/>
  <c r="J46" i="2"/>
  <c r="N46" i="2"/>
  <c r="A46" i="2"/>
  <c r="M46" i="2"/>
  <c r="L46" i="2"/>
  <c r="H46" i="2"/>
  <c r="K46" i="2"/>
  <c r="B46" i="2"/>
  <c r="C46" i="2"/>
  <c r="I46" i="2"/>
  <c r="D46" i="2"/>
  <c r="E46" i="2"/>
  <c r="F46" i="2"/>
  <c r="G46" i="2"/>
  <c r="J45" i="2"/>
  <c r="N45" i="2"/>
  <c r="A45" i="2"/>
  <c r="M45" i="2"/>
  <c r="L45" i="2"/>
  <c r="H45" i="2"/>
  <c r="K45" i="2"/>
  <c r="B45" i="2"/>
  <c r="C45" i="2"/>
  <c r="I45" i="2"/>
  <c r="D45" i="2"/>
  <c r="E45" i="2"/>
  <c r="F45" i="2"/>
  <c r="G45" i="2"/>
  <c r="J44" i="2"/>
  <c r="N44" i="2"/>
  <c r="A44" i="2"/>
  <c r="M44" i="2"/>
  <c r="L44" i="2"/>
  <c r="H44" i="2"/>
  <c r="K44" i="2"/>
  <c r="B44" i="2"/>
  <c r="C44" i="2"/>
  <c r="I44" i="2"/>
  <c r="D44" i="2"/>
  <c r="E44" i="2"/>
  <c r="F44" i="2"/>
  <c r="G44" i="2"/>
  <c r="J43" i="2"/>
  <c r="N43" i="2"/>
  <c r="A43" i="2"/>
  <c r="M43" i="2"/>
  <c r="L43" i="2"/>
  <c r="H43" i="2"/>
  <c r="K43" i="2"/>
  <c r="B43" i="2"/>
  <c r="C43" i="2"/>
  <c r="I43" i="2"/>
  <c r="D43" i="2"/>
  <c r="E43" i="2"/>
  <c r="F43" i="2"/>
  <c r="G43" i="2"/>
  <c r="J42" i="2"/>
  <c r="N42" i="2"/>
  <c r="A42" i="2"/>
  <c r="M42" i="2"/>
  <c r="L42" i="2"/>
  <c r="H42" i="2"/>
  <c r="K42" i="2"/>
  <c r="B42" i="2"/>
  <c r="C42" i="2"/>
  <c r="I42" i="2"/>
  <c r="D42" i="2"/>
  <c r="E42" i="2"/>
  <c r="F42" i="2"/>
  <c r="G42" i="2"/>
  <c r="J41" i="2"/>
  <c r="N41" i="2"/>
  <c r="A41" i="2"/>
  <c r="M41" i="2"/>
  <c r="L41" i="2"/>
  <c r="H41" i="2"/>
  <c r="K41" i="2"/>
  <c r="B41" i="2"/>
  <c r="C41" i="2"/>
  <c r="I41" i="2"/>
  <c r="D41" i="2"/>
  <c r="E41" i="2"/>
  <c r="F41" i="2"/>
  <c r="G41" i="2"/>
  <c r="J40" i="2"/>
  <c r="N40" i="2"/>
  <c r="A40" i="2"/>
  <c r="M40" i="2"/>
  <c r="L40" i="2"/>
  <c r="H40" i="2"/>
  <c r="K40" i="2"/>
  <c r="B40" i="2"/>
  <c r="C40" i="2"/>
  <c r="I40" i="2"/>
  <c r="D40" i="2"/>
  <c r="E40" i="2"/>
  <c r="F40" i="2"/>
  <c r="G40" i="2"/>
  <c r="J39" i="2"/>
  <c r="N39" i="2"/>
  <c r="A39" i="2"/>
  <c r="M39" i="2"/>
  <c r="L39" i="2"/>
  <c r="H39" i="2"/>
  <c r="K39" i="2"/>
  <c r="B39" i="2"/>
  <c r="C39" i="2"/>
  <c r="I39" i="2"/>
  <c r="D39" i="2"/>
  <c r="E39" i="2"/>
  <c r="F39" i="2"/>
  <c r="G39" i="2"/>
  <c r="J38" i="2"/>
  <c r="N38" i="2"/>
  <c r="A38" i="2"/>
  <c r="M38" i="2"/>
  <c r="L38" i="2"/>
  <c r="H38" i="2"/>
  <c r="K38" i="2"/>
  <c r="B38" i="2"/>
  <c r="C38" i="2"/>
  <c r="I38" i="2"/>
  <c r="D38" i="2"/>
  <c r="E38" i="2"/>
  <c r="F38" i="2"/>
  <c r="G38" i="2"/>
  <c r="J37" i="2"/>
  <c r="N37" i="2"/>
  <c r="A37" i="2"/>
  <c r="M37" i="2"/>
  <c r="L37" i="2"/>
  <c r="H37" i="2"/>
  <c r="K37" i="2"/>
  <c r="B37" i="2"/>
  <c r="C37" i="2"/>
  <c r="I37" i="2"/>
  <c r="D37" i="2"/>
  <c r="E37" i="2"/>
  <c r="F37" i="2"/>
  <c r="G37" i="2"/>
  <c r="J36" i="2"/>
  <c r="N36" i="2"/>
  <c r="A36" i="2"/>
  <c r="M36" i="2"/>
  <c r="L36" i="2"/>
  <c r="H36" i="2"/>
  <c r="K36" i="2"/>
  <c r="B36" i="2"/>
  <c r="C36" i="2"/>
  <c r="I36" i="2"/>
  <c r="D36" i="2"/>
  <c r="E36" i="2"/>
  <c r="F36" i="2"/>
  <c r="G36" i="2"/>
  <c r="J35" i="2"/>
  <c r="N35" i="2"/>
  <c r="A35" i="2"/>
  <c r="M35" i="2"/>
  <c r="L35" i="2"/>
  <c r="H35" i="2"/>
  <c r="K35" i="2"/>
  <c r="B35" i="2"/>
  <c r="C35" i="2"/>
  <c r="I35" i="2"/>
  <c r="D35" i="2"/>
  <c r="E35" i="2"/>
  <c r="F35" i="2"/>
  <c r="G35" i="2"/>
  <c r="J34" i="2"/>
  <c r="N34" i="2"/>
  <c r="A34" i="2"/>
  <c r="M34" i="2"/>
  <c r="L34" i="2"/>
  <c r="H34" i="2"/>
  <c r="K34" i="2"/>
  <c r="B34" i="2"/>
  <c r="C34" i="2"/>
  <c r="I34" i="2"/>
  <c r="D34" i="2"/>
  <c r="E34" i="2"/>
  <c r="F34" i="2"/>
  <c r="G34" i="2"/>
  <c r="J33" i="2"/>
  <c r="N33" i="2"/>
  <c r="A33" i="2"/>
  <c r="M33" i="2"/>
  <c r="L33" i="2"/>
  <c r="H33" i="2"/>
  <c r="K33" i="2"/>
  <c r="B33" i="2"/>
  <c r="C33" i="2"/>
  <c r="I33" i="2"/>
  <c r="D33" i="2"/>
  <c r="E33" i="2"/>
  <c r="F33" i="2"/>
  <c r="G33" i="2"/>
  <c r="J32" i="2"/>
  <c r="N32" i="2"/>
  <c r="A32" i="2"/>
  <c r="M32" i="2"/>
  <c r="L32" i="2"/>
  <c r="H32" i="2"/>
  <c r="K32" i="2"/>
  <c r="B32" i="2"/>
  <c r="C32" i="2"/>
  <c r="I32" i="2"/>
  <c r="D32" i="2"/>
  <c r="E32" i="2"/>
  <c r="F32" i="2"/>
  <c r="G32" i="2"/>
  <c r="J31" i="2"/>
  <c r="N31" i="2"/>
  <c r="A31" i="2"/>
  <c r="M31" i="2"/>
  <c r="L31" i="2"/>
  <c r="H31" i="2"/>
  <c r="K31" i="2"/>
  <c r="B31" i="2"/>
  <c r="C31" i="2"/>
  <c r="I31" i="2"/>
  <c r="D31" i="2"/>
  <c r="E31" i="2"/>
  <c r="F31" i="2"/>
  <c r="G31" i="2"/>
  <c r="J30" i="2"/>
  <c r="N30" i="2"/>
  <c r="A30" i="2"/>
  <c r="M30" i="2"/>
  <c r="L30" i="2"/>
  <c r="H30" i="2"/>
  <c r="K30" i="2"/>
  <c r="B30" i="2"/>
  <c r="C30" i="2"/>
  <c r="I30" i="2"/>
  <c r="D30" i="2"/>
  <c r="E30" i="2"/>
  <c r="F30" i="2"/>
  <c r="G30" i="2"/>
  <c r="J29" i="2"/>
  <c r="N29" i="2"/>
  <c r="A29" i="2"/>
  <c r="M29" i="2"/>
  <c r="L29" i="2"/>
  <c r="H29" i="2"/>
  <c r="K29" i="2"/>
  <c r="B29" i="2"/>
  <c r="C29" i="2"/>
  <c r="I29" i="2"/>
  <c r="D29" i="2"/>
  <c r="E29" i="2"/>
  <c r="F29" i="2"/>
  <c r="G29" i="2"/>
  <c r="J28" i="2"/>
  <c r="N28" i="2"/>
  <c r="A28" i="2"/>
  <c r="M28" i="2"/>
  <c r="L28" i="2"/>
  <c r="H28" i="2"/>
  <c r="K28" i="2"/>
  <c r="B28" i="2"/>
  <c r="C28" i="2"/>
  <c r="I28" i="2"/>
  <c r="D28" i="2"/>
  <c r="E28" i="2"/>
  <c r="F28" i="2"/>
  <c r="G28" i="2"/>
  <c r="J27" i="2"/>
  <c r="N27" i="2"/>
  <c r="A27" i="2"/>
  <c r="M27" i="2"/>
  <c r="L27" i="2"/>
  <c r="H27" i="2"/>
  <c r="K27" i="2"/>
  <c r="B27" i="2"/>
  <c r="C27" i="2"/>
  <c r="I27" i="2"/>
  <c r="D27" i="2"/>
  <c r="E27" i="2"/>
  <c r="F27" i="2"/>
  <c r="G27" i="2"/>
  <c r="J26" i="2"/>
  <c r="N26" i="2"/>
  <c r="A26" i="2"/>
  <c r="J2" i="2"/>
  <c r="N2" i="2"/>
  <c r="J3" i="2"/>
  <c r="N3" i="2"/>
  <c r="J4" i="2"/>
  <c r="N4" i="2"/>
  <c r="J5" i="2"/>
  <c r="N5" i="2"/>
  <c r="J6" i="2"/>
  <c r="N6" i="2"/>
  <c r="J7" i="2"/>
  <c r="N7" i="2"/>
  <c r="J8" i="2"/>
  <c r="N8" i="2"/>
  <c r="J9" i="2"/>
  <c r="N9" i="2"/>
  <c r="J10" i="2"/>
  <c r="N10" i="2"/>
  <c r="J11" i="2"/>
  <c r="N11" i="2"/>
  <c r="J12" i="2"/>
  <c r="N12" i="2"/>
  <c r="J13" i="2"/>
  <c r="N13" i="2"/>
  <c r="J14" i="2"/>
  <c r="N14" i="2"/>
  <c r="J15" i="2"/>
  <c r="N15" i="2"/>
  <c r="J16" i="2"/>
  <c r="N16" i="2"/>
  <c r="J17" i="2"/>
  <c r="N17" i="2"/>
  <c r="J18" i="2"/>
  <c r="N18" i="2"/>
  <c r="J19" i="2"/>
  <c r="N19" i="2"/>
  <c r="J20" i="2"/>
  <c r="N20" i="2"/>
  <c r="J21" i="2"/>
  <c r="N21" i="2"/>
  <c r="J22" i="2"/>
  <c r="N22" i="2"/>
  <c r="J23" i="2"/>
  <c r="N23" i="2"/>
  <c r="J24" i="2"/>
  <c r="N24" i="2"/>
  <c r="J25" i="2"/>
  <c r="N25" i="2"/>
  <c r="H2" i="2"/>
  <c r="K2" i="2"/>
  <c r="H3" i="2"/>
  <c r="K3" i="2"/>
  <c r="H4" i="2"/>
  <c r="K4" i="2"/>
  <c r="H5" i="2"/>
  <c r="K5" i="2"/>
  <c r="H6" i="2"/>
  <c r="K6" i="2"/>
  <c r="H7" i="2"/>
  <c r="K7" i="2"/>
  <c r="H8" i="2"/>
  <c r="K8" i="2"/>
  <c r="H9" i="2"/>
  <c r="K9" i="2"/>
  <c r="H10" i="2"/>
  <c r="K10" i="2"/>
  <c r="H11" i="2"/>
  <c r="K11" i="2"/>
  <c r="H12" i="2"/>
  <c r="K12" i="2"/>
  <c r="H13" i="2"/>
  <c r="K13" i="2"/>
  <c r="H14" i="2"/>
  <c r="K14" i="2"/>
  <c r="H15" i="2"/>
  <c r="K15" i="2"/>
  <c r="H16" i="2"/>
  <c r="K16" i="2"/>
  <c r="H17" i="2"/>
  <c r="K17" i="2"/>
  <c r="H18" i="2"/>
  <c r="K18" i="2"/>
  <c r="H19" i="2"/>
  <c r="K19" i="2"/>
  <c r="H20" i="2"/>
  <c r="K20" i="2"/>
  <c r="H21" i="2"/>
  <c r="K21" i="2"/>
  <c r="H22" i="2"/>
  <c r="K22" i="2"/>
  <c r="H23" i="2"/>
  <c r="K23" i="2"/>
  <c r="H24" i="2"/>
  <c r="K24" i="2"/>
  <c r="H25" i="2"/>
  <c r="K25" i="2"/>
  <c r="H26" i="2"/>
  <c r="K26" i="2"/>
  <c r="M2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L26" i="2"/>
  <c r="B26" i="2"/>
  <c r="B25" i="2"/>
  <c r="C26" i="2"/>
  <c r="I26" i="2"/>
  <c r="D26" i="2"/>
  <c r="E26" i="2"/>
  <c r="F26" i="2"/>
  <c r="G26" i="2"/>
  <c r="M25" i="2"/>
  <c r="L25" i="2"/>
  <c r="B24" i="2"/>
  <c r="C25" i="2"/>
  <c r="I25" i="2"/>
  <c r="D25" i="2"/>
  <c r="E25" i="2"/>
  <c r="F25" i="2"/>
  <c r="G25" i="2"/>
  <c r="M24" i="2"/>
  <c r="L24" i="2"/>
  <c r="B23" i="2"/>
  <c r="C24" i="2"/>
  <c r="I24" i="2"/>
  <c r="D24" i="2"/>
  <c r="E24" i="2"/>
  <c r="F24" i="2"/>
  <c r="G24" i="2"/>
  <c r="M23" i="2"/>
  <c r="L23" i="2"/>
  <c r="B22" i="2"/>
  <c r="C23" i="2"/>
  <c r="I23" i="2"/>
  <c r="D23" i="2"/>
  <c r="E23" i="2"/>
  <c r="F23" i="2"/>
  <c r="G23" i="2"/>
  <c r="M22" i="2"/>
  <c r="L22" i="2"/>
  <c r="B21" i="2"/>
  <c r="C22" i="2"/>
  <c r="I22" i="2"/>
  <c r="D22" i="2"/>
  <c r="E22" i="2"/>
  <c r="F22" i="2"/>
  <c r="G22" i="2"/>
  <c r="M21" i="2"/>
  <c r="L21" i="2"/>
  <c r="B20" i="2"/>
  <c r="C21" i="2"/>
  <c r="I21" i="2"/>
  <c r="D21" i="2"/>
  <c r="E21" i="2"/>
  <c r="F21" i="2"/>
  <c r="G21" i="2"/>
  <c r="M20" i="2"/>
  <c r="L20" i="2"/>
  <c r="B19" i="2"/>
  <c r="C20" i="2"/>
  <c r="I20" i="2"/>
  <c r="D20" i="2"/>
  <c r="E20" i="2"/>
  <c r="F20" i="2"/>
  <c r="G20" i="2"/>
  <c r="M19" i="2"/>
  <c r="L19" i="2"/>
  <c r="B18" i="2"/>
  <c r="C19" i="2"/>
  <c r="I19" i="2"/>
  <c r="D19" i="2"/>
  <c r="E19" i="2"/>
  <c r="F19" i="2"/>
  <c r="G19" i="2"/>
  <c r="M18" i="2"/>
  <c r="L18" i="2"/>
  <c r="B17" i="2"/>
  <c r="C18" i="2"/>
  <c r="I18" i="2"/>
  <c r="D18" i="2"/>
  <c r="E18" i="2"/>
  <c r="F18" i="2"/>
  <c r="G18" i="2"/>
  <c r="M17" i="2"/>
  <c r="L17" i="2"/>
  <c r="B16" i="2"/>
  <c r="C17" i="2"/>
  <c r="I17" i="2"/>
  <c r="D17" i="2"/>
  <c r="E17" i="2"/>
  <c r="F17" i="2"/>
  <c r="G17" i="2"/>
  <c r="M16" i="2"/>
  <c r="L16" i="2"/>
  <c r="B15" i="2"/>
  <c r="C16" i="2"/>
  <c r="I16" i="2"/>
  <c r="D16" i="2"/>
  <c r="E16" i="2"/>
  <c r="F16" i="2"/>
  <c r="G16" i="2"/>
  <c r="M15" i="2"/>
  <c r="L15" i="2"/>
  <c r="B14" i="2"/>
  <c r="C15" i="2"/>
  <c r="I15" i="2"/>
  <c r="D15" i="2"/>
  <c r="E15" i="2"/>
  <c r="F15" i="2"/>
  <c r="G15" i="2"/>
  <c r="M14" i="2"/>
  <c r="L14" i="2"/>
  <c r="B13" i="2"/>
  <c r="C14" i="2"/>
  <c r="I14" i="2"/>
  <c r="D14" i="2"/>
  <c r="E14" i="2"/>
  <c r="F14" i="2"/>
  <c r="G14" i="2"/>
  <c r="M13" i="2"/>
  <c r="L13" i="2"/>
  <c r="B12" i="2"/>
  <c r="C13" i="2"/>
  <c r="I13" i="2"/>
  <c r="D13" i="2"/>
  <c r="E13" i="2"/>
  <c r="F13" i="2"/>
  <c r="G13" i="2"/>
  <c r="M12" i="2"/>
  <c r="L12" i="2"/>
  <c r="B11" i="2"/>
  <c r="C12" i="2"/>
  <c r="I12" i="2"/>
  <c r="D12" i="2"/>
  <c r="E12" i="2"/>
  <c r="F12" i="2"/>
  <c r="G12" i="2"/>
  <c r="M11" i="2"/>
  <c r="L11" i="2"/>
  <c r="B10" i="2"/>
  <c r="C11" i="2"/>
  <c r="I11" i="2"/>
  <c r="D11" i="2"/>
  <c r="E11" i="2"/>
  <c r="F11" i="2"/>
  <c r="G11" i="2"/>
  <c r="M10" i="2"/>
  <c r="L10" i="2"/>
  <c r="B9" i="2"/>
  <c r="C10" i="2"/>
  <c r="I10" i="2"/>
  <c r="D10" i="2"/>
  <c r="E10" i="2"/>
  <c r="F10" i="2"/>
  <c r="G10" i="2"/>
  <c r="M9" i="2"/>
  <c r="L9" i="2"/>
  <c r="B8" i="2"/>
  <c r="C9" i="2"/>
  <c r="I9" i="2"/>
  <c r="D9" i="2"/>
  <c r="E9" i="2"/>
  <c r="F9" i="2"/>
  <c r="G9" i="2"/>
  <c r="M8" i="2"/>
  <c r="L8" i="2"/>
  <c r="B7" i="2"/>
  <c r="C8" i="2"/>
  <c r="I8" i="2"/>
  <c r="D8" i="2"/>
  <c r="E8" i="2"/>
  <c r="F8" i="2"/>
  <c r="G8" i="2"/>
  <c r="M7" i="2"/>
  <c r="L7" i="2"/>
  <c r="B6" i="2"/>
  <c r="C7" i="2"/>
  <c r="I7" i="2"/>
  <c r="D7" i="2"/>
  <c r="E7" i="2"/>
  <c r="F7" i="2"/>
  <c r="G7" i="2"/>
  <c r="M6" i="2"/>
  <c r="L6" i="2"/>
  <c r="B5" i="2"/>
  <c r="C6" i="2"/>
  <c r="I6" i="2"/>
  <c r="D6" i="2"/>
  <c r="E6" i="2"/>
  <c r="F6" i="2"/>
  <c r="G6" i="2"/>
  <c r="M5" i="2"/>
  <c r="L5" i="2"/>
  <c r="B4" i="2"/>
  <c r="C5" i="2"/>
  <c r="I5" i="2"/>
  <c r="D5" i="2"/>
  <c r="E5" i="2"/>
  <c r="F5" i="2"/>
  <c r="G5" i="2"/>
  <c r="M4" i="2"/>
  <c r="L4" i="2"/>
  <c r="B3" i="2"/>
  <c r="C4" i="2"/>
  <c r="I4" i="2"/>
  <c r="D4" i="2"/>
  <c r="E4" i="2"/>
  <c r="F4" i="2"/>
  <c r="G4" i="2"/>
  <c r="M3" i="2"/>
  <c r="L3" i="2"/>
  <c r="B2" i="2"/>
  <c r="C3" i="2"/>
  <c r="I3" i="2"/>
  <c r="D3" i="2"/>
  <c r="E3" i="2"/>
  <c r="F3" i="2"/>
  <c r="G3" i="2"/>
  <c r="M2" i="2"/>
  <c r="L2" i="2"/>
  <c r="C2" i="2"/>
  <c r="I2" i="2"/>
  <c r="D2" i="2"/>
  <c r="E2" i="2"/>
  <c r="F2" i="2"/>
  <c r="G2" i="2"/>
  <c r="P1001" i="1"/>
  <c r="M1001" i="1"/>
  <c r="L1001" i="1"/>
  <c r="D1001" i="1"/>
  <c r="J1001" i="1"/>
  <c r="G1001" i="1"/>
  <c r="H1001" i="1"/>
  <c r="P1000" i="1"/>
  <c r="M1000" i="1"/>
  <c r="L1000" i="1"/>
  <c r="D1000" i="1"/>
  <c r="J1000" i="1"/>
  <c r="G1000" i="1"/>
  <c r="H1000" i="1"/>
  <c r="P999" i="1"/>
  <c r="O999" i="1"/>
  <c r="M999" i="1"/>
  <c r="L999" i="1"/>
  <c r="D999" i="1"/>
  <c r="J999" i="1"/>
  <c r="G999" i="1"/>
  <c r="H999" i="1"/>
  <c r="A999" i="1"/>
  <c r="P998" i="1"/>
  <c r="O998" i="1"/>
  <c r="M998" i="1"/>
  <c r="L998" i="1"/>
  <c r="D998" i="1"/>
  <c r="J998" i="1"/>
  <c r="G998" i="1"/>
  <c r="H998" i="1"/>
  <c r="A998" i="1"/>
  <c r="P997" i="1"/>
  <c r="O997" i="1"/>
  <c r="M997" i="1"/>
  <c r="L997" i="1"/>
  <c r="D997" i="1"/>
  <c r="J997" i="1"/>
  <c r="G997" i="1"/>
  <c r="H997" i="1"/>
  <c r="A997" i="1"/>
  <c r="P996" i="1"/>
  <c r="O996" i="1"/>
  <c r="M996" i="1"/>
  <c r="L996" i="1"/>
  <c r="D996" i="1"/>
  <c r="J996" i="1"/>
  <c r="G996" i="1"/>
  <c r="H996" i="1"/>
  <c r="A996" i="1"/>
  <c r="P995" i="1"/>
  <c r="O995" i="1"/>
  <c r="M995" i="1"/>
  <c r="L995" i="1"/>
  <c r="D995" i="1"/>
  <c r="J995" i="1"/>
  <c r="G995" i="1"/>
  <c r="H995" i="1"/>
  <c r="A995" i="1"/>
  <c r="P994" i="1"/>
  <c r="O994" i="1"/>
  <c r="M994" i="1"/>
  <c r="L994" i="1"/>
  <c r="D994" i="1"/>
  <c r="J994" i="1"/>
  <c r="G994" i="1"/>
  <c r="H994" i="1"/>
  <c r="A994" i="1"/>
  <c r="P993" i="1"/>
  <c r="O993" i="1"/>
  <c r="M993" i="1"/>
  <c r="L993" i="1"/>
  <c r="D993" i="1"/>
  <c r="J993" i="1"/>
  <c r="G993" i="1"/>
  <c r="H993" i="1"/>
  <c r="A993" i="1"/>
  <c r="P992" i="1"/>
  <c r="O992" i="1"/>
  <c r="M992" i="1"/>
  <c r="L992" i="1"/>
  <c r="D992" i="1"/>
  <c r="J992" i="1"/>
  <c r="G992" i="1"/>
  <c r="H992" i="1"/>
  <c r="A992" i="1"/>
  <c r="P991" i="1"/>
  <c r="O991" i="1"/>
  <c r="M991" i="1"/>
  <c r="L991" i="1"/>
  <c r="D991" i="1"/>
  <c r="J991" i="1"/>
  <c r="G991" i="1"/>
  <c r="H991" i="1"/>
  <c r="A991" i="1"/>
  <c r="P990" i="1"/>
  <c r="O990" i="1"/>
  <c r="M990" i="1"/>
  <c r="L990" i="1"/>
  <c r="D990" i="1"/>
  <c r="J990" i="1"/>
  <c r="G990" i="1"/>
  <c r="H990" i="1"/>
  <c r="A990" i="1"/>
  <c r="P989" i="1"/>
  <c r="O989" i="1"/>
  <c r="M989" i="1"/>
  <c r="L989" i="1"/>
  <c r="D989" i="1"/>
  <c r="J989" i="1"/>
  <c r="G989" i="1"/>
  <c r="H989" i="1"/>
  <c r="A989" i="1"/>
  <c r="P988" i="1"/>
  <c r="O988" i="1"/>
  <c r="M988" i="1"/>
  <c r="L988" i="1"/>
  <c r="D988" i="1"/>
  <c r="J988" i="1"/>
  <c r="G988" i="1"/>
  <c r="H988" i="1"/>
  <c r="A988" i="1"/>
  <c r="P987" i="1"/>
  <c r="O987" i="1"/>
  <c r="M987" i="1"/>
  <c r="L987" i="1"/>
  <c r="D987" i="1"/>
  <c r="J987" i="1"/>
  <c r="G987" i="1"/>
  <c r="H987" i="1"/>
  <c r="A987" i="1"/>
  <c r="P986" i="1"/>
  <c r="O986" i="1"/>
  <c r="M986" i="1"/>
  <c r="L986" i="1"/>
  <c r="D986" i="1"/>
  <c r="J986" i="1"/>
  <c r="G986" i="1"/>
  <c r="H986" i="1"/>
  <c r="A986" i="1"/>
  <c r="P985" i="1"/>
  <c r="O985" i="1"/>
  <c r="M985" i="1"/>
  <c r="L985" i="1"/>
  <c r="D985" i="1"/>
  <c r="J985" i="1"/>
  <c r="G985" i="1"/>
  <c r="H985" i="1"/>
  <c r="A985" i="1"/>
  <c r="P984" i="1"/>
  <c r="O984" i="1"/>
  <c r="M984" i="1"/>
  <c r="L984" i="1"/>
  <c r="D984" i="1"/>
  <c r="J984" i="1"/>
  <c r="G984" i="1"/>
  <c r="H984" i="1"/>
  <c r="A984" i="1"/>
  <c r="P983" i="1"/>
  <c r="O983" i="1"/>
  <c r="M983" i="1"/>
  <c r="L983" i="1"/>
  <c r="D983" i="1"/>
  <c r="J983" i="1"/>
  <c r="G983" i="1"/>
  <c r="H983" i="1"/>
  <c r="A983" i="1"/>
  <c r="P982" i="1"/>
  <c r="O982" i="1"/>
  <c r="M982" i="1"/>
  <c r="L982" i="1"/>
  <c r="D982" i="1"/>
  <c r="J982" i="1"/>
  <c r="G982" i="1"/>
  <c r="H982" i="1"/>
  <c r="A982" i="1"/>
  <c r="P981" i="1"/>
  <c r="O981" i="1"/>
  <c r="M981" i="1"/>
  <c r="L981" i="1"/>
  <c r="D981" i="1"/>
  <c r="J981" i="1"/>
  <c r="G981" i="1"/>
  <c r="H981" i="1"/>
  <c r="A981" i="1"/>
  <c r="P980" i="1"/>
  <c r="O980" i="1"/>
  <c r="M980" i="1"/>
  <c r="L980" i="1"/>
  <c r="D980" i="1"/>
  <c r="J980" i="1"/>
  <c r="G980" i="1"/>
  <c r="H980" i="1"/>
  <c r="A980" i="1"/>
  <c r="P979" i="1"/>
  <c r="O979" i="1"/>
  <c r="M979" i="1"/>
  <c r="L979" i="1"/>
  <c r="D979" i="1"/>
  <c r="J979" i="1"/>
  <c r="G979" i="1"/>
  <c r="H979" i="1"/>
  <c r="A979" i="1"/>
  <c r="P978" i="1"/>
  <c r="O978" i="1"/>
  <c r="M978" i="1"/>
  <c r="L978" i="1"/>
  <c r="D978" i="1"/>
  <c r="J978" i="1"/>
  <c r="G978" i="1"/>
  <c r="H978" i="1"/>
  <c r="A978" i="1"/>
  <c r="P977" i="1"/>
  <c r="O977" i="1"/>
  <c r="M977" i="1"/>
  <c r="L977" i="1"/>
  <c r="D977" i="1"/>
  <c r="J977" i="1"/>
  <c r="G977" i="1"/>
  <c r="H977" i="1"/>
  <c r="A977" i="1"/>
  <c r="P976" i="1"/>
  <c r="O976" i="1"/>
  <c r="M976" i="1"/>
  <c r="L976" i="1"/>
  <c r="D976" i="1"/>
  <c r="J976" i="1"/>
  <c r="G976" i="1"/>
  <c r="H976" i="1"/>
  <c r="A976" i="1"/>
  <c r="P975" i="1"/>
  <c r="O975" i="1"/>
  <c r="M975" i="1"/>
  <c r="L975" i="1"/>
  <c r="D975" i="1"/>
  <c r="J975" i="1"/>
  <c r="G975" i="1"/>
  <c r="H975" i="1"/>
  <c r="A975" i="1"/>
  <c r="P974" i="1"/>
  <c r="O974" i="1"/>
  <c r="M974" i="1"/>
  <c r="L974" i="1"/>
  <c r="D974" i="1"/>
  <c r="J974" i="1"/>
  <c r="G974" i="1"/>
  <c r="H974" i="1"/>
  <c r="A974" i="1"/>
  <c r="P973" i="1"/>
  <c r="O973" i="1"/>
  <c r="M973" i="1"/>
  <c r="L973" i="1"/>
  <c r="D973" i="1"/>
  <c r="J973" i="1"/>
  <c r="G973" i="1"/>
  <c r="H973" i="1"/>
  <c r="A973" i="1"/>
  <c r="P972" i="1"/>
  <c r="O972" i="1"/>
  <c r="M972" i="1"/>
  <c r="L972" i="1"/>
  <c r="D972" i="1"/>
  <c r="J972" i="1"/>
  <c r="G972" i="1"/>
  <c r="H972" i="1"/>
  <c r="A972" i="1"/>
  <c r="P971" i="1"/>
  <c r="O971" i="1"/>
  <c r="M971" i="1"/>
  <c r="L971" i="1"/>
  <c r="D971" i="1"/>
  <c r="J971" i="1"/>
  <c r="G971" i="1"/>
  <c r="H971" i="1"/>
  <c r="A971" i="1"/>
  <c r="P970" i="1"/>
  <c r="O970" i="1"/>
  <c r="M970" i="1"/>
  <c r="L970" i="1"/>
  <c r="D970" i="1"/>
  <c r="J970" i="1"/>
  <c r="G970" i="1"/>
  <c r="H970" i="1"/>
  <c r="A970" i="1"/>
  <c r="P969" i="1"/>
  <c r="O969" i="1"/>
  <c r="M969" i="1"/>
  <c r="L969" i="1"/>
  <c r="D969" i="1"/>
  <c r="J969" i="1"/>
  <c r="G969" i="1"/>
  <c r="H969" i="1"/>
  <c r="A969" i="1"/>
  <c r="P968" i="1"/>
  <c r="O968" i="1"/>
  <c r="M968" i="1"/>
  <c r="L968" i="1"/>
  <c r="D968" i="1"/>
  <c r="J968" i="1"/>
  <c r="G968" i="1"/>
  <c r="H968" i="1"/>
  <c r="A968" i="1"/>
  <c r="P967" i="1"/>
  <c r="O967" i="1"/>
  <c r="M967" i="1"/>
  <c r="L967" i="1"/>
  <c r="D967" i="1"/>
  <c r="J967" i="1"/>
  <c r="G967" i="1"/>
  <c r="H967" i="1"/>
  <c r="A967" i="1"/>
  <c r="P966" i="1"/>
  <c r="O966" i="1"/>
  <c r="M966" i="1"/>
  <c r="L966" i="1"/>
  <c r="D966" i="1"/>
  <c r="J966" i="1"/>
  <c r="G966" i="1"/>
  <c r="H966" i="1"/>
  <c r="A966" i="1"/>
  <c r="P965" i="1"/>
  <c r="O965" i="1"/>
  <c r="M965" i="1"/>
  <c r="L965" i="1"/>
  <c r="D965" i="1"/>
  <c r="J965" i="1"/>
  <c r="G965" i="1"/>
  <c r="H965" i="1"/>
  <c r="A965" i="1"/>
  <c r="P964" i="1"/>
  <c r="O964" i="1"/>
  <c r="M964" i="1"/>
  <c r="L964" i="1"/>
  <c r="D964" i="1"/>
  <c r="J964" i="1"/>
  <c r="G964" i="1"/>
  <c r="H964" i="1"/>
  <c r="A964" i="1"/>
  <c r="P963" i="1"/>
  <c r="O963" i="1"/>
  <c r="M963" i="1"/>
  <c r="L963" i="1"/>
  <c r="D963" i="1"/>
  <c r="J963" i="1"/>
  <c r="G963" i="1"/>
  <c r="H963" i="1"/>
  <c r="A963" i="1"/>
  <c r="P962" i="1"/>
  <c r="O962" i="1"/>
  <c r="M962" i="1"/>
  <c r="L962" i="1"/>
  <c r="D962" i="1"/>
  <c r="J962" i="1"/>
  <c r="G962" i="1"/>
  <c r="H962" i="1"/>
  <c r="A962" i="1"/>
  <c r="P961" i="1"/>
  <c r="O961" i="1"/>
  <c r="M961" i="1"/>
  <c r="L961" i="1"/>
  <c r="D961" i="1"/>
  <c r="J961" i="1"/>
  <c r="G961" i="1"/>
  <c r="H961" i="1"/>
  <c r="A961" i="1"/>
  <c r="P960" i="1"/>
  <c r="O960" i="1"/>
  <c r="M960" i="1"/>
  <c r="L960" i="1"/>
  <c r="D960" i="1"/>
  <c r="J960" i="1"/>
  <c r="G960" i="1"/>
  <c r="H960" i="1"/>
  <c r="A960" i="1"/>
  <c r="P959" i="1"/>
  <c r="O959" i="1"/>
  <c r="M959" i="1"/>
  <c r="L959" i="1"/>
  <c r="D959" i="1"/>
  <c r="J959" i="1"/>
  <c r="G959" i="1"/>
  <c r="H959" i="1"/>
  <c r="A959" i="1"/>
  <c r="P958" i="1"/>
  <c r="O958" i="1"/>
  <c r="M958" i="1"/>
  <c r="L958" i="1"/>
  <c r="D958" i="1"/>
  <c r="J958" i="1"/>
  <c r="G958" i="1"/>
  <c r="H958" i="1"/>
  <c r="A958" i="1"/>
  <c r="P957" i="1"/>
  <c r="O957" i="1"/>
  <c r="M957" i="1"/>
  <c r="L957" i="1"/>
  <c r="D957" i="1"/>
  <c r="J957" i="1"/>
  <c r="G957" i="1"/>
  <c r="H957" i="1"/>
  <c r="A957" i="1"/>
  <c r="P956" i="1"/>
  <c r="O956" i="1"/>
  <c r="M956" i="1"/>
  <c r="L956" i="1"/>
  <c r="D956" i="1"/>
  <c r="J956" i="1"/>
  <c r="G956" i="1"/>
  <c r="H956" i="1"/>
  <c r="A956" i="1"/>
  <c r="P955" i="1"/>
  <c r="O955" i="1"/>
  <c r="M955" i="1"/>
  <c r="L955" i="1"/>
  <c r="D955" i="1"/>
  <c r="J955" i="1"/>
  <c r="G955" i="1"/>
  <c r="H955" i="1"/>
  <c r="A955" i="1"/>
  <c r="P954" i="1"/>
  <c r="O954" i="1"/>
  <c r="M954" i="1"/>
  <c r="L954" i="1"/>
  <c r="D954" i="1"/>
  <c r="J954" i="1"/>
  <c r="G954" i="1"/>
  <c r="H954" i="1"/>
  <c r="A954" i="1"/>
  <c r="P953" i="1"/>
  <c r="O953" i="1"/>
  <c r="M953" i="1"/>
  <c r="L953" i="1"/>
  <c r="D953" i="1"/>
  <c r="J953" i="1"/>
  <c r="G953" i="1"/>
  <c r="H953" i="1"/>
  <c r="A953" i="1"/>
  <c r="P952" i="1"/>
  <c r="O952" i="1"/>
  <c r="M952" i="1"/>
  <c r="L952" i="1"/>
  <c r="D952" i="1"/>
  <c r="J952" i="1"/>
  <c r="G952" i="1"/>
  <c r="H952" i="1"/>
  <c r="A952" i="1"/>
  <c r="P951" i="1"/>
  <c r="O951" i="1"/>
  <c r="M951" i="1"/>
  <c r="L951" i="1"/>
  <c r="D951" i="1"/>
  <c r="J951" i="1"/>
  <c r="G951" i="1"/>
  <c r="H951" i="1"/>
  <c r="A951" i="1"/>
  <c r="P950" i="1"/>
  <c r="O950" i="1"/>
  <c r="M950" i="1"/>
  <c r="L950" i="1"/>
  <c r="D950" i="1"/>
  <c r="J950" i="1"/>
  <c r="G950" i="1"/>
  <c r="H950" i="1"/>
  <c r="A950" i="1"/>
  <c r="P949" i="1"/>
  <c r="O949" i="1"/>
  <c r="M949" i="1"/>
  <c r="L949" i="1"/>
  <c r="D949" i="1"/>
  <c r="J949" i="1"/>
  <c r="G949" i="1"/>
  <c r="H949" i="1"/>
  <c r="A949" i="1"/>
  <c r="P948" i="1"/>
  <c r="O948" i="1"/>
  <c r="M948" i="1"/>
  <c r="L948" i="1"/>
  <c r="D948" i="1"/>
  <c r="J948" i="1"/>
  <c r="G948" i="1"/>
  <c r="H948" i="1"/>
  <c r="A948" i="1"/>
  <c r="P947" i="1"/>
  <c r="O947" i="1"/>
  <c r="M947" i="1"/>
  <c r="L947" i="1"/>
  <c r="D947" i="1"/>
  <c r="J947" i="1"/>
  <c r="G947" i="1"/>
  <c r="H947" i="1"/>
  <c r="A947" i="1"/>
  <c r="P946" i="1"/>
  <c r="O946" i="1"/>
  <c r="M946" i="1"/>
  <c r="L946" i="1"/>
  <c r="D946" i="1"/>
  <c r="J946" i="1"/>
  <c r="G946" i="1"/>
  <c r="H946" i="1"/>
  <c r="A946" i="1"/>
  <c r="P945" i="1"/>
  <c r="O945" i="1"/>
  <c r="M945" i="1"/>
  <c r="L945" i="1"/>
  <c r="D945" i="1"/>
  <c r="J945" i="1"/>
  <c r="G945" i="1"/>
  <c r="H945" i="1"/>
  <c r="A945" i="1"/>
  <c r="P944" i="1"/>
  <c r="O944" i="1"/>
  <c r="M944" i="1"/>
  <c r="L944" i="1"/>
  <c r="D944" i="1"/>
  <c r="J944" i="1"/>
  <c r="G944" i="1"/>
  <c r="H944" i="1"/>
  <c r="A944" i="1"/>
  <c r="P943" i="1"/>
  <c r="O943" i="1"/>
  <c r="M943" i="1"/>
  <c r="L943" i="1"/>
  <c r="D943" i="1"/>
  <c r="J943" i="1"/>
  <c r="G943" i="1"/>
  <c r="H943" i="1"/>
  <c r="A943" i="1"/>
  <c r="P942" i="1"/>
  <c r="O942" i="1"/>
  <c r="M942" i="1"/>
  <c r="L942" i="1"/>
  <c r="D942" i="1"/>
  <c r="J942" i="1"/>
  <c r="G942" i="1"/>
  <c r="H942" i="1"/>
  <c r="A942" i="1"/>
  <c r="P941" i="1"/>
  <c r="O941" i="1"/>
  <c r="M941" i="1"/>
  <c r="L941" i="1"/>
  <c r="D941" i="1"/>
  <c r="J941" i="1"/>
  <c r="G941" i="1"/>
  <c r="H941" i="1"/>
  <c r="A941" i="1"/>
  <c r="P940" i="1"/>
  <c r="O940" i="1"/>
  <c r="M940" i="1"/>
  <c r="L940" i="1"/>
  <c r="D940" i="1"/>
  <c r="J940" i="1"/>
  <c r="G940" i="1"/>
  <c r="H940" i="1"/>
  <c r="A940" i="1"/>
  <c r="P939" i="1"/>
  <c r="O939" i="1"/>
  <c r="M939" i="1"/>
  <c r="L939" i="1"/>
  <c r="D939" i="1"/>
  <c r="J939" i="1"/>
  <c r="G939" i="1"/>
  <c r="H939" i="1"/>
  <c r="A939" i="1"/>
  <c r="P938" i="1"/>
  <c r="O938" i="1"/>
  <c r="M938" i="1"/>
  <c r="L938" i="1"/>
  <c r="D938" i="1"/>
  <c r="J938" i="1"/>
  <c r="G938" i="1"/>
  <c r="H938" i="1"/>
  <c r="A938" i="1"/>
  <c r="P937" i="1"/>
  <c r="O937" i="1"/>
  <c r="M937" i="1"/>
  <c r="L937" i="1"/>
  <c r="D937" i="1"/>
  <c r="J937" i="1"/>
  <c r="G937" i="1"/>
  <c r="H937" i="1"/>
  <c r="A937" i="1"/>
  <c r="P936" i="1"/>
  <c r="O936" i="1"/>
  <c r="M936" i="1"/>
  <c r="L936" i="1"/>
  <c r="D936" i="1"/>
  <c r="J936" i="1"/>
  <c r="G936" i="1"/>
  <c r="H936" i="1"/>
  <c r="A936" i="1"/>
  <c r="P935" i="1"/>
  <c r="O935" i="1"/>
  <c r="M935" i="1"/>
  <c r="L935" i="1"/>
  <c r="D935" i="1"/>
  <c r="J935" i="1"/>
  <c r="G935" i="1"/>
  <c r="H935" i="1"/>
  <c r="A935" i="1"/>
  <c r="P934" i="1"/>
  <c r="O934" i="1"/>
  <c r="M934" i="1"/>
  <c r="L934" i="1"/>
  <c r="D934" i="1"/>
  <c r="J934" i="1"/>
  <c r="G934" i="1"/>
  <c r="H934" i="1"/>
  <c r="A934" i="1"/>
  <c r="P933" i="1"/>
  <c r="O933" i="1"/>
  <c r="M933" i="1"/>
  <c r="L933" i="1"/>
  <c r="D933" i="1"/>
  <c r="J933" i="1"/>
  <c r="G933" i="1"/>
  <c r="H933" i="1"/>
  <c r="A933" i="1"/>
  <c r="P932" i="1"/>
  <c r="O932" i="1"/>
  <c r="M932" i="1"/>
  <c r="L932" i="1"/>
  <c r="D932" i="1"/>
  <c r="J932" i="1"/>
  <c r="G932" i="1"/>
  <c r="H932" i="1"/>
  <c r="A932" i="1"/>
  <c r="P931" i="1"/>
  <c r="O931" i="1"/>
  <c r="M931" i="1"/>
  <c r="L931" i="1"/>
  <c r="D931" i="1"/>
  <c r="J931" i="1"/>
  <c r="G931" i="1"/>
  <c r="H931" i="1"/>
  <c r="A931" i="1"/>
  <c r="P930" i="1"/>
  <c r="O930" i="1"/>
  <c r="M930" i="1"/>
  <c r="L930" i="1"/>
  <c r="D930" i="1"/>
  <c r="J930" i="1"/>
  <c r="G930" i="1"/>
  <c r="H930" i="1"/>
  <c r="A930" i="1"/>
  <c r="P929" i="1"/>
  <c r="O929" i="1"/>
  <c r="M929" i="1"/>
  <c r="L929" i="1"/>
  <c r="D929" i="1"/>
  <c r="J929" i="1"/>
  <c r="G929" i="1"/>
  <c r="H929" i="1"/>
  <c r="A929" i="1"/>
  <c r="P928" i="1"/>
  <c r="O928" i="1"/>
  <c r="M928" i="1"/>
  <c r="L928" i="1"/>
  <c r="D928" i="1"/>
  <c r="J928" i="1"/>
  <c r="G928" i="1"/>
  <c r="H928" i="1"/>
  <c r="A928" i="1"/>
  <c r="P927" i="1"/>
  <c r="O927" i="1"/>
  <c r="M927" i="1"/>
  <c r="L927" i="1"/>
  <c r="D927" i="1"/>
  <c r="J927" i="1"/>
  <c r="G927" i="1"/>
  <c r="H927" i="1"/>
  <c r="A927" i="1"/>
  <c r="P926" i="1"/>
  <c r="O926" i="1"/>
  <c r="M926" i="1"/>
  <c r="L926" i="1"/>
  <c r="D926" i="1"/>
  <c r="J926" i="1"/>
  <c r="G926" i="1"/>
  <c r="H926" i="1"/>
  <c r="A926" i="1"/>
  <c r="P925" i="1"/>
  <c r="O925" i="1"/>
  <c r="M925" i="1"/>
  <c r="L925" i="1"/>
  <c r="D925" i="1"/>
  <c r="J925" i="1"/>
  <c r="G925" i="1"/>
  <c r="H925" i="1"/>
  <c r="A925" i="1"/>
  <c r="P924" i="1"/>
  <c r="O924" i="1"/>
  <c r="M924" i="1"/>
  <c r="L924" i="1"/>
  <c r="D924" i="1"/>
  <c r="J924" i="1"/>
  <c r="G924" i="1"/>
  <c r="H924" i="1"/>
  <c r="A924" i="1"/>
  <c r="P923" i="1"/>
  <c r="O923" i="1"/>
  <c r="M923" i="1"/>
  <c r="L923" i="1"/>
  <c r="D923" i="1"/>
  <c r="J923" i="1"/>
  <c r="G923" i="1"/>
  <c r="H923" i="1"/>
  <c r="A923" i="1"/>
  <c r="P922" i="1"/>
  <c r="O922" i="1"/>
  <c r="M922" i="1"/>
  <c r="L922" i="1"/>
  <c r="D922" i="1"/>
  <c r="J922" i="1"/>
  <c r="G922" i="1"/>
  <c r="H922" i="1"/>
  <c r="A922" i="1"/>
  <c r="P921" i="1"/>
  <c r="O921" i="1"/>
  <c r="M921" i="1"/>
  <c r="L921" i="1"/>
  <c r="D921" i="1"/>
  <c r="J921" i="1"/>
  <c r="G921" i="1"/>
  <c r="H921" i="1"/>
  <c r="A921" i="1"/>
  <c r="P920" i="1"/>
  <c r="O920" i="1"/>
  <c r="M920" i="1"/>
  <c r="L920" i="1"/>
  <c r="D920" i="1"/>
  <c r="J920" i="1"/>
  <c r="G920" i="1"/>
  <c r="H920" i="1"/>
  <c r="A920" i="1"/>
  <c r="P919" i="1"/>
  <c r="O919" i="1"/>
  <c r="M919" i="1"/>
  <c r="L919" i="1"/>
  <c r="D919" i="1"/>
  <c r="J919" i="1"/>
  <c r="G919" i="1"/>
  <c r="H919" i="1"/>
  <c r="A919" i="1"/>
  <c r="P918" i="1"/>
  <c r="O918" i="1"/>
  <c r="M918" i="1"/>
  <c r="L918" i="1"/>
  <c r="D918" i="1"/>
  <c r="J918" i="1"/>
  <c r="G918" i="1"/>
  <c r="H918" i="1"/>
  <c r="A918" i="1"/>
  <c r="P917" i="1"/>
  <c r="O917" i="1"/>
  <c r="M917" i="1"/>
  <c r="L917" i="1"/>
  <c r="D917" i="1"/>
  <c r="J917" i="1"/>
  <c r="G917" i="1"/>
  <c r="H917" i="1"/>
  <c r="A917" i="1"/>
  <c r="P916" i="1"/>
  <c r="O916" i="1"/>
  <c r="M916" i="1"/>
  <c r="L916" i="1"/>
  <c r="D916" i="1"/>
  <c r="J916" i="1"/>
  <c r="G916" i="1"/>
  <c r="H916" i="1"/>
  <c r="A916" i="1"/>
  <c r="P915" i="1"/>
  <c r="O915" i="1"/>
  <c r="M915" i="1"/>
  <c r="L915" i="1"/>
  <c r="D915" i="1"/>
  <c r="J915" i="1"/>
  <c r="G915" i="1"/>
  <c r="H915" i="1"/>
  <c r="A915" i="1"/>
  <c r="P914" i="1"/>
  <c r="O914" i="1"/>
  <c r="M914" i="1"/>
  <c r="L914" i="1"/>
  <c r="D914" i="1"/>
  <c r="J914" i="1"/>
  <c r="G914" i="1"/>
  <c r="H914" i="1"/>
  <c r="A914" i="1"/>
  <c r="P913" i="1"/>
  <c r="O913" i="1"/>
  <c r="M913" i="1"/>
  <c r="L913" i="1"/>
  <c r="D913" i="1"/>
  <c r="J913" i="1"/>
  <c r="G913" i="1"/>
  <c r="H913" i="1"/>
  <c r="A913" i="1"/>
  <c r="P912" i="1"/>
  <c r="O912" i="1"/>
  <c r="M912" i="1"/>
  <c r="L912" i="1"/>
  <c r="D912" i="1"/>
  <c r="J912" i="1"/>
  <c r="G912" i="1"/>
  <c r="H912" i="1"/>
  <c r="A912" i="1"/>
  <c r="P911" i="1"/>
  <c r="O911" i="1"/>
  <c r="M911" i="1"/>
  <c r="L911" i="1"/>
  <c r="D911" i="1"/>
  <c r="J911" i="1"/>
  <c r="G911" i="1"/>
  <c r="H911" i="1"/>
  <c r="A911" i="1"/>
  <c r="P910" i="1"/>
  <c r="O910" i="1"/>
  <c r="M910" i="1"/>
  <c r="L910" i="1"/>
  <c r="D910" i="1"/>
  <c r="J910" i="1"/>
  <c r="G910" i="1"/>
  <c r="H910" i="1"/>
  <c r="A910" i="1"/>
  <c r="P909" i="1"/>
  <c r="O909" i="1"/>
  <c r="M909" i="1"/>
  <c r="L909" i="1"/>
  <c r="D909" i="1"/>
  <c r="J909" i="1"/>
  <c r="G909" i="1"/>
  <c r="H909" i="1"/>
  <c r="A909" i="1"/>
  <c r="P908" i="1"/>
  <c r="O908" i="1"/>
  <c r="M908" i="1"/>
  <c r="L908" i="1"/>
  <c r="D908" i="1"/>
  <c r="J908" i="1"/>
  <c r="G908" i="1"/>
  <c r="H908" i="1"/>
  <c r="A908" i="1"/>
  <c r="P907" i="1"/>
  <c r="O907" i="1"/>
  <c r="M907" i="1"/>
  <c r="L907" i="1"/>
  <c r="D907" i="1"/>
  <c r="J907" i="1"/>
  <c r="G907" i="1"/>
  <c r="H907" i="1"/>
  <c r="A907" i="1"/>
  <c r="P906" i="1"/>
  <c r="O906" i="1"/>
  <c r="M906" i="1"/>
  <c r="L906" i="1"/>
  <c r="D906" i="1"/>
  <c r="J906" i="1"/>
  <c r="G906" i="1"/>
  <c r="H906" i="1"/>
  <c r="A906" i="1"/>
  <c r="P905" i="1"/>
  <c r="O905" i="1"/>
  <c r="M905" i="1"/>
  <c r="L905" i="1"/>
  <c r="D905" i="1"/>
  <c r="J905" i="1"/>
  <c r="G905" i="1"/>
  <c r="H905" i="1"/>
  <c r="A905" i="1"/>
  <c r="P904" i="1"/>
  <c r="O904" i="1"/>
  <c r="M904" i="1"/>
  <c r="L904" i="1"/>
  <c r="D904" i="1"/>
  <c r="J904" i="1"/>
  <c r="G904" i="1"/>
  <c r="H904" i="1"/>
  <c r="A904" i="1"/>
  <c r="P903" i="1"/>
  <c r="O903" i="1"/>
  <c r="M903" i="1"/>
  <c r="L903" i="1"/>
  <c r="D903" i="1"/>
  <c r="J903" i="1"/>
  <c r="G903" i="1"/>
  <c r="H903" i="1"/>
  <c r="A903" i="1"/>
  <c r="P902" i="1"/>
  <c r="O902" i="1"/>
  <c r="M902" i="1"/>
  <c r="L902" i="1"/>
  <c r="D902" i="1"/>
  <c r="J902" i="1"/>
  <c r="G902" i="1"/>
  <c r="H902" i="1"/>
  <c r="A902" i="1"/>
  <c r="P901" i="1"/>
  <c r="O901" i="1"/>
  <c r="M901" i="1"/>
  <c r="L901" i="1"/>
  <c r="D901" i="1"/>
  <c r="J901" i="1"/>
  <c r="G901" i="1"/>
  <c r="H901" i="1"/>
  <c r="A901" i="1"/>
  <c r="P900" i="1"/>
  <c r="O900" i="1"/>
  <c r="M900" i="1"/>
  <c r="L900" i="1"/>
  <c r="D900" i="1"/>
  <c r="J900" i="1"/>
  <c r="G900" i="1"/>
  <c r="H900" i="1"/>
  <c r="A900" i="1"/>
  <c r="P899" i="1"/>
  <c r="O899" i="1"/>
  <c r="M899" i="1"/>
  <c r="L899" i="1"/>
  <c r="D899" i="1"/>
  <c r="J899" i="1"/>
  <c r="G899" i="1"/>
  <c r="H899" i="1"/>
  <c r="A899" i="1"/>
  <c r="P898" i="1"/>
  <c r="O898" i="1"/>
  <c r="M898" i="1"/>
  <c r="L898" i="1"/>
  <c r="D898" i="1"/>
  <c r="J898" i="1"/>
  <c r="G898" i="1"/>
  <c r="H898" i="1"/>
  <c r="A898" i="1"/>
  <c r="P897" i="1"/>
  <c r="O897" i="1"/>
  <c r="M897" i="1"/>
  <c r="L897" i="1"/>
  <c r="D897" i="1"/>
  <c r="J897" i="1"/>
  <c r="G897" i="1"/>
  <c r="H897" i="1"/>
  <c r="A897" i="1"/>
  <c r="P896" i="1"/>
  <c r="O896" i="1"/>
  <c r="M896" i="1"/>
  <c r="L896" i="1"/>
  <c r="D896" i="1"/>
  <c r="J896" i="1"/>
  <c r="G896" i="1"/>
  <c r="H896" i="1"/>
  <c r="A896" i="1"/>
  <c r="P895" i="1"/>
  <c r="O895" i="1"/>
  <c r="M895" i="1"/>
  <c r="L895" i="1"/>
  <c r="D895" i="1"/>
  <c r="J895" i="1"/>
  <c r="G895" i="1"/>
  <c r="H895" i="1"/>
  <c r="A895" i="1"/>
  <c r="P894" i="1"/>
  <c r="O894" i="1"/>
  <c r="M894" i="1"/>
  <c r="L894" i="1"/>
  <c r="D894" i="1"/>
  <c r="J894" i="1"/>
  <c r="G894" i="1"/>
  <c r="H894" i="1"/>
  <c r="A894" i="1"/>
  <c r="P893" i="1"/>
  <c r="O893" i="1"/>
  <c r="M893" i="1"/>
  <c r="L893" i="1"/>
  <c r="D893" i="1"/>
  <c r="J893" i="1"/>
  <c r="G893" i="1"/>
  <c r="H893" i="1"/>
  <c r="A893" i="1"/>
  <c r="P892" i="1"/>
  <c r="O892" i="1"/>
  <c r="M892" i="1"/>
  <c r="L892" i="1"/>
  <c r="D892" i="1"/>
  <c r="J892" i="1"/>
  <c r="G892" i="1"/>
  <c r="H892" i="1"/>
  <c r="A892" i="1"/>
  <c r="P891" i="1"/>
  <c r="O891" i="1"/>
  <c r="M891" i="1"/>
  <c r="L891" i="1"/>
  <c r="D891" i="1"/>
  <c r="J891" i="1"/>
  <c r="G891" i="1"/>
  <c r="H891" i="1"/>
  <c r="A891" i="1"/>
  <c r="P890" i="1"/>
  <c r="O890" i="1"/>
  <c r="M890" i="1"/>
  <c r="L890" i="1"/>
  <c r="D890" i="1"/>
  <c r="J890" i="1"/>
  <c r="G890" i="1"/>
  <c r="H890" i="1"/>
  <c r="A890" i="1"/>
  <c r="P889" i="1"/>
  <c r="O889" i="1"/>
  <c r="M889" i="1"/>
  <c r="L889" i="1"/>
  <c r="D889" i="1"/>
  <c r="J889" i="1"/>
  <c r="G889" i="1"/>
  <c r="H889" i="1"/>
  <c r="A889" i="1"/>
  <c r="P888" i="1"/>
  <c r="O888" i="1"/>
  <c r="M888" i="1"/>
  <c r="L888" i="1"/>
  <c r="D888" i="1"/>
  <c r="J888" i="1"/>
  <c r="G888" i="1"/>
  <c r="H888" i="1"/>
  <c r="A888" i="1"/>
  <c r="P887" i="1"/>
  <c r="O887" i="1"/>
  <c r="M887" i="1"/>
  <c r="L887" i="1"/>
  <c r="D887" i="1"/>
  <c r="J887" i="1"/>
  <c r="G887" i="1"/>
  <c r="H887" i="1"/>
  <c r="A887" i="1"/>
  <c r="P886" i="1"/>
  <c r="O886" i="1"/>
  <c r="M886" i="1"/>
  <c r="L886" i="1"/>
  <c r="D886" i="1"/>
  <c r="J886" i="1"/>
  <c r="G886" i="1"/>
  <c r="H886" i="1"/>
  <c r="A886" i="1"/>
  <c r="P885" i="1"/>
  <c r="O885" i="1"/>
  <c r="M885" i="1"/>
  <c r="L885" i="1"/>
  <c r="D885" i="1"/>
  <c r="J885" i="1"/>
  <c r="G885" i="1"/>
  <c r="H885" i="1"/>
  <c r="A885" i="1"/>
  <c r="P884" i="1"/>
  <c r="O884" i="1"/>
  <c r="M884" i="1"/>
  <c r="L884" i="1"/>
  <c r="D884" i="1"/>
  <c r="J884" i="1"/>
  <c r="G884" i="1"/>
  <c r="H884" i="1"/>
  <c r="A884" i="1"/>
  <c r="P883" i="1"/>
  <c r="O883" i="1"/>
  <c r="M883" i="1"/>
  <c r="L883" i="1"/>
  <c r="D883" i="1"/>
  <c r="J883" i="1"/>
  <c r="G883" i="1"/>
  <c r="H883" i="1"/>
  <c r="A883" i="1"/>
  <c r="P882" i="1"/>
  <c r="O882" i="1"/>
  <c r="M882" i="1"/>
  <c r="L882" i="1"/>
  <c r="D882" i="1"/>
  <c r="J882" i="1"/>
  <c r="G882" i="1"/>
  <c r="H882" i="1"/>
  <c r="A882" i="1"/>
  <c r="P881" i="1"/>
  <c r="O881" i="1"/>
  <c r="M881" i="1"/>
  <c r="L881" i="1"/>
  <c r="D881" i="1"/>
  <c r="J881" i="1"/>
  <c r="G881" i="1"/>
  <c r="H881" i="1"/>
  <c r="A881" i="1"/>
  <c r="P880" i="1"/>
  <c r="O880" i="1"/>
  <c r="M880" i="1"/>
  <c r="L880" i="1"/>
  <c r="D880" i="1"/>
  <c r="J880" i="1"/>
  <c r="G880" i="1"/>
  <c r="H880" i="1"/>
  <c r="A880" i="1"/>
  <c r="P879" i="1"/>
  <c r="O879" i="1"/>
  <c r="M879" i="1"/>
  <c r="L879" i="1"/>
  <c r="D879" i="1"/>
  <c r="J879" i="1"/>
  <c r="G879" i="1"/>
  <c r="H879" i="1"/>
  <c r="A879" i="1"/>
  <c r="P878" i="1"/>
  <c r="O878" i="1"/>
  <c r="M878" i="1"/>
  <c r="L878" i="1"/>
  <c r="D878" i="1"/>
  <c r="J878" i="1"/>
  <c r="G878" i="1"/>
  <c r="H878" i="1"/>
  <c r="A878" i="1"/>
  <c r="P877" i="1"/>
  <c r="O877" i="1"/>
  <c r="M877" i="1"/>
  <c r="L877" i="1"/>
  <c r="D877" i="1"/>
  <c r="J877" i="1"/>
  <c r="G877" i="1"/>
  <c r="H877" i="1"/>
  <c r="A877" i="1"/>
  <c r="P876" i="1"/>
  <c r="O876" i="1"/>
  <c r="M876" i="1"/>
  <c r="L876" i="1"/>
  <c r="D876" i="1"/>
  <c r="J876" i="1"/>
  <c r="G876" i="1"/>
  <c r="H876" i="1"/>
  <c r="A876" i="1"/>
  <c r="P875" i="1"/>
  <c r="O875" i="1"/>
  <c r="M875" i="1"/>
  <c r="L875" i="1"/>
  <c r="D875" i="1"/>
  <c r="J875" i="1"/>
  <c r="G875" i="1"/>
  <c r="H875" i="1"/>
  <c r="A875" i="1"/>
  <c r="P874" i="1"/>
  <c r="O874" i="1"/>
  <c r="M874" i="1"/>
  <c r="L874" i="1"/>
  <c r="D874" i="1"/>
  <c r="J874" i="1"/>
  <c r="G874" i="1"/>
  <c r="H874" i="1"/>
  <c r="A874" i="1"/>
  <c r="P873" i="1"/>
  <c r="O873" i="1"/>
  <c r="M873" i="1"/>
  <c r="L873" i="1"/>
  <c r="D873" i="1"/>
  <c r="J873" i="1"/>
  <c r="G873" i="1"/>
  <c r="H873" i="1"/>
  <c r="A873" i="1"/>
  <c r="P872" i="1"/>
  <c r="O872" i="1"/>
  <c r="M872" i="1"/>
  <c r="L872" i="1"/>
  <c r="D872" i="1"/>
  <c r="J872" i="1"/>
  <c r="G872" i="1"/>
  <c r="H872" i="1"/>
  <c r="A872" i="1"/>
  <c r="P871" i="1"/>
  <c r="O871" i="1"/>
  <c r="M871" i="1"/>
  <c r="L871" i="1"/>
  <c r="D871" i="1"/>
  <c r="J871" i="1"/>
  <c r="G871" i="1"/>
  <c r="H871" i="1"/>
  <c r="A871" i="1"/>
  <c r="P870" i="1"/>
  <c r="O870" i="1"/>
  <c r="M870" i="1"/>
  <c r="L870" i="1"/>
  <c r="D870" i="1"/>
  <c r="J870" i="1"/>
  <c r="G870" i="1"/>
  <c r="H870" i="1"/>
  <c r="A870" i="1"/>
  <c r="P869" i="1"/>
  <c r="O869" i="1"/>
  <c r="M869" i="1"/>
  <c r="L869" i="1"/>
  <c r="D869" i="1"/>
  <c r="J869" i="1"/>
  <c r="G869" i="1"/>
  <c r="H869" i="1"/>
  <c r="A869" i="1"/>
  <c r="P868" i="1"/>
  <c r="O868" i="1"/>
  <c r="M868" i="1"/>
  <c r="L868" i="1"/>
  <c r="D868" i="1"/>
  <c r="J868" i="1"/>
  <c r="G868" i="1"/>
  <c r="H868" i="1"/>
  <c r="A868" i="1"/>
  <c r="P867" i="1"/>
  <c r="O867" i="1"/>
  <c r="M867" i="1"/>
  <c r="L867" i="1"/>
  <c r="D867" i="1"/>
  <c r="J867" i="1"/>
  <c r="G867" i="1"/>
  <c r="H867" i="1"/>
  <c r="A867" i="1"/>
  <c r="P866" i="1"/>
  <c r="O866" i="1"/>
  <c r="M866" i="1"/>
  <c r="L866" i="1"/>
  <c r="D866" i="1"/>
  <c r="J866" i="1"/>
  <c r="G866" i="1"/>
  <c r="H866" i="1"/>
  <c r="A866" i="1"/>
  <c r="P865" i="1"/>
  <c r="O865" i="1"/>
  <c r="M865" i="1"/>
  <c r="L865" i="1"/>
  <c r="D865" i="1"/>
  <c r="J865" i="1"/>
  <c r="G865" i="1"/>
  <c r="H865" i="1"/>
  <c r="A865" i="1"/>
  <c r="P864" i="1"/>
  <c r="O864" i="1"/>
  <c r="M864" i="1"/>
  <c r="L864" i="1"/>
  <c r="D864" i="1"/>
  <c r="J864" i="1"/>
  <c r="G864" i="1"/>
  <c r="H864" i="1"/>
  <c r="A864" i="1"/>
  <c r="P863" i="1"/>
  <c r="O863" i="1"/>
  <c r="M863" i="1"/>
  <c r="L863" i="1"/>
  <c r="D863" i="1"/>
  <c r="J863" i="1"/>
  <c r="G863" i="1"/>
  <c r="H863" i="1"/>
  <c r="A863" i="1"/>
  <c r="P862" i="1"/>
  <c r="O862" i="1"/>
  <c r="M862" i="1"/>
  <c r="L862" i="1"/>
  <c r="D862" i="1"/>
  <c r="J862" i="1"/>
  <c r="G862" i="1"/>
  <c r="H862" i="1"/>
  <c r="A862" i="1"/>
  <c r="P861" i="1"/>
  <c r="O861" i="1"/>
  <c r="M861" i="1"/>
  <c r="L861" i="1"/>
  <c r="D861" i="1"/>
  <c r="J861" i="1"/>
  <c r="G861" i="1"/>
  <c r="H861" i="1"/>
  <c r="A861" i="1"/>
  <c r="P860" i="1"/>
  <c r="O860" i="1"/>
  <c r="M860" i="1"/>
  <c r="L860" i="1"/>
  <c r="D860" i="1"/>
  <c r="J860" i="1"/>
  <c r="G860" i="1"/>
  <c r="H860" i="1"/>
  <c r="A860" i="1"/>
  <c r="P859" i="1"/>
  <c r="O859" i="1"/>
  <c r="M859" i="1"/>
  <c r="L859" i="1"/>
  <c r="D859" i="1"/>
  <c r="J859" i="1"/>
  <c r="G859" i="1"/>
  <c r="H859" i="1"/>
  <c r="A859" i="1"/>
  <c r="P858" i="1"/>
  <c r="O858" i="1"/>
  <c r="M858" i="1"/>
  <c r="L858" i="1"/>
  <c r="D858" i="1"/>
  <c r="J858" i="1"/>
  <c r="G858" i="1"/>
  <c r="H858" i="1"/>
  <c r="A858" i="1"/>
  <c r="P857" i="1"/>
  <c r="O857" i="1"/>
  <c r="M857" i="1"/>
  <c r="L857" i="1"/>
  <c r="D857" i="1"/>
  <c r="J857" i="1"/>
  <c r="G857" i="1"/>
  <c r="H857" i="1"/>
  <c r="A857" i="1"/>
  <c r="P856" i="1"/>
  <c r="O856" i="1"/>
  <c r="M856" i="1"/>
  <c r="L856" i="1"/>
  <c r="D856" i="1"/>
  <c r="J856" i="1"/>
  <c r="G856" i="1"/>
  <c r="H856" i="1"/>
  <c r="A856" i="1"/>
  <c r="P855" i="1"/>
  <c r="O855" i="1"/>
  <c r="M855" i="1"/>
  <c r="L855" i="1"/>
  <c r="D855" i="1"/>
  <c r="J855" i="1"/>
  <c r="G855" i="1"/>
  <c r="H855" i="1"/>
  <c r="A855" i="1"/>
  <c r="P854" i="1"/>
  <c r="O854" i="1"/>
  <c r="M854" i="1"/>
  <c r="L854" i="1"/>
  <c r="D854" i="1"/>
  <c r="J854" i="1"/>
  <c r="G854" i="1"/>
  <c r="H854" i="1"/>
  <c r="A854" i="1"/>
  <c r="P853" i="1"/>
  <c r="O853" i="1"/>
  <c r="M853" i="1"/>
  <c r="L853" i="1"/>
  <c r="D853" i="1"/>
  <c r="J853" i="1"/>
  <c r="G853" i="1"/>
  <c r="H853" i="1"/>
  <c r="A853" i="1"/>
  <c r="P852" i="1"/>
  <c r="O852" i="1"/>
  <c r="M852" i="1"/>
  <c r="L852" i="1"/>
  <c r="D852" i="1"/>
  <c r="J852" i="1"/>
  <c r="G852" i="1"/>
  <c r="H852" i="1"/>
  <c r="A852" i="1"/>
  <c r="P851" i="1"/>
  <c r="O851" i="1"/>
  <c r="M851" i="1"/>
  <c r="L851" i="1"/>
  <c r="D851" i="1"/>
  <c r="J851" i="1"/>
  <c r="G851" i="1"/>
  <c r="H851" i="1"/>
  <c r="A851" i="1"/>
  <c r="P850" i="1"/>
  <c r="O850" i="1"/>
  <c r="M850" i="1"/>
  <c r="L850" i="1"/>
  <c r="D850" i="1"/>
  <c r="J850" i="1"/>
  <c r="G850" i="1"/>
  <c r="H850" i="1"/>
  <c r="A850" i="1"/>
  <c r="P849" i="1"/>
  <c r="O849" i="1"/>
  <c r="M849" i="1"/>
  <c r="L849" i="1"/>
  <c r="D849" i="1"/>
  <c r="J849" i="1"/>
  <c r="G849" i="1"/>
  <c r="H849" i="1"/>
  <c r="A849" i="1"/>
  <c r="P848" i="1"/>
  <c r="O848" i="1"/>
  <c r="M848" i="1"/>
  <c r="L848" i="1"/>
  <c r="D848" i="1"/>
  <c r="J848" i="1"/>
  <c r="G848" i="1"/>
  <c r="H848" i="1"/>
  <c r="A848" i="1"/>
  <c r="P847" i="1"/>
  <c r="O847" i="1"/>
  <c r="M847" i="1"/>
  <c r="L847" i="1"/>
  <c r="D847" i="1"/>
  <c r="J847" i="1"/>
  <c r="G847" i="1"/>
  <c r="H847" i="1"/>
  <c r="A847" i="1"/>
  <c r="P846" i="1"/>
  <c r="O846" i="1"/>
  <c r="M846" i="1"/>
  <c r="L846" i="1"/>
  <c r="D846" i="1"/>
  <c r="J846" i="1"/>
  <c r="G846" i="1"/>
  <c r="H846" i="1"/>
  <c r="A846" i="1"/>
  <c r="P845" i="1"/>
  <c r="O845" i="1"/>
  <c r="M845" i="1"/>
  <c r="L845" i="1"/>
  <c r="D845" i="1"/>
  <c r="J845" i="1"/>
  <c r="G845" i="1"/>
  <c r="H845" i="1"/>
  <c r="A845" i="1"/>
  <c r="P844" i="1"/>
  <c r="O844" i="1"/>
  <c r="M844" i="1"/>
  <c r="L844" i="1"/>
  <c r="D844" i="1"/>
  <c r="J844" i="1"/>
  <c r="G844" i="1"/>
  <c r="H844" i="1"/>
  <c r="A844" i="1"/>
  <c r="P843" i="1"/>
  <c r="O843" i="1"/>
  <c r="M843" i="1"/>
  <c r="L843" i="1"/>
  <c r="D843" i="1"/>
  <c r="J843" i="1"/>
  <c r="G843" i="1"/>
  <c r="H843" i="1"/>
  <c r="A843" i="1"/>
  <c r="P842" i="1"/>
  <c r="O842" i="1"/>
  <c r="M842" i="1"/>
  <c r="L842" i="1"/>
  <c r="D842" i="1"/>
  <c r="J842" i="1"/>
  <c r="G842" i="1"/>
  <c r="H842" i="1"/>
  <c r="A842" i="1"/>
  <c r="P841" i="1"/>
  <c r="O841" i="1"/>
  <c r="M841" i="1"/>
  <c r="L841" i="1"/>
  <c r="D841" i="1"/>
  <c r="J841" i="1"/>
  <c r="G841" i="1"/>
  <c r="H841" i="1"/>
  <c r="A841" i="1"/>
  <c r="P840" i="1"/>
  <c r="O840" i="1"/>
  <c r="M840" i="1"/>
  <c r="L840" i="1"/>
  <c r="D840" i="1"/>
  <c r="J840" i="1"/>
  <c r="G840" i="1"/>
  <c r="H840" i="1"/>
  <c r="A840" i="1"/>
  <c r="P839" i="1"/>
  <c r="O839" i="1"/>
  <c r="M839" i="1"/>
  <c r="L839" i="1"/>
  <c r="D839" i="1"/>
  <c r="J839" i="1"/>
  <c r="G839" i="1"/>
  <c r="H839" i="1"/>
  <c r="A839" i="1"/>
  <c r="P838" i="1"/>
  <c r="O838" i="1"/>
  <c r="M838" i="1"/>
  <c r="L838" i="1"/>
  <c r="D838" i="1"/>
  <c r="J838" i="1"/>
  <c r="G838" i="1"/>
  <c r="H838" i="1"/>
  <c r="A838" i="1"/>
  <c r="P837" i="1"/>
  <c r="O837" i="1"/>
  <c r="M837" i="1"/>
  <c r="L837" i="1"/>
  <c r="D837" i="1"/>
  <c r="J837" i="1"/>
  <c r="G837" i="1"/>
  <c r="H837" i="1"/>
  <c r="A837" i="1"/>
  <c r="P836" i="1"/>
  <c r="O836" i="1"/>
  <c r="M836" i="1"/>
  <c r="L836" i="1"/>
  <c r="D836" i="1"/>
  <c r="J836" i="1"/>
  <c r="G836" i="1"/>
  <c r="H836" i="1"/>
  <c r="A836" i="1"/>
  <c r="P835" i="1"/>
  <c r="O835" i="1"/>
  <c r="M835" i="1"/>
  <c r="L835" i="1"/>
  <c r="D835" i="1"/>
  <c r="J835" i="1"/>
  <c r="G835" i="1"/>
  <c r="H835" i="1"/>
  <c r="A835" i="1"/>
  <c r="P834" i="1"/>
  <c r="O834" i="1"/>
  <c r="M834" i="1"/>
  <c r="L834" i="1"/>
  <c r="D834" i="1"/>
  <c r="J834" i="1"/>
  <c r="G834" i="1"/>
  <c r="H834" i="1"/>
  <c r="A834" i="1"/>
  <c r="P833" i="1"/>
  <c r="O833" i="1"/>
  <c r="M833" i="1"/>
  <c r="L833" i="1"/>
  <c r="D833" i="1"/>
  <c r="J833" i="1"/>
  <c r="G833" i="1"/>
  <c r="H833" i="1"/>
  <c r="A833" i="1"/>
  <c r="P832" i="1"/>
  <c r="O832" i="1"/>
  <c r="M832" i="1"/>
  <c r="L832" i="1"/>
  <c r="D832" i="1"/>
  <c r="J832" i="1"/>
  <c r="G832" i="1"/>
  <c r="H832" i="1"/>
  <c r="A832" i="1"/>
  <c r="P831" i="1"/>
  <c r="O831" i="1"/>
  <c r="M831" i="1"/>
  <c r="L831" i="1"/>
  <c r="D831" i="1"/>
  <c r="J831" i="1"/>
  <c r="G831" i="1"/>
  <c r="H831" i="1"/>
  <c r="A831" i="1"/>
  <c r="P830" i="1"/>
  <c r="O830" i="1"/>
  <c r="M830" i="1"/>
  <c r="L830" i="1"/>
  <c r="D830" i="1"/>
  <c r="J830" i="1"/>
  <c r="G830" i="1"/>
  <c r="H830" i="1"/>
  <c r="A830" i="1"/>
  <c r="P829" i="1"/>
  <c r="O829" i="1"/>
  <c r="M829" i="1"/>
  <c r="L829" i="1"/>
  <c r="D829" i="1"/>
  <c r="J829" i="1"/>
  <c r="G829" i="1"/>
  <c r="H829" i="1"/>
  <c r="A829" i="1"/>
  <c r="P828" i="1"/>
  <c r="O828" i="1"/>
  <c r="M828" i="1"/>
  <c r="L828" i="1"/>
  <c r="D828" i="1"/>
  <c r="J828" i="1"/>
  <c r="G828" i="1"/>
  <c r="H828" i="1"/>
  <c r="A828" i="1"/>
  <c r="P827" i="1"/>
  <c r="O827" i="1"/>
  <c r="M827" i="1"/>
  <c r="L827" i="1"/>
  <c r="D827" i="1"/>
  <c r="J827" i="1"/>
  <c r="G827" i="1"/>
  <c r="H827" i="1"/>
  <c r="A827" i="1"/>
  <c r="P826" i="1"/>
  <c r="O826" i="1"/>
  <c r="M826" i="1"/>
  <c r="L826" i="1"/>
  <c r="D826" i="1"/>
  <c r="J826" i="1"/>
  <c r="G826" i="1"/>
  <c r="H826" i="1"/>
  <c r="A826" i="1"/>
  <c r="P825" i="1"/>
  <c r="O825" i="1"/>
  <c r="M825" i="1"/>
  <c r="L825" i="1"/>
  <c r="D825" i="1"/>
  <c r="J825" i="1"/>
  <c r="G825" i="1"/>
  <c r="H825" i="1"/>
  <c r="A825" i="1"/>
  <c r="P824" i="1"/>
  <c r="O824" i="1"/>
  <c r="M824" i="1"/>
  <c r="L824" i="1"/>
  <c r="D824" i="1"/>
  <c r="J824" i="1"/>
  <c r="G824" i="1"/>
  <c r="H824" i="1"/>
  <c r="A824" i="1"/>
  <c r="P823" i="1"/>
  <c r="O823" i="1"/>
  <c r="M823" i="1"/>
  <c r="L823" i="1"/>
  <c r="D823" i="1"/>
  <c r="J823" i="1"/>
  <c r="G823" i="1"/>
  <c r="H823" i="1"/>
  <c r="A823" i="1"/>
  <c r="P822" i="1"/>
  <c r="O822" i="1"/>
  <c r="M822" i="1"/>
  <c r="L822" i="1"/>
  <c r="D822" i="1"/>
  <c r="J822" i="1"/>
  <c r="G822" i="1"/>
  <c r="H822" i="1"/>
  <c r="A822" i="1"/>
  <c r="P821" i="1"/>
  <c r="O821" i="1"/>
  <c r="M821" i="1"/>
  <c r="L821" i="1"/>
  <c r="D821" i="1"/>
  <c r="J821" i="1"/>
  <c r="G821" i="1"/>
  <c r="H821" i="1"/>
  <c r="A821" i="1"/>
  <c r="P820" i="1"/>
  <c r="O820" i="1"/>
  <c r="M820" i="1"/>
  <c r="L820" i="1"/>
  <c r="D820" i="1"/>
  <c r="J820" i="1"/>
  <c r="G820" i="1"/>
  <c r="H820" i="1"/>
  <c r="A820" i="1"/>
  <c r="P819" i="1"/>
  <c r="O819" i="1"/>
  <c r="M819" i="1"/>
  <c r="L819" i="1"/>
  <c r="D819" i="1"/>
  <c r="J819" i="1"/>
  <c r="G819" i="1"/>
  <c r="H819" i="1"/>
  <c r="A819" i="1"/>
  <c r="P818" i="1"/>
  <c r="O818" i="1"/>
  <c r="M818" i="1"/>
  <c r="L818" i="1"/>
  <c r="D818" i="1"/>
  <c r="J818" i="1"/>
  <c r="G818" i="1"/>
  <c r="H818" i="1"/>
  <c r="A818" i="1"/>
  <c r="P817" i="1"/>
  <c r="O817" i="1"/>
  <c r="M817" i="1"/>
  <c r="L817" i="1"/>
  <c r="D817" i="1"/>
  <c r="J817" i="1"/>
  <c r="G817" i="1"/>
  <c r="H817" i="1"/>
  <c r="A817" i="1"/>
  <c r="P816" i="1"/>
  <c r="O816" i="1"/>
  <c r="M816" i="1"/>
  <c r="L816" i="1"/>
  <c r="D816" i="1"/>
  <c r="J816" i="1"/>
  <c r="G816" i="1"/>
  <c r="H816" i="1"/>
  <c r="A816" i="1"/>
  <c r="P815" i="1"/>
  <c r="O815" i="1"/>
  <c r="M815" i="1"/>
  <c r="L815" i="1"/>
  <c r="D815" i="1"/>
  <c r="J815" i="1"/>
  <c r="G815" i="1"/>
  <c r="H815" i="1"/>
  <c r="A815" i="1"/>
  <c r="P814" i="1"/>
  <c r="O814" i="1"/>
  <c r="M814" i="1"/>
  <c r="L814" i="1"/>
  <c r="D814" i="1"/>
  <c r="J814" i="1"/>
  <c r="G814" i="1"/>
  <c r="H814" i="1"/>
  <c r="A814" i="1"/>
  <c r="P813" i="1"/>
  <c r="O813" i="1"/>
  <c r="M813" i="1"/>
  <c r="L813" i="1"/>
  <c r="D813" i="1"/>
  <c r="J813" i="1"/>
  <c r="G813" i="1"/>
  <c r="H813" i="1"/>
  <c r="A813" i="1"/>
  <c r="P812" i="1"/>
  <c r="O812" i="1"/>
  <c r="M812" i="1"/>
  <c r="L812" i="1"/>
  <c r="D812" i="1"/>
  <c r="J812" i="1"/>
  <c r="G812" i="1"/>
  <c r="H812" i="1"/>
  <c r="A812" i="1"/>
  <c r="P811" i="1"/>
  <c r="O811" i="1"/>
  <c r="M811" i="1"/>
  <c r="L811" i="1"/>
  <c r="D811" i="1"/>
  <c r="J811" i="1"/>
  <c r="G811" i="1"/>
  <c r="H811" i="1"/>
  <c r="A811" i="1"/>
  <c r="P810" i="1"/>
  <c r="O810" i="1"/>
  <c r="M810" i="1"/>
  <c r="L810" i="1"/>
  <c r="D810" i="1"/>
  <c r="J810" i="1"/>
  <c r="G810" i="1"/>
  <c r="H810" i="1"/>
  <c r="A810" i="1"/>
  <c r="P809" i="1"/>
  <c r="O809" i="1"/>
  <c r="M809" i="1"/>
  <c r="L809" i="1"/>
  <c r="D809" i="1"/>
  <c r="J809" i="1"/>
  <c r="G809" i="1"/>
  <c r="H809" i="1"/>
  <c r="A809" i="1"/>
  <c r="P808" i="1"/>
  <c r="O808" i="1"/>
  <c r="M808" i="1"/>
  <c r="L808" i="1"/>
  <c r="D808" i="1"/>
  <c r="J808" i="1"/>
  <c r="G808" i="1"/>
  <c r="H808" i="1"/>
  <c r="A808" i="1"/>
  <c r="P807" i="1"/>
  <c r="O807" i="1"/>
  <c r="M807" i="1"/>
  <c r="L807" i="1"/>
  <c r="D807" i="1"/>
  <c r="J807" i="1"/>
  <c r="G807" i="1"/>
  <c r="H807" i="1"/>
  <c r="A807" i="1"/>
  <c r="P806" i="1"/>
  <c r="O806" i="1"/>
  <c r="M806" i="1"/>
  <c r="L806" i="1"/>
  <c r="D806" i="1"/>
  <c r="J806" i="1"/>
  <c r="G806" i="1"/>
  <c r="H806" i="1"/>
  <c r="A806" i="1"/>
  <c r="P805" i="1"/>
  <c r="O805" i="1"/>
  <c r="M805" i="1"/>
  <c r="L805" i="1"/>
  <c r="D805" i="1"/>
  <c r="J805" i="1"/>
  <c r="G805" i="1"/>
  <c r="H805" i="1"/>
  <c r="A805" i="1"/>
  <c r="P804" i="1"/>
  <c r="O804" i="1"/>
  <c r="M804" i="1"/>
  <c r="L804" i="1"/>
  <c r="D804" i="1"/>
  <c r="J804" i="1"/>
  <c r="G804" i="1"/>
  <c r="H804" i="1"/>
  <c r="A804" i="1"/>
  <c r="P803" i="1"/>
  <c r="O803" i="1"/>
  <c r="M803" i="1"/>
  <c r="L803" i="1"/>
  <c r="D803" i="1"/>
  <c r="J803" i="1"/>
  <c r="G803" i="1"/>
  <c r="H803" i="1"/>
  <c r="A803" i="1"/>
  <c r="P802" i="1"/>
  <c r="O802" i="1"/>
  <c r="M802" i="1"/>
  <c r="L802" i="1"/>
  <c r="D802" i="1"/>
  <c r="J802" i="1"/>
  <c r="G802" i="1"/>
  <c r="H802" i="1"/>
  <c r="A802" i="1"/>
  <c r="P801" i="1"/>
  <c r="O801" i="1"/>
  <c r="M801" i="1"/>
  <c r="L801" i="1"/>
  <c r="D801" i="1"/>
  <c r="J801" i="1"/>
  <c r="G801" i="1"/>
  <c r="H801" i="1"/>
  <c r="A801" i="1"/>
  <c r="P800" i="1"/>
  <c r="O800" i="1"/>
  <c r="M800" i="1"/>
  <c r="L800" i="1"/>
  <c r="D800" i="1"/>
  <c r="J800" i="1"/>
  <c r="G800" i="1"/>
  <c r="H800" i="1"/>
  <c r="A800" i="1"/>
  <c r="P799" i="1"/>
  <c r="O799" i="1"/>
  <c r="M799" i="1"/>
  <c r="L799" i="1"/>
  <c r="D799" i="1"/>
  <c r="J799" i="1"/>
  <c r="G799" i="1"/>
  <c r="H799" i="1"/>
  <c r="A799" i="1"/>
  <c r="P798" i="1"/>
  <c r="O798" i="1"/>
  <c r="M798" i="1"/>
  <c r="L798" i="1"/>
  <c r="D798" i="1"/>
  <c r="J798" i="1"/>
  <c r="G798" i="1"/>
  <c r="H798" i="1"/>
  <c r="A798" i="1"/>
  <c r="P797" i="1"/>
  <c r="O797" i="1"/>
  <c r="M797" i="1"/>
  <c r="L797" i="1"/>
  <c r="D797" i="1"/>
  <c r="J797" i="1"/>
  <c r="G797" i="1"/>
  <c r="H797" i="1"/>
  <c r="A797" i="1"/>
  <c r="P796" i="1"/>
  <c r="O796" i="1"/>
  <c r="M796" i="1"/>
  <c r="L796" i="1"/>
  <c r="D796" i="1"/>
  <c r="J796" i="1"/>
  <c r="G796" i="1"/>
  <c r="H796" i="1"/>
  <c r="A796" i="1"/>
  <c r="P795" i="1"/>
  <c r="O795" i="1"/>
  <c r="M795" i="1"/>
  <c r="L795" i="1"/>
  <c r="D795" i="1"/>
  <c r="J795" i="1"/>
  <c r="G795" i="1"/>
  <c r="H795" i="1"/>
  <c r="A795" i="1"/>
  <c r="P794" i="1"/>
  <c r="O794" i="1"/>
  <c r="M794" i="1"/>
  <c r="L794" i="1"/>
  <c r="D794" i="1"/>
  <c r="J794" i="1"/>
  <c r="G794" i="1"/>
  <c r="H794" i="1"/>
  <c r="A794" i="1"/>
  <c r="P793" i="1"/>
  <c r="O793" i="1"/>
  <c r="M793" i="1"/>
  <c r="L793" i="1"/>
  <c r="D793" i="1"/>
  <c r="J793" i="1"/>
  <c r="G793" i="1"/>
  <c r="H793" i="1"/>
  <c r="A793" i="1"/>
  <c r="P792" i="1"/>
  <c r="O792" i="1"/>
  <c r="M792" i="1"/>
  <c r="L792" i="1"/>
  <c r="D792" i="1"/>
  <c r="J792" i="1"/>
  <c r="G792" i="1"/>
  <c r="H792" i="1"/>
  <c r="A792" i="1"/>
  <c r="P791" i="1"/>
  <c r="O791" i="1"/>
  <c r="M791" i="1"/>
  <c r="L791" i="1"/>
  <c r="D791" i="1"/>
  <c r="J791" i="1"/>
  <c r="G791" i="1"/>
  <c r="H791" i="1"/>
  <c r="A791" i="1"/>
  <c r="P790" i="1"/>
  <c r="O790" i="1"/>
  <c r="M790" i="1"/>
  <c r="L790" i="1"/>
  <c r="D790" i="1"/>
  <c r="J790" i="1"/>
  <c r="G790" i="1"/>
  <c r="H790" i="1"/>
  <c r="A790" i="1"/>
  <c r="P789" i="1"/>
  <c r="O789" i="1"/>
  <c r="M789" i="1"/>
  <c r="L789" i="1"/>
  <c r="D789" i="1"/>
  <c r="J789" i="1"/>
  <c r="G789" i="1"/>
  <c r="H789" i="1"/>
  <c r="A789" i="1"/>
  <c r="P788" i="1"/>
  <c r="O788" i="1"/>
  <c r="M788" i="1"/>
  <c r="L788" i="1"/>
  <c r="D788" i="1"/>
  <c r="J788" i="1"/>
  <c r="G788" i="1"/>
  <c r="H788" i="1"/>
  <c r="A788" i="1"/>
  <c r="P787" i="1"/>
  <c r="O787" i="1"/>
  <c r="M787" i="1"/>
  <c r="L787" i="1"/>
  <c r="D787" i="1"/>
  <c r="J787" i="1"/>
  <c r="G787" i="1"/>
  <c r="H787" i="1"/>
  <c r="A787" i="1"/>
  <c r="P786" i="1"/>
  <c r="O786" i="1"/>
  <c r="M786" i="1"/>
  <c r="L786" i="1"/>
  <c r="D786" i="1"/>
  <c r="J786" i="1"/>
  <c r="G786" i="1"/>
  <c r="H786" i="1"/>
  <c r="A786" i="1"/>
  <c r="P785" i="1"/>
  <c r="O785" i="1"/>
  <c r="M785" i="1"/>
  <c r="L785" i="1"/>
  <c r="D785" i="1"/>
  <c r="J785" i="1"/>
  <c r="G785" i="1"/>
  <c r="H785" i="1"/>
  <c r="A785" i="1"/>
  <c r="P784" i="1"/>
  <c r="O784" i="1"/>
  <c r="M784" i="1"/>
  <c r="L784" i="1"/>
  <c r="D784" i="1"/>
  <c r="J784" i="1"/>
  <c r="G784" i="1"/>
  <c r="H784" i="1"/>
  <c r="A784" i="1"/>
  <c r="P783" i="1"/>
  <c r="O783" i="1"/>
  <c r="M783" i="1"/>
  <c r="L783" i="1"/>
  <c r="D783" i="1"/>
  <c r="J783" i="1"/>
  <c r="G783" i="1"/>
  <c r="H783" i="1"/>
  <c r="A783" i="1"/>
  <c r="P782" i="1"/>
  <c r="O782" i="1"/>
  <c r="M782" i="1"/>
  <c r="L782" i="1"/>
  <c r="D782" i="1"/>
  <c r="J782" i="1"/>
  <c r="G782" i="1"/>
  <c r="H782" i="1"/>
  <c r="A782" i="1"/>
  <c r="P781" i="1"/>
  <c r="O781" i="1"/>
  <c r="M781" i="1"/>
  <c r="L781" i="1"/>
  <c r="D781" i="1"/>
  <c r="J781" i="1"/>
  <c r="G781" i="1"/>
  <c r="H781" i="1"/>
  <c r="A781" i="1"/>
  <c r="P780" i="1"/>
  <c r="O780" i="1"/>
  <c r="M780" i="1"/>
  <c r="L780" i="1"/>
  <c r="D780" i="1"/>
  <c r="J780" i="1"/>
  <c r="G780" i="1"/>
  <c r="H780" i="1"/>
  <c r="A780" i="1"/>
  <c r="P779" i="1"/>
  <c r="O779" i="1"/>
  <c r="M779" i="1"/>
  <c r="L779" i="1"/>
  <c r="D779" i="1"/>
  <c r="J779" i="1"/>
  <c r="G779" i="1"/>
  <c r="H779" i="1"/>
  <c r="A779" i="1"/>
  <c r="P778" i="1"/>
  <c r="O778" i="1"/>
  <c r="M778" i="1"/>
  <c r="L778" i="1"/>
  <c r="D778" i="1"/>
  <c r="J778" i="1"/>
  <c r="G778" i="1"/>
  <c r="H778" i="1"/>
  <c r="A778" i="1"/>
  <c r="P777" i="1"/>
  <c r="O777" i="1"/>
  <c r="M777" i="1"/>
  <c r="L777" i="1"/>
  <c r="D777" i="1"/>
  <c r="J777" i="1"/>
  <c r="G777" i="1"/>
  <c r="H777" i="1"/>
  <c r="A777" i="1"/>
  <c r="P776" i="1"/>
  <c r="O776" i="1"/>
  <c r="M776" i="1"/>
  <c r="L776" i="1"/>
  <c r="D776" i="1"/>
  <c r="J776" i="1"/>
  <c r="G776" i="1"/>
  <c r="H776" i="1"/>
  <c r="A776" i="1"/>
  <c r="P775" i="1"/>
  <c r="O775" i="1"/>
  <c r="M775" i="1"/>
  <c r="L775" i="1"/>
  <c r="D775" i="1"/>
  <c r="J775" i="1"/>
  <c r="G775" i="1"/>
  <c r="H775" i="1"/>
  <c r="A775" i="1"/>
  <c r="P774" i="1"/>
  <c r="O774" i="1"/>
  <c r="M774" i="1"/>
  <c r="L774" i="1"/>
  <c r="D774" i="1"/>
  <c r="J774" i="1"/>
  <c r="G774" i="1"/>
  <c r="H774" i="1"/>
  <c r="A774" i="1"/>
  <c r="P773" i="1"/>
  <c r="O773" i="1"/>
  <c r="M773" i="1"/>
  <c r="L773" i="1"/>
  <c r="D773" i="1"/>
  <c r="J773" i="1"/>
  <c r="G773" i="1"/>
  <c r="H773" i="1"/>
  <c r="A773" i="1"/>
  <c r="P772" i="1"/>
  <c r="O772" i="1"/>
  <c r="M772" i="1"/>
  <c r="L772" i="1"/>
  <c r="D772" i="1"/>
  <c r="J772" i="1"/>
  <c r="G772" i="1"/>
  <c r="H772" i="1"/>
  <c r="A772" i="1"/>
  <c r="P771" i="1"/>
  <c r="O771" i="1"/>
  <c r="M771" i="1"/>
  <c r="L771" i="1"/>
  <c r="D771" i="1"/>
  <c r="J771" i="1"/>
  <c r="G771" i="1"/>
  <c r="H771" i="1"/>
  <c r="A771" i="1"/>
  <c r="P770" i="1"/>
  <c r="O770" i="1"/>
  <c r="M770" i="1"/>
  <c r="L770" i="1"/>
  <c r="D770" i="1"/>
  <c r="J770" i="1"/>
  <c r="G770" i="1"/>
  <c r="H770" i="1"/>
  <c r="A770" i="1"/>
  <c r="P769" i="1"/>
  <c r="O769" i="1"/>
  <c r="M769" i="1"/>
  <c r="L769" i="1"/>
  <c r="D769" i="1"/>
  <c r="J769" i="1"/>
  <c r="G769" i="1"/>
  <c r="H769" i="1"/>
  <c r="A769" i="1"/>
  <c r="P768" i="1"/>
  <c r="O768" i="1"/>
  <c r="M768" i="1"/>
  <c r="L768" i="1"/>
  <c r="D768" i="1"/>
  <c r="J768" i="1"/>
  <c r="G768" i="1"/>
  <c r="H768" i="1"/>
  <c r="A768" i="1"/>
  <c r="P767" i="1"/>
  <c r="O767" i="1"/>
  <c r="M767" i="1"/>
  <c r="L767" i="1"/>
  <c r="D767" i="1"/>
  <c r="J767" i="1"/>
  <c r="G767" i="1"/>
  <c r="H767" i="1"/>
  <c r="A767" i="1"/>
  <c r="P766" i="1"/>
  <c r="O766" i="1"/>
  <c r="M766" i="1"/>
  <c r="L766" i="1"/>
  <c r="D766" i="1"/>
  <c r="J766" i="1"/>
  <c r="G766" i="1"/>
  <c r="H766" i="1"/>
  <c r="A766" i="1"/>
  <c r="P765" i="1"/>
  <c r="O765" i="1"/>
  <c r="M765" i="1"/>
  <c r="L765" i="1"/>
  <c r="D765" i="1"/>
  <c r="J765" i="1"/>
  <c r="G765" i="1"/>
  <c r="H765" i="1"/>
  <c r="A765" i="1"/>
  <c r="P764" i="1"/>
  <c r="O764" i="1"/>
  <c r="M764" i="1"/>
  <c r="L764" i="1"/>
  <c r="D764" i="1"/>
  <c r="J764" i="1"/>
  <c r="G764" i="1"/>
  <c r="H764" i="1"/>
  <c r="A764" i="1"/>
  <c r="P763" i="1"/>
  <c r="O763" i="1"/>
  <c r="M763" i="1"/>
  <c r="L763" i="1"/>
  <c r="D763" i="1"/>
  <c r="J763" i="1"/>
  <c r="G763" i="1"/>
  <c r="H763" i="1"/>
  <c r="A763" i="1"/>
  <c r="P762" i="1"/>
  <c r="O762" i="1"/>
  <c r="M762" i="1"/>
  <c r="L762" i="1"/>
  <c r="D762" i="1"/>
  <c r="J762" i="1"/>
  <c r="G762" i="1"/>
  <c r="H762" i="1"/>
  <c r="A762" i="1"/>
  <c r="P761" i="1"/>
  <c r="O761" i="1"/>
  <c r="M761" i="1"/>
  <c r="L761" i="1"/>
  <c r="D761" i="1"/>
  <c r="J761" i="1"/>
  <c r="G761" i="1"/>
  <c r="H761" i="1"/>
  <c r="A761" i="1"/>
  <c r="P760" i="1"/>
  <c r="O760" i="1"/>
  <c r="M760" i="1"/>
  <c r="L760" i="1"/>
  <c r="D760" i="1"/>
  <c r="J760" i="1"/>
  <c r="G760" i="1"/>
  <c r="H760" i="1"/>
  <c r="A760" i="1"/>
  <c r="P759" i="1"/>
  <c r="O759" i="1"/>
  <c r="M759" i="1"/>
  <c r="L759" i="1"/>
  <c r="D759" i="1"/>
  <c r="J759" i="1"/>
  <c r="G759" i="1"/>
  <c r="H759" i="1"/>
  <c r="A759" i="1"/>
  <c r="P758" i="1"/>
  <c r="O758" i="1"/>
  <c r="M758" i="1"/>
  <c r="L758" i="1"/>
  <c r="D758" i="1"/>
  <c r="J758" i="1"/>
  <c r="G758" i="1"/>
  <c r="H758" i="1"/>
  <c r="A758" i="1"/>
  <c r="P757" i="1"/>
  <c r="O757" i="1"/>
  <c r="M757" i="1"/>
  <c r="L757" i="1"/>
  <c r="D757" i="1"/>
  <c r="J757" i="1"/>
  <c r="G757" i="1"/>
  <c r="H757" i="1"/>
  <c r="A757" i="1"/>
  <c r="P756" i="1"/>
  <c r="O756" i="1"/>
  <c r="M756" i="1"/>
  <c r="L756" i="1"/>
  <c r="D756" i="1"/>
  <c r="J756" i="1"/>
  <c r="G756" i="1"/>
  <c r="H756" i="1"/>
  <c r="A756" i="1"/>
  <c r="P755" i="1"/>
  <c r="O755" i="1"/>
  <c r="M755" i="1"/>
  <c r="L755" i="1"/>
  <c r="D755" i="1"/>
  <c r="J755" i="1"/>
  <c r="G755" i="1"/>
  <c r="H755" i="1"/>
  <c r="A755" i="1"/>
  <c r="P754" i="1"/>
  <c r="O754" i="1"/>
  <c r="M754" i="1"/>
  <c r="L754" i="1"/>
  <c r="D754" i="1"/>
  <c r="J754" i="1"/>
  <c r="G754" i="1"/>
  <c r="H754" i="1"/>
  <c r="A754" i="1"/>
  <c r="P753" i="1"/>
  <c r="O753" i="1"/>
  <c r="M753" i="1"/>
  <c r="L753" i="1"/>
  <c r="D753" i="1"/>
  <c r="J753" i="1"/>
  <c r="G753" i="1"/>
  <c r="H753" i="1"/>
  <c r="A753" i="1"/>
  <c r="P752" i="1"/>
  <c r="O752" i="1"/>
  <c r="M752" i="1"/>
  <c r="L752" i="1"/>
  <c r="D752" i="1"/>
  <c r="J752" i="1"/>
  <c r="G752" i="1"/>
  <c r="H752" i="1"/>
  <c r="A752" i="1"/>
  <c r="P751" i="1"/>
  <c r="O751" i="1"/>
  <c r="M751" i="1"/>
  <c r="L751" i="1"/>
  <c r="D751" i="1"/>
  <c r="J751" i="1"/>
  <c r="G751" i="1"/>
  <c r="H751" i="1"/>
  <c r="A751" i="1"/>
  <c r="P750" i="1"/>
  <c r="O750" i="1"/>
  <c r="M750" i="1"/>
  <c r="L750" i="1"/>
  <c r="D750" i="1"/>
  <c r="J750" i="1"/>
  <c r="G750" i="1"/>
  <c r="H750" i="1"/>
  <c r="A750" i="1"/>
  <c r="P749" i="1"/>
  <c r="O749" i="1"/>
  <c r="M749" i="1"/>
  <c r="L749" i="1"/>
  <c r="D749" i="1"/>
  <c r="J749" i="1"/>
  <c r="G749" i="1"/>
  <c r="H749" i="1"/>
  <c r="A749" i="1"/>
  <c r="P748" i="1"/>
  <c r="O748" i="1"/>
  <c r="M748" i="1"/>
  <c r="L748" i="1"/>
  <c r="D748" i="1"/>
  <c r="J748" i="1"/>
  <c r="G748" i="1"/>
  <c r="H748" i="1"/>
  <c r="A748" i="1"/>
  <c r="P747" i="1"/>
  <c r="O747" i="1"/>
  <c r="M747" i="1"/>
  <c r="L747" i="1"/>
  <c r="D747" i="1"/>
  <c r="J747" i="1"/>
  <c r="G747" i="1"/>
  <c r="H747" i="1"/>
  <c r="A747" i="1"/>
  <c r="P746" i="1"/>
  <c r="O746" i="1"/>
  <c r="M746" i="1"/>
  <c r="L746" i="1"/>
  <c r="D746" i="1"/>
  <c r="J746" i="1"/>
  <c r="G746" i="1"/>
  <c r="H746" i="1"/>
  <c r="A746" i="1"/>
  <c r="P745" i="1"/>
  <c r="O745" i="1"/>
  <c r="M745" i="1"/>
  <c r="L745" i="1"/>
  <c r="D745" i="1"/>
  <c r="J745" i="1"/>
  <c r="G745" i="1"/>
  <c r="H745" i="1"/>
  <c r="A745" i="1"/>
  <c r="P744" i="1"/>
  <c r="O744" i="1"/>
  <c r="M744" i="1"/>
  <c r="L744" i="1"/>
  <c r="D744" i="1"/>
  <c r="J744" i="1"/>
  <c r="G744" i="1"/>
  <c r="H744" i="1"/>
  <c r="A744" i="1"/>
  <c r="P743" i="1"/>
  <c r="O743" i="1"/>
  <c r="M743" i="1"/>
  <c r="L743" i="1"/>
  <c r="D743" i="1"/>
  <c r="J743" i="1"/>
  <c r="G743" i="1"/>
  <c r="H743" i="1"/>
  <c r="A743" i="1"/>
  <c r="P742" i="1"/>
  <c r="O742" i="1"/>
  <c r="M742" i="1"/>
  <c r="L742" i="1"/>
  <c r="D742" i="1"/>
  <c r="J742" i="1"/>
  <c r="G742" i="1"/>
  <c r="H742" i="1"/>
  <c r="A742" i="1"/>
  <c r="P741" i="1"/>
  <c r="O741" i="1"/>
  <c r="M741" i="1"/>
  <c r="L741" i="1"/>
  <c r="D741" i="1"/>
  <c r="J741" i="1"/>
  <c r="G741" i="1"/>
  <c r="H741" i="1"/>
  <c r="A741" i="1"/>
  <c r="P740" i="1"/>
  <c r="O740" i="1"/>
  <c r="M740" i="1"/>
  <c r="L740" i="1"/>
  <c r="D740" i="1"/>
  <c r="J740" i="1"/>
  <c r="G740" i="1"/>
  <c r="H740" i="1"/>
  <c r="A740" i="1"/>
  <c r="P739" i="1"/>
  <c r="O739" i="1"/>
  <c r="M739" i="1"/>
  <c r="L739" i="1"/>
  <c r="D739" i="1"/>
  <c r="J739" i="1"/>
  <c r="G739" i="1"/>
  <c r="H739" i="1"/>
  <c r="A739" i="1"/>
  <c r="P738" i="1"/>
  <c r="O738" i="1"/>
  <c r="M738" i="1"/>
  <c r="L738" i="1"/>
  <c r="D738" i="1"/>
  <c r="J738" i="1"/>
  <c r="G738" i="1"/>
  <c r="H738" i="1"/>
  <c r="A738" i="1"/>
  <c r="P737" i="1"/>
  <c r="O737" i="1"/>
  <c r="M737" i="1"/>
  <c r="L737" i="1"/>
  <c r="D737" i="1"/>
  <c r="J737" i="1"/>
  <c r="G737" i="1"/>
  <c r="H737" i="1"/>
  <c r="A737" i="1"/>
  <c r="P736" i="1"/>
  <c r="O736" i="1"/>
  <c r="M736" i="1"/>
  <c r="L736" i="1"/>
  <c r="D736" i="1"/>
  <c r="J736" i="1"/>
  <c r="G736" i="1"/>
  <c r="H736" i="1"/>
  <c r="A736" i="1"/>
  <c r="P735" i="1"/>
  <c r="O735" i="1"/>
  <c r="M735" i="1"/>
  <c r="L735" i="1"/>
  <c r="D735" i="1"/>
  <c r="J735" i="1"/>
  <c r="G735" i="1"/>
  <c r="H735" i="1"/>
  <c r="A735" i="1"/>
  <c r="P734" i="1"/>
  <c r="O734" i="1"/>
  <c r="M734" i="1"/>
  <c r="L734" i="1"/>
  <c r="D734" i="1"/>
  <c r="J734" i="1"/>
  <c r="G734" i="1"/>
  <c r="H734" i="1"/>
  <c r="A734" i="1"/>
  <c r="P733" i="1"/>
  <c r="O733" i="1"/>
  <c r="M733" i="1"/>
  <c r="L733" i="1"/>
  <c r="D733" i="1"/>
  <c r="J733" i="1"/>
  <c r="G733" i="1"/>
  <c r="H733" i="1"/>
  <c r="A733" i="1"/>
  <c r="P732" i="1"/>
  <c r="O732" i="1"/>
  <c r="M732" i="1"/>
  <c r="L732" i="1"/>
  <c r="D732" i="1"/>
  <c r="J732" i="1"/>
  <c r="G732" i="1"/>
  <c r="H732" i="1"/>
  <c r="A732" i="1"/>
  <c r="P731" i="1"/>
  <c r="O731" i="1"/>
  <c r="M731" i="1"/>
  <c r="L731" i="1"/>
  <c r="D731" i="1"/>
  <c r="J731" i="1"/>
  <c r="G731" i="1"/>
  <c r="H731" i="1"/>
  <c r="A731" i="1"/>
  <c r="P730" i="1"/>
  <c r="O730" i="1"/>
  <c r="M730" i="1"/>
  <c r="L730" i="1"/>
  <c r="D730" i="1"/>
  <c r="J730" i="1"/>
  <c r="G730" i="1"/>
  <c r="H730" i="1"/>
  <c r="A730" i="1"/>
  <c r="P729" i="1"/>
  <c r="O729" i="1"/>
  <c r="M729" i="1"/>
  <c r="L729" i="1"/>
  <c r="D729" i="1"/>
  <c r="J729" i="1"/>
  <c r="G729" i="1"/>
  <c r="H729" i="1"/>
  <c r="A729" i="1"/>
  <c r="P728" i="1"/>
  <c r="O728" i="1"/>
  <c r="M728" i="1"/>
  <c r="L728" i="1"/>
  <c r="D728" i="1"/>
  <c r="J728" i="1"/>
  <c r="G728" i="1"/>
  <c r="H728" i="1"/>
  <c r="A728" i="1"/>
  <c r="P727" i="1"/>
  <c r="O727" i="1"/>
  <c r="M727" i="1"/>
  <c r="L727" i="1"/>
  <c r="D727" i="1"/>
  <c r="J727" i="1"/>
  <c r="G727" i="1"/>
  <c r="H727" i="1"/>
  <c r="A727" i="1"/>
  <c r="P726" i="1"/>
  <c r="O726" i="1"/>
  <c r="M726" i="1"/>
  <c r="L726" i="1"/>
  <c r="D726" i="1"/>
  <c r="J726" i="1"/>
  <c r="G726" i="1"/>
  <c r="H726" i="1"/>
  <c r="A726" i="1"/>
  <c r="P725" i="1"/>
  <c r="O725" i="1"/>
  <c r="M725" i="1"/>
  <c r="L725" i="1"/>
  <c r="D725" i="1"/>
  <c r="J725" i="1"/>
  <c r="G725" i="1"/>
  <c r="H725" i="1"/>
  <c r="A725" i="1"/>
  <c r="P724" i="1"/>
  <c r="O724" i="1"/>
  <c r="M724" i="1"/>
  <c r="L724" i="1"/>
  <c r="D724" i="1"/>
  <c r="J724" i="1"/>
  <c r="G724" i="1"/>
  <c r="H724" i="1"/>
  <c r="A724" i="1"/>
  <c r="P723" i="1"/>
  <c r="O723" i="1"/>
  <c r="M723" i="1"/>
  <c r="L723" i="1"/>
  <c r="D723" i="1"/>
  <c r="J723" i="1"/>
  <c r="G723" i="1"/>
  <c r="H723" i="1"/>
  <c r="A723" i="1"/>
  <c r="P722" i="1"/>
  <c r="O722" i="1"/>
  <c r="M722" i="1"/>
  <c r="L722" i="1"/>
  <c r="D722" i="1"/>
  <c r="J722" i="1"/>
  <c r="G722" i="1"/>
  <c r="H722" i="1"/>
  <c r="A722" i="1"/>
  <c r="P721" i="1"/>
  <c r="O721" i="1"/>
  <c r="M721" i="1"/>
  <c r="L721" i="1"/>
  <c r="D721" i="1"/>
  <c r="J721" i="1"/>
  <c r="G721" i="1"/>
  <c r="H721" i="1"/>
  <c r="A721" i="1"/>
  <c r="P720" i="1"/>
  <c r="O720" i="1"/>
  <c r="M720" i="1"/>
  <c r="L720" i="1"/>
  <c r="D720" i="1"/>
  <c r="J720" i="1"/>
  <c r="G720" i="1"/>
  <c r="H720" i="1"/>
  <c r="A720" i="1"/>
  <c r="P719" i="1"/>
  <c r="O719" i="1"/>
  <c r="M719" i="1"/>
  <c r="L719" i="1"/>
  <c r="D719" i="1"/>
  <c r="J719" i="1"/>
  <c r="G719" i="1"/>
  <c r="H719" i="1"/>
  <c r="A719" i="1"/>
  <c r="P718" i="1"/>
  <c r="O718" i="1"/>
  <c r="M718" i="1"/>
  <c r="L718" i="1"/>
  <c r="D718" i="1"/>
  <c r="J718" i="1"/>
  <c r="G718" i="1"/>
  <c r="H718" i="1"/>
  <c r="A718" i="1"/>
  <c r="P717" i="1"/>
  <c r="O717" i="1"/>
  <c r="M717" i="1"/>
  <c r="L717" i="1"/>
  <c r="D717" i="1"/>
  <c r="J717" i="1"/>
  <c r="G717" i="1"/>
  <c r="H717" i="1"/>
  <c r="A717" i="1"/>
  <c r="P716" i="1"/>
  <c r="O716" i="1"/>
  <c r="M716" i="1"/>
  <c r="L716" i="1"/>
  <c r="D716" i="1"/>
  <c r="J716" i="1"/>
  <c r="G716" i="1"/>
  <c r="H716" i="1"/>
  <c r="A716" i="1"/>
  <c r="P715" i="1"/>
  <c r="O715" i="1"/>
  <c r="M715" i="1"/>
  <c r="L715" i="1"/>
  <c r="D715" i="1"/>
  <c r="J715" i="1"/>
  <c r="G715" i="1"/>
  <c r="H715" i="1"/>
  <c r="A715" i="1"/>
  <c r="P714" i="1"/>
  <c r="O714" i="1"/>
  <c r="M714" i="1"/>
  <c r="L714" i="1"/>
  <c r="D714" i="1"/>
  <c r="J714" i="1"/>
  <c r="G714" i="1"/>
  <c r="H714" i="1"/>
  <c r="A714" i="1"/>
  <c r="P713" i="1"/>
  <c r="O713" i="1"/>
  <c r="M713" i="1"/>
  <c r="L713" i="1"/>
  <c r="D713" i="1"/>
  <c r="J713" i="1"/>
  <c r="G713" i="1"/>
  <c r="H713" i="1"/>
  <c r="A713" i="1"/>
  <c r="P712" i="1"/>
  <c r="O712" i="1"/>
  <c r="M712" i="1"/>
  <c r="L712" i="1"/>
  <c r="D712" i="1"/>
  <c r="J712" i="1"/>
  <c r="G712" i="1"/>
  <c r="H712" i="1"/>
  <c r="A712" i="1"/>
  <c r="P711" i="1"/>
  <c r="O711" i="1"/>
  <c r="M711" i="1"/>
  <c r="L711" i="1"/>
  <c r="D711" i="1"/>
  <c r="J711" i="1"/>
  <c r="G711" i="1"/>
  <c r="H711" i="1"/>
  <c r="A711" i="1"/>
  <c r="P710" i="1"/>
  <c r="O710" i="1"/>
  <c r="M710" i="1"/>
  <c r="L710" i="1"/>
  <c r="D710" i="1"/>
  <c r="J710" i="1"/>
  <c r="G710" i="1"/>
  <c r="H710" i="1"/>
  <c r="A710" i="1"/>
  <c r="P709" i="1"/>
  <c r="O709" i="1"/>
  <c r="M709" i="1"/>
  <c r="L709" i="1"/>
  <c r="D709" i="1"/>
  <c r="J709" i="1"/>
  <c r="G709" i="1"/>
  <c r="H709" i="1"/>
  <c r="A709" i="1"/>
  <c r="P708" i="1"/>
  <c r="O708" i="1"/>
  <c r="M708" i="1"/>
  <c r="L708" i="1"/>
  <c r="D708" i="1"/>
  <c r="J708" i="1"/>
  <c r="G708" i="1"/>
  <c r="H708" i="1"/>
  <c r="A708" i="1"/>
  <c r="P707" i="1"/>
  <c r="O707" i="1"/>
  <c r="M707" i="1"/>
  <c r="L707" i="1"/>
  <c r="D707" i="1"/>
  <c r="J707" i="1"/>
  <c r="G707" i="1"/>
  <c r="H707" i="1"/>
  <c r="A707" i="1"/>
  <c r="P706" i="1"/>
  <c r="O706" i="1"/>
  <c r="M706" i="1"/>
  <c r="L706" i="1"/>
  <c r="D706" i="1"/>
  <c r="J706" i="1"/>
  <c r="G706" i="1"/>
  <c r="H706" i="1"/>
  <c r="A706" i="1"/>
  <c r="P705" i="1"/>
  <c r="O705" i="1"/>
  <c r="M705" i="1"/>
  <c r="L705" i="1"/>
  <c r="D705" i="1"/>
  <c r="J705" i="1"/>
  <c r="G705" i="1"/>
  <c r="H705" i="1"/>
  <c r="A705" i="1"/>
  <c r="P704" i="1"/>
  <c r="O704" i="1"/>
  <c r="M704" i="1"/>
  <c r="L704" i="1"/>
  <c r="D704" i="1"/>
  <c r="J704" i="1"/>
  <c r="G704" i="1"/>
  <c r="H704" i="1"/>
  <c r="A704" i="1"/>
  <c r="P703" i="1"/>
  <c r="O703" i="1"/>
  <c r="M703" i="1"/>
  <c r="L703" i="1"/>
  <c r="D703" i="1"/>
  <c r="J703" i="1"/>
  <c r="G703" i="1"/>
  <c r="H703" i="1"/>
  <c r="A703" i="1"/>
  <c r="P702" i="1"/>
  <c r="O702" i="1"/>
  <c r="M702" i="1"/>
  <c r="L702" i="1"/>
  <c r="D702" i="1"/>
  <c r="J702" i="1"/>
  <c r="G702" i="1"/>
  <c r="H702" i="1"/>
  <c r="A702" i="1"/>
  <c r="P701" i="1"/>
  <c r="O701" i="1"/>
  <c r="M701" i="1"/>
  <c r="L701" i="1"/>
  <c r="D701" i="1"/>
  <c r="J701" i="1"/>
  <c r="G701" i="1"/>
  <c r="H701" i="1"/>
  <c r="A701" i="1"/>
  <c r="P700" i="1"/>
  <c r="O700" i="1"/>
  <c r="M700" i="1"/>
  <c r="L700" i="1"/>
  <c r="D700" i="1"/>
  <c r="J700" i="1"/>
  <c r="G700" i="1"/>
  <c r="H700" i="1"/>
  <c r="A700" i="1"/>
  <c r="P699" i="1"/>
  <c r="O699" i="1"/>
  <c r="M699" i="1"/>
  <c r="L699" i="1"/>
  <c r="D699" i="1"/>
  <c r="J699" i="1"/>
  <c r="G699" i="1"/>
  <c r="H699" i="1"/>
  <c r="A699" i="1"/>
  <c r="P698" i="1"/>
  <c r="O698" i="1"/>
  <c r="M698" i="1"/>
  <c r="L698" i="1"/>
  <c r="D698" i="1"/>
  <c r="J698" i="1"/>
  <c r="G698" i="1"/>
  <c r="H698" i="1"/>
  <c r="A698" i="1"/>
  <c r="P697" i="1"/>
  <c r="O697" i="1"/>
  <c r="M697" i="1"/>
  <c r="L697" i="1"/>
  <c r="D697" i="1"/>
  <c r="J697" i="1"/>
  <c r="G697" i="1"/>
  <c r="H697" i="1"/>
  <c r="A697" i="1"/>
  <c r="P696" i="1"/>
  <c r="O696" i="1"/>
  <c r="M696" i="1"/>
  <c r="L696" i="1"/>
  <c r="D696" i="1"/>
  <c r="J696" i="1"/>
  <c r="G696" i="1"/>
  <c r="H696" i="1"/>
  <c r="A696" i="1"/>
  <c r="P695" i="1"/>
  <c r="O695" i="1"/>
  <c r="M695" i="1"/>
  <c r="L695" i="1"/>
  <c r="D695" i="1"/>
  <c r="J695" i="1"/>
  <c r="G695" i="1"/>
  <c r="H695" i="1"/>
  <c r="A695" i="1"/>
  <c r="P694" i="1"/>
  <c r="O694" i="1"/>
  <c r="M694" i="1"/>
  <c r="L694" i="1"/>
  <c r="D694" i="1"/>
  <c r="J694" i="1"/>
  <c r="G694" i="1"/>
  <c r="H694" i="1"/>
  <c r="A694" i="1"/>
  <c r="P693" i="1"/>
  <c r="O693" i="1"/>
  <c r="M693" i="1"/>
  <c r="L693" i="1"/>
  <c r="D693" i="1"/>
  <c r="J693" i="1"/>
  <c r="G693" i="1"/>
  <c r="H693" i="1"/>
  <c r="A693" i="1"/>
  <c r="P692" i="1"/>
  <c r="O692" i="1"/>
  <c r="M692" i="1"/>
  <c r="L692" i="1"/>
  <c r="D692" i="1"/>
  <c r="J692" i="1"/>
  <c r="G692" i="1"/>
  <c r="H692" i="1"/>
  <c r="A692" i="1"/>
  <c r="P691" i="1"/>
  <c r="O691" i="1"/>
  <c r="M691" i="1"/>
  <c r="L691" i="1"/>
  <c r="D691" i="1"/>
  <c r="J691" i="1"/>
  <c r="G691" i="1"/>
  <c r="H691" i="1"/>
  <c r="A691" i="1"/>
  <c r="P690" i="1"/>
  <c r="O690" i="1"/>
  <c r="M690" i="1"/>
  <c r="L690" i="1"/>
  <c r="D690" i="1"/>
  <c r="J690" i="1"/>
  <c r="G690" i="1"/>
  <c r="H690" i="1"/>
  <c r="A690" i="1"/>
  <c r="P689" i="1"/>
  <c r="O689" i="1"/>
  <c r="M689" i="1"/>
  <c r="L689" i="1"/>
  <c r="D689" i="1"/>
  <c r="J689" i="1"/>
  <c r="G689" i="1"/>
  <c r="H689" i="1"/>
  <c r="A689" i="1"/>
  <c r="P688" i="1"/>
  <c r="O688" i="1"/>
  <c r="M688" i="1"/>
  <c r="L688" i="1"/>
  <c r="D688" i="1"/>
  <c r="J688" i="1"/>
  <c r="G688" i="1"/>
  <c r="H688" i="1"/>
  <c r="A688" i="1"/>
  <c r="P687" i="1"/>
  <c r="O687" i="1"/>
  <c r="M687" i="1"/>
  <c r="L687" i="1"/>
  <c r="D687" i="1"/>
  <c r="J687" i="1"/>
  <c r="G687" i="1"/>
  <c r="H687" i="1"/>
  <c r="A687" i="1"/>
  <c r="P686" i="1"/>
  <c r="O686" i="1"/>
  <c r="M686" i="1"/>
  <c r="L686" i="1"/>
  <c r="D686" i="1"/>
  <c r="J686" i="1"/>
  <c r="G686" i="1"/>
  <c r="H686" i="1"/>
  <c r="A686" i="1"/>
  <c r="P685" i="1"/>
  <c r="O685" i="1"/>
  <c r="M685" i="1"/>
  <c r="L685" i="1"/>
  <c r="D685" i="1"/>
  <c r="J685" i="1"/>
  <c r="G685" i="1"/>
  <c r="H685" i="1"/>
  <c r="A685" i="1"/>
  <c r="P684" i="1"/>
  <c r="O684" i="1"/>
  <c r="M684" i="1"/>
  <c r="L684" i="1"/>
  <c r="D684" i="1"/>
  <c r="J684" i="1"/>
  <c r="G684" i="1"/>
  <c r="H684" i="1"/>
  <c r="A684" i="1"/>
  <c r="P683" i="1"/>
  <c r="O683" i="1"/>
  <c r="M683" i="1"/>
  <c r="L683" i="1"/>
  <c r="D683" i="1"/>
  <c r="J683" i="1"/>
  <c r="G683" i="1"/>
  <c r="H683" i="1"/>
  <c r="A683" i="1"/>
  <c r="P682" i="1"/>
  <c r="O682" i="1"/>
  <c r="M682" i="1"/>
  <c r="L682" i="1"/>
  <c r="D682" i="1"/>
  <c r="J682" i="1"/>
  <c r="G682" i="1"/>
  <c r="H682" i="1"/>
  <c r="A682" i="1"/>
  <c r="P681" i="1"/>
  <c r="O681" i="1"/>
  <c r="M681" i="1"/>
  <c r="L681" i="1"/>
  <c r="D681" i="1"/>
  <c r="J681" i="1"/>
  <c r="G681" i="1"/>
  <c r="H681" i="1"/>
  <c r="A681" i="1"/>
  <c r="P680" i="1"/>
  <c r="O680" i="1"/>
  <c r="M680" i="1"/>
  <c r="L680" i="1"/>
  <c r="D680" i="1"/>
  <c r="J680" i="1"/>
  <c r="G680" i="1"/>
  <c r="H680" i="1"/>
  <c r="A680" i="1"/>
  <c r="P679" i="1"/>
  <c r="O679" i="1"/>
  <c r="M679" i="1"/>
  <c r="L679" i="1"/>
  <c r="D679" i="1"/>
  <c r="J679" i="1"/>
  <c r="G679" i="1"/>
  <c r="H679" i="1"/>
  <c r="A679" i="1"/>
  <c r="P678" i="1"/>
  <c r="O678" i="1"/>
  <c r="M678" i="1"/>
  <c r="L678" i="1"/>
  <c r="D678" i="1"/>
  <c r="J678" i="1"/>
  <c r="G678" i="1"/>
  <c r="H678" i="1"/>
  <c r="A678" i="1"/>
  <c r="P677" i="1"/>
  <c r="O677" i="1"/>
  <c r="M677" i="1"/>
  <c r="L677" i="1"/>
  <c r="D677" i="1"/>
  <c r="J677" i="1"/>
  <c r="G677" i="1"/>
  <c r="H677" i="1"/>
  <c r="A677" i="1"/>
  <c r="P676" i="1"/>
  <c r="O676" i="1"/>
  <c r="M676" i="1"/>
  <c r="L676" i="1"/>
  <c r="D676" i="1"/>
  <c r="J676" i="1"/>
  <c r="G676" i="1"/>
  <c r="H676" i="1"/>
  <c r="A676" i="1"/>
  <c r="P675" i="1"/>
  <c r="O675" i="1"/>
  <c r="M675" i="1"/>
  <c r="L675" i="1"/>
  <c r="D675" i="1"/>
  <c r="J675" i="1"/>
  <c r="G675" i="1"/>
  <c r="H675" i="1"/>
  <c r="A675" i="1"/>
  <c r="P674" i="1"/>
  <c r="O674" i="1"/>
  <c r="M674" i="1"/>
  <c r="L674" i="1"/>
  <c r="D674" i="1"/>
  <c r="J674" i="1"/>
  <c r="G674" i="1"/>
  <c r="H674" i="1"/>
  <c r="A674" i="1"/>
  <c r="P673" i="1"/>
  <c r="O673" i="1"/>
  <c r="M673" i="1"/>
  <c r="L673" i="1"/>
  <c r="D673" i="1"/>
  <c r="J673" i="1"/>
  <c r="G673" i="1"/>
  <c r="H673" i="1"/>
  <c r="A673" i="1"/>
  <c r="P672" i="1"/>
  <c r="O672" i="1"/>
  <c r="M672" i="1"/>
  <c r="L672" i="1"/>
  <c r="D672" i="1"/>
  <c r="J672" i="1"/>
  <c r="G672" i="1"/>
  <c r="H672" i="1"/>
  <c r="A672" i="1"/>
  <c r="P671" i="1"/>
  <c r="O671" i="1"/>
  <c r="M671" i="1"/>
  <c r="L671" i="1"/>
  <c r="D671" i="1"/>
  <c r="J671" i="1"/>
  <c r="G671" i="1"/>
  <c r="H671" i="1"/>
  <c r="A671" i="1"/>
  <c r="P670" i="1"/>
  <c r="O670" i="1"/>
  <c r="M670" i="1"/>
  <c r="L670" i="1"/>
  <c r="D670" i="1"/>
  <c r="J670" i="1"/>
  <c r="G670" i="1"/>
  <c r="H670" i="1"/>
  <c r="A670" i="1"/>
  <c r="P669" i="1"/>
  <c r="O669" i="1"/>
  <c r="M669" i="1"/>
  <c r="L669" i="1"/>
  <c r="D669" i="1"/>
  <c r="J669" i="1"/>
  <c r="G669" i="1"/>
  <c r="H669" i="1"/>
  <c r="A669" i="1"/>
  <c r="P668" i="1"/>
  <c r="O668" i="1"/>
  <c r="M668" i="1"/>
  <c r="L668" i="1"/>
  <c r="D668" i="1"/>
  <c r="J668" i="1"/>
  <c r="G668" i="1"/>
  <c r="H668" i="1"/>
  <c r="A668" i="1"/>
  <c r="P667" i="1"/>
  <c r="O667" i="1"/>
  <c r="M667" i="1"/>
  <c r="L667" i="1"/>
  <c r="D667" i="1"/>
  <c r="J667" i="1"/>
  <c r="G667" i="1"/>
  <c r="H667" i="1"/>
  <c r="A667" i="1"/>
  <c r="P666" i="1"/>
  <c r="O666" i="1"/>
  <c r="M666" i="1"/>
  <c r="L666" i="1"/>
  <c r="D666" i="1"/>
  <c r="J666" i="1"/>
  <c r="G666" i="1"/>
  <c r="H666" i="1"/>
  <c r="A666" i="1"/>
  <c r="P665" i="1"/>
  <c r="O665" i="1"/>
  <c r="M665" i="1"/>
  <c r="L665" i="1"/>
  <c r="D665" i="1"/>
  <c r="J665" i="1"/>
  <c r="G665" i="1"/>
  <c r="H665" i="1"/>
  <c r="A665" i="1"/>
  <c r="P664" i="1"/>
  <c r="O664" i="1"/>
  <c r="M664" i="1"/>
  <c r="L664" i="1"/>
  <c r="D664" i="1"/>
  <c r="J664" i="1"/>
  <c r="G664" i="1"/>
  <c r="H664" i="1"/>
  <c r="A664" i="1"/>
  <c r="P663" i="1"/>
  <c r="O663" i="1"/>
  <c r="M663" i="1"/>
  <c r="L663" i="1"/>
  <c r="D663" i="1"/>
  <c r="J663" i="1"/>
  <c r="G663" i="1"/>
  <c r="H663" i="1"/>
  <c r="A663" i="1"/>
  <c r="P662" i="1"/>
  <c r="O662" i="1"/>
  <c r="M662" i="1"/>
  <c r="L662" i="1"/>
  <c r="D662" i="1"/>
  <c r="J662" i="1"/>
  <c r="G662" i="1"/>
  <c r="H662" i="1"/>
  <c r="A662" i="1"/>
  <c r="P661" i="1"/>
  <c r="O661" i="1"/>
  <c r="M661" i="1"/>
  <c r="L661" i="1"/>
  <c r="D661" i="1"/>
  <c r="J661" i="1"/>
  <c r="G661" i="1"/>
  <c r="H661" i="1"/>
  <c r="A661" i="1"/>
  <c r="P660" i="1"/>
  <c r="O660" i="1"/>
  <c r="M660" i="1"/>
  <c r="L660" i="1"/>
  <c r="D660" i="1"/>
  <c r="J660" i="1"/>
  <c r="G660" i="1"/>
  <c r="H660" i="1"/>
  <c r="A660" i="1"/>
  <c r="P659" i="1"/>
  <c r="O659" i="1"/>
  <c r="M659" i="1"/>
  <c r="L659" i="1"/>
  <c r="D659" i="1"/>
  <c r="J659" i="1"/>
  <c r="G659" i="1"/>
  <c r="H659" i="1"/>
  <c r="A659" i="1"/>
  <c r="P658" i="1"/>
  <c r="O658" i="1"/>
  <c r="M658" i="1"/>
  <c r="L658" i="1"/>
  <c r="D658" i="1"/>
  <c r="J658" i="1"/>
  <c r="G658" i="1"/>
  <c r="H658" i="1"/>
  <c r="A658" i="1"/>
  <c r="P657" i="1"/>
  <c r="O657" i="1"/>
  <c r="M657" i="1"/>
  <c r="L657" i="1"/>
  <c r="D657" i="1"/>
  <c r="J657" i="1"/>
  <c r="G657" i="1"/>
  <c r="H657" i="1"/>
  <c r="A657" i="1"/>
  <c r="P656" i="1"/>
  <c r="O656" i="1"/>
  <c r="M656" i="1"/>
  <c r="L656" i="1"/>
  <c r="D656" i="1"/>
  <c r="J656" i="1"/>
  <c r="G656" i="1"/>
  <c r="H656" i="1"/>
  <c r="A656" i="1"/>
  <c r="P655" i="1"/>
  <c r="O655" i="1"/>
  <c r="M655" i="1"/>
  <c r="L655" i="1"/>
  <c r="D655" i="1"/>
  <c r="J655" i="1"/>
  <c r="G655" i="1"/>
  <c r="H655" i="1"/>
  <c r="A655" i="1"/>
  <c r="P654" i="1"/>
  <c r="O654" i="1"/>
  <c r="M654" i="1"/>
  <c r="L654" i="1"/>
  <c r="D654" i="1"/>
  <c r="J654" i="1"/>
  <c r="G654" i="1"/>
  <c r="H654" i="1"/>
  <c r="A654" i="1"/>
  <c r="P653" i="1"/>
  <c r="O653" i="1"/>
  <c r="M653" i="1"/>
  <c r="L653" i="1"/>
  <c r="D653" i="1"/>
  <c r="J653" i="1"/>
  <c r="G653" i="1"/>
  <c r="H653" i="1"/>
  <c r="A653" i="1"/>
  <c r="P652" i="1"/>
  <c r="O652" i="1"/>
  <c r="M652" i="1"/>
  <c r="L652" i="1"/>
  <c r="D652" i="1"/>
  <c r="J652" i="1"/>
  <c r="G652" i="1"/>
  <c r="H652" i="1"/>
  <c r="A652" i="1"/>
  <c r="P651" i="1"/>
  <c r="O651" i="1"/>
  <c r="M651" i="1"/>
  <c r="L651" i="1"/>
  <c r="D651" i="1"/>
  <c r="J651" i="1"/>
  <c r="G651" i="1"/>
  <c r="H651" i="1"/>
  <c r="A651" i="1"/>
  <c r="P650" i="1"/>
  <c r="O650" i="1"/>
  <c r="M650" i="1"/>
  <c r="L650" i="1"/>
  <c r="D650" i="1"/>
  <c r="J650" i="1"/>
  <c r="G650" i="1"/>
  <c r="H650" i="1"/>
  <c r="A650" i="1"/>
  <c r="P649" i="1"/>
  <c r="O649" i="1"/>
  <c r="M649" i="1"/>
  <c r="L649" i="1"/>
  <c r="D649" i="1"/>
  <c r="J649" i="1"/>
  <c r="G649" i="1"/>
  <c r="H649" i="1"/>
  <c r="A649" i="1"/>
  <c r="P648" i="1"/>
  <c r="O648" i="1"/>
  <c r="M648" i="1"/>
  <c r="L648" i="1"/>
  <c r="D648" i="1"/>
  <c r="J648" i="1"/>
  <c r="G648" i="1"/>
  <c r="H648" i="1"/>
  <c r="A648" i="1"/>
  <c r="P647" i="1"/>
  <c r="O647" i="1"/>
  <c r="M647" i="1"/>
  <c r="L647" i="1"/>
  <c r="D647" i="1"/>
  <c r="J647" i="1"/>
  <c r="G647" i="1"/>
  <c r="H647" i="1"/>
  <c r="A647" i="1"/>
  <c r="P646" i="1"/>
  <c r="O646" i="1"/>
  <c r="M646" i="1"/>
  <c r="L646" i="1"/>
  <c r="D646" i="1"/>
  <c r="J646" i="1"/>
  <c r="G646" i="1"/>
  <c r="H646" i="1"/>
  <c r="A646" i="1"/>
  <c r="P645" i="1"/>
  <c r="O645" i="1"/>
  <c r="M645" i="1"/>
  <c r="L645" i="1"/>
  <c r="D645" i="1"/>
  <c r="J645" i="1"/>
  <c r="G645" i="1"/>
  <c r="H645" i="1"/>
  <c r="A645" i="1"/>
  <c r="P644" i="1"/>
  <c r="O644" i="1"/>
  <c r="M644" i="1"/>
  <c r="L644" i="1"/>
  <c r="D644" i="1"/>
  <c r="J644" i="1"/>
  <c r="G644" i="1"/>
  <c r="H644" i="1"/>
  <c r="A644" i="1"/>
  <c r="P643" i="1"/>
  <c r="O643" i="1"/>
  <c r="M643" i="1"/>
  <c r="L643" i="1"/>
  <c r="D643" i="1"/>
  <c r="J643" i="1"/>
  <c r="G643" i="1"/>
  <c r="H643" i="1"/>
  <c r="A643" i="1"/>
  <c r="P642" i="1"/>
  <c r="O642" i="1"/>
  <c r="M642" i="1"/>
  <c r="L642" i="1"/>
  <c r="D642" i="1"/>
  <c r="J642" i="1"/>
  <c r="G642" i="1"/>
  <c r="H642" i="1"/>
  <c r="A642" i="1"/>
  <c r="P641" i="1"/>
  <c r="O641" i="1"/>
  <c r="M641" i="1"/>
  <c r="L641" i="1"/>
  <c r="D641" i="1"/>
  <c r="J641" i="1"/>
  <c r="G641" i="1"/>
  <c r="H641" i="1"/>
  <c r="A641" i="1"/>
  <c r="P640" i="1"/>
  <c r="O640" i="1"/>
  <c r="M640" i="1"/>
  <c r="L640" i="1"/>
  <c r="D640" i="1"/>
  <c r="J640" i="1"/>
  <c r="G640" i="1"/>
  <c r="H640" i="1"/>
  <c r="A640" i="1"/>
  <c r="P639" i="1"/>
  <c r="O639" i="1"/>
  <c r="M639" i="1"/>
  <c r="L639" i="1"/>
  <c r="D639" i="1"/>
  <c r="J639" i="1"/>
  <c r="G639" i="1"/>
  <c r="H639" i="1"/>
  <c r="A639" i="1"/>
  <c r="P638" i="1"/>
  <c r="O638" i="1"/>
  <c r="M638" i="1"/>
  <c r="L638" i="1"/>
  <c r="D638" i="1"/>
  <c r="J638" i="1"/>
  <c r="G638" i="1"/>
  <c r="H638" i="1"/>
  <c r="A638" i="1"/>
  <c r="P637" i="1"/>
  <c r="O637" i="1"/>
  <c r="M637" i="1"/>
  <c r="L637" i="1"/>
  <c r="D637" i="1"/>
  <c r="J637" i="1"/>
  <c r="G637" i="1"/>
  <c r="H637" i="1"/>
  <c r="A637" i="1"/>
  <c r="P636" i="1"/>
  <c r="O636" i="1"/>
  <c r="M636" i="1"/>
  <c r="L636" i="1"/>
  <c r="D636" i="1"/>
  <c r="J636" i="1"/>
  <c r="G636" i="1"/>
  <c r="H636" i="1"/>
  <c r="A636" i="1"/>
  <c r="P635" i="1"/>
  <c r="O635" i="1"/>
  <c r="M635" i="1"/>
  <c r="L635" i="1"/>
  <c r="D635" i="1"/>
  <c r="J635" i="1"/>
  <c r="G635" i="1"/>
  <c r="H635" i="1"/>
  <c r="A635" i="1"/>
  <c r="P634" i="1"/>
  <c r="O634" i="1"/>
  <c r="M634" i="1"/>
  <c r="L634" i="1"/>
  <c r="D634" i="1"/>
  <c r="J634" i="1"/>
  <c r="G634" i="1"/>
  <c r="H634" i="1"/>
  <c r="A634" i="1"/>
  <c r="P633" i="1"/>
  <c r="O633" i="1"/>
  <c r="M633" i="1"/>
  <c r="L633" i="1"/>
  <c r="D633" i="1"/>
  <c r="J633" i="1"/>
  <c r="G633" i="1"/>
  <c r="H633" i="1"/>
  <c r="A633" i="1"/>
  <c r="P632" i="1"/>
  <c r="O632" i="1"/>
  <c r="M632" i="1"/>
  <c r="L632" i="1"/>
  <c r="D632" i="1"/>
  <c r="J632" i="1"/>
  <c r="G632" i="1"/>
  <c r="H632" i="1"/>
  <c r="A632" i="1"/>
  <c r="P631" i="1"/>
  <c r="O631" i="1"/>
  <c r="M631" i="1"/>
  <c r="L631" i="1"/>
  <c r="D631" i="1"/>
  <c r="J631" i="1"/>
  <c r="G631" i="1"/>
  <c r="H631" i="1"/>
  <c r="A631" i="1"/>
  <c r="P630" i="1"/>
  <c r="O630" i="1"/>
  <c r="M630" i="1"/>
  <c r="L630" i="1"/>
  <c r="D630" i="1"/>
  <c r="J630" i="1"/>
  <c r="G630" i="1"/>
  <c r="H630" i="1"/>
  <c r="A630" i="1"/>
  <c r="P629" i="1"/>
  <c r="O629" i="1"/>
  <c r="M629" i="1"/>
  <c r="L629" i="1"/>
  <c r="D629" i="1"/>
  <c r="J629" i="1"/>
  <c r="G629" i="1"/>
  <c r="H629" i="1"/>
  <c r="A629" i="1"/>
  <c r="P628" i="1"/>
  <c r="O628" i="1"/>
  <c r="M628" i="1"/>
  <c r="L628" i="1"/>
  <c r="D628" i="1"/>
  <c r="J628" i="1"/>
  <c r="G628" i="1"/>
  <c r="H628" i="1"/>
  <c r="A628" i="1"/>
  <c r="P627" i="1"/>
  <c r="O627" i="1"/>
  <c r="M627" i="1"/>
  <c r="L627" i="1"/>
  <c r="D627" i="1"/>
  <c r="J627" i="1"/>
  <c r="G627" i="1"/>
  <c r="H627" i="1"/>
  <c r="A627" i="1"/>
  <c r="P626" i="1"/>
  <c r="O626" i="1"/>
  <c r="M626" i="1"/>
  <c r="L626" i="1"/>
  <c r="D626" i="1"/>
  <c r="J626" i="1"/>
  <c r="G626" i="1"/>
  <c r="H626" i="1"/>
  <c r="A626" i="1"/>
  <c r="P625" i="1"/>
  <c r="O625" i="1"/>
  <c r="M625" i="1"/>
  <c r="L625" i="1"/>
  <c r="D625" i="1"/>
  <c r="J625" i="1"/>
  <c r="G625" i="1"/>
  <c r="H625" i="1"/>
  <c r="A625" i="1"/>
  <c r="P624" i="1"/>
  <c r="O624" i="1"/>
  <c r="M624" i="1"/>
  <c r="L624" i="1"/>
  <c r="D624" i="1"/>
  <c r="J624" i="1"/>
  <c r="G624" i="1"/>
  <c r="H624" i="1"/>
  <c r="A624" i="1"/>
  <c r="P623" i="1"/>
  <c r="O623" i="1"/>
  <c r="M623" i="1"/>
  <c r="L623" i="1"/>
  <c r="D623" i="1"/>
  <c r="J623" i="1"/>
  <c r="G623" i="1"/>
  <c r="H623" i="1"/>
  <c r="A623" i="1"/>
  <c r="P622" i="1"/>
  <c r="O622" i="1"/>
  <c r="M622" i="1"/>
  <c r="L622" i="1"/>
  <c r="D622" i="1"/>
  <c r="J622" i="1"/>
  <c r="G622" i="1"/>
  <c r="H622" i="1"/>
  <c r="A622" i="1"/>
  <c r="P621" i="1"/>
  <c r="O621" i="1"/>
  <c r="M621" i="1"/>
  <c r="L621" i="1"/>
  <c r="D621" i="1"/>
  <c r="J621" i="1"/>
  <c r="G621" i="1"/>
  <c r="H621" i="1"/>
  <c r="A621" i="1"/>
  <c r="P620" i="1"/>
  <c r="O620" i="1"/>
  <c r="M620" i="1"/>
  <c r="L620" i="1"/>
  <c r="D620" i="1"/>
  <c r="J620" i="1"/>
  <c r="G620" i="1"/>
  <c r="H620" i="1"/>
  <c r="A620" i="1"/>
  <c r="P619" i="1"/>
  <c r="O619" i="1"/>
  <c r="M619" i="1"/>
  <c r="L619" i="1"/>
  <c r="D619" i="1"/>
  <c r="J619" i="1"/>
  <c r="G619" i="1"/>
  <c r="H619" i="1"/>
  <c r="A619" i="1"/>
  <c r="P618" i="1"/>
  <c r="O618" i="1"/>
  <c r="M618" i="1"/>
  <c r="L618" i="1"/>
  <c r="D618" i="1"/>
  <c r="J618" i="1"/>
  <c r="G618" i="1"/>
  <c r="H618" i="1"/>
  <c r="A618" i="1"/>
  <c r="P617" i="1"/>
  <c r="O617" i="1"/>
  <c r="M617" i="1"/>
  <c r="L617" i="1"/>
  <c r="D617" i="1"/>
  <c r="J617" i="1"/>
  <c r="G617" i="1"/>
  <c r="H617" i="1"/>
  <c r="A617" i="1"/>
  <c r="P616" i="1"/>
  <c r="O616" i="1"/>
  <c r="M616" i="1"/>
  <c r="L616" i="1"/>
  <c r="D616" i="1"/>
  <c r="J616" i="1"/>
  <c r="G616" i="1"/>
  <c r="H616" i="1"/>
  <c r="A616" i="1"/>
  <c r="P615" i="1"/>
  <c r="O615" i="1"/>
  <c r="M615" i="1"/>
  <c r="L615" i="1"/>
  <c r="D615" i="1"/>
  <c r="J615" i="1"/>
  <c r="G615" i="1"/>
  <c r="H615" i="1"/>
  <c r="A615" i="1"/>
  <c r="P614" i="1"/>
  <c r="O614" i="1"/>
  <c r="M614" i="1"/>
  <c r="L614" i="1"/>
  <c r="D614" i="1"/>
  <c r="J614" i="1"/>
  <c r="G614" i="1"/>
  <c r="H614" i="1"/>
  <c r="A614" i="1"/>
  <c r="P613" i="1"/>
  <c r="O613" i="1"/>
  <c r="M613" i="1"/>
  <c r="L613" i="1"/>
  <c r="D613" i="1"/>
  <c r="J613" i="1"/>
  <c r="G613" i="1"/>
  <c r="H613" i="1"/>
  <c r="A613" i="1"/>
  <c r="P612" i="1"/>
  <c r="O612" i="1"/>
  <c r="M612" i="1"/>
  <c r="L612" i="1"/>
  <c r="D612" i="1"/>
  <c r="J612" i="1"/>
  <c r="G612" i="1"/>
  <c r="H612" i="1"/>
  <c r="A612" i="1"/>
  <c r="P611" i="1"/>
  <c r="O611" i="1"/>
  <c r="M611" i="1"/>
  <c r="L611" i="1"/>
  <c r="D611" i="1"/>
  <c r="J611" i="1"/>
  <c r="G611" i="1"/>
  <c r="H611" i="1"/>
  <c r="A611" i="1"/>
  <c r="P610" i="1"/>
  <c r="O610" i="1"/>
  <c r="M610" i="1"/>
  <c r="L610" i="1"/>
  <c r="D610" i="1"/>
  <c r="J610" i="1"/>
  <c r="G610" i="1"/>
  <c r="H610" i="1"/>
  <c r="A610" i="1"/>
  <c r="P609" i="1"/>
  <c r="O609" i="1"/>
  <c r="M609" i="1"/>
  <c r="L609" i="1"/>
  <c r="D609" i="1"/>
  <c r="J609" i="1"/>
  <c r="G609" i="1"/>
  <c r="H609" i="1"/>
  <c r="A609" i="1"/>
  <c r="P608" i="1"/>
  <c r="O608" i="1"/>
  <c r="M608" i="1"/>
  <c r="L608" i="1"/>
  <c r="D608" i="1"/>
  <c r="J608" i="1"/>
  <c r="G608" i="1"/>
  <c r="H608" i="1"/>
  <c r="A608" i="1"/>
  <c r="P607" i="1"/>
  <c r="O607" i="1"/>
  <c r="M607" i="1"/>
  <c r="L607" i="1"/>
  <c r="D607" i="1"/>
  <c r="J607" i="1"/>
  <c r="G607" i="1"/>
  <c r="H607" i="1"/>
  <c r="A607" i="1"/>
  <c r="P606" i="1"/>
  <c r="O606" i="1"/>
  <c r="M606" i="1"/>
  <c r="L606" i="1"/>
  <c r="D606" i="1"/>
  <c r="J606" i="1"/>
  <c r="G606" i="1"/>
  <c r="H606" i="1"/>
  <c r="A606" i="1"/>
  <c r="P605" i="1"/>
  <c r="O605" i="1"/>
  <c r="M605" i="1"/>
  <c r="L605" i="1"/>
  <c r="D605" i="1"/>
  <c r="J605" i="1"/>
  <c r="G605" i="1"/>
  <c r="H605" i="1"/>
  <c r="A605" i="1"/>
  <c r="P604" i="1"/>
  <c r="O604" i="1"/>
  <c r="M604" i="1"/>
  <c r="L604" i="1"/>
  <c r="D604" i="1"/>
  <c r="J604" i="1"/>
  <c r="G604" i="1"/>
  <c r="H604" i="1"/>
  <c r="A604" i="1"/>
  <c r="P603" i="1"/>
  <c r="O603" i="1"/>
  <c r="M603" i="1"/>
  <c r="L603" i="1"/>
  <c r="D603" i="1"/>
  <c r="J603" i="1"/>
  <c r="G603" i="1"/>
  <c r="H603" i="1"/>
  <c r="A603" i="1"/>
  <c r="P602" i="1"/>
  <c r="O602" i="1"/>
  <c r="M602" i="1"/>
  <c r="L602" i="1"/>
  <c r="D602" i="1"/>
  <c r="J602" i="1"/>
  <c r="G602" i="1"/>
  <c r="H602" i="1"/>
  <c r="A602" i="1"/>
  <c r="P601" i="1"/>
  <c r="O601" i="1"/>
  <c r="M601" i="1"/>
  <c r="L601" i="1"/>
  <c r="D601" i="1"/>
  <c r="J601" i="1"/>
  <c r="G601" i="1"/>
  <c r="H601" i="1"/>
  <c r="A601" i="1"/>
  <c r="P600" i="1"/>
  <c r="O600" i="1"/>
  <c r="M600" i="1"/>
  <c r="L600" i="1"/>
  <c r="D600" i="1"/>
  <c r="J600" i="1"/>
  <c r="G600" i="1"/>
  <c r="H600" i="1"/>
  <c r="A600" i="1"/>
  <c r="P599" i="1"/>
  <c r="O599" i="1"/>
  <c r="M599" i="1"/>
  <c r="L599" i="1"/>
  <c r="D599" i="1"/>
  <c r="J599" i="1"/>
  <c r="G599" i="1"/>
  <c r="H599" i="1"/>
  <c r="A599" i="1"/>
  <c r="P598" i="1"/>
  <c r="O598" i="1"/>
  <c r="M598" i="1"/>
  <c r="L598" i="1"/>
  <c r="D598" i="1"/>
  <c r="J598" i="1"/>
  <c r="G598" i="1"/>
  <c r="H598" i="1"/>
  <c r="A598" i="1"/>
  <c r="P597" i="1"/>
  <c r="O597" i="1"/>
  <c r="M597" i="1"/>
  <c r="L597" i="1"/>
  <c r="D597" i="1"/>
  <c r="J597" i="1"/>
  <c r="G597" i="1"/>
  <c r="H597" i="1"/>
  <c r="A597" i="1"/>
  <c r="P596" i="1"/>
  <c r="O596" i="1"/>
  <c r="M596" i="1"/>
  <c r="L596" i="1"/>
  <c r="D596" i="1"/>
  <c r="J596" i="1"/>
  <c r="G596" i="1"/>
  <c r="H596" i="1"/>
  <c r="A596" i="1"/>
  <c r="P595" i="1"/>
  <c r="O595" i="1"/>
  <c r="M595" i="1"/>
  <c r="L595" i="1"/>
  <c r="D595" i="1"/>
  <c r="J595" i="1"/>
  <c r="G595" i="1"/>
  <c r="H595" i="1"/>
  <c r="A595" i="1"/>
  <c r="P594" i="1"/>
  <c r="O594" i="1"/>
  <c r="M594" i="1"/>
  <c r="L594" i="1"/>
  <c r="D594" i="1"/>
  <c r="J594" i="1"/>
  <c r="G594" i="1"/>
  <c r="H594" i="1"/>
  <c r="A594" i="1"/>
  <c r="P593" i="1"/>
  <c r="O593" i="1"/>
  <c r="M593" i="1"/>
  <c r="L593" i="1"/>
  <c r="D593" i="1"/>
  <c r="J593" i="1"/>
  <c r="G593" i="1"/>
  <c r="H593" i="1"/>
  <c r="A593" i="1"/>
  <c r="P592" i="1"/>
  <c r="O592" i="1"/>
  <c r="M592" i="1"/>
  <c r="L592" i="1"/>
  <c r="D592" i="1"/>
  <c r="J592" i="1"/>
  <c r="G592" i="1"/>
  <c r="H592" i="1"/>
  <c r="A592" i="1"/>
  <c r="P591" i="1"/>
  <c r="O591" i="1"/>
  <c r="M591" i="1"/>
  <c r="L591" i="1"/>
  <c r="D591" i="1"/>
  <c r="J591" i="1"/>
  <c r="G591" i="1"/>
  <c r="H591" i="1"/>
  <c r="A591" i="1"/>
  <c r="P590" i="1"/>
  <c r="O590" i="1"/>
  <c r="M590" i="1"/>
  <c r="L590" i="1"/>
  <c r="D590" i="1"/>
  <c r="J590" i="1"/>
  <c r="G590" i="1"/>
  <c r="H590" i="1"/>
  <c r="A590" i="1"/>
  <c r="P589" i="1"/>
  <c r="O589" i="1"/>
  <c r="M589" i="1"/>
  <c r="L589" i="1"/>
  <c r="D589" i="1"/>
  <c r="J589" i="1"/>
  <c r="G589" i="1"/>
  <c r="H589" i="1"/>
  <c r="A589" i="1"/>
  <c r="P588" i="1"/>
  <c r="O588" i="1"/>
  <c r="M588" i="1"/>
  <c r="L588" i="1"/>
  <c r="D588" i="1"/>
  <c r="J588" i="1"/>
  <c r="G588" i="1"/>
  <c r="H588" i="1"/>
  <c r="A588" i="1"/>
  <c r="P587" i="1"/>
  <c r="O587" i="1"/>
  <c r="M587" i="1"/>
  <c r="L587" i="1"/>
  <c r="D587" i="1"/>
  <c r="J587" i="1"/>
  <c r="G587" i="1"/>
  <c r="H587" i="1"/>
  <c r="A587" i="1"/>
  <c r="P586" i="1"/>
  <c r="O586" i="1"/>
  <c r="M586" i="1"/>
  <c r="L586" i="1"/>
  <c r="D586" i="1"/>
  <c r="J586" i="1"/>
  <c r="G586" i="1"/>
  <c r="H586" i="1"/>
  <c r="A586" i="1"/>
  <c r="P585" i="1"/>
  <c r="O585" i="1"/>
  <c r="M585" i="1"/>
  <c r="L585" i="1"/>
  <c r="D585" i="1"/>
  <c r="J585" i="1"/>
  <c r="G585" i="1"/>
  <c r="H585" i="1"/>
  <c r="A585" i="1"/>
  <c r="P584" i="1"/>
  <c r="O584" i="1"/>
  <c r="M584" i="1"/>
  <c r="L584" i="1"/>
  <c r="D584" i="1"/>
  <c r="J584" i="1"/>
  <c r="G584" i="1"/>
  <c r="H584" i="1"/>
  <c r="A584" i="1"/>
  <c r="P583" i="1"/>
  <c r="O583" i="1"/>
  <c r="M583" i="1"/>
  <c r="L583" i="1"/>
  <c r="D583" i="1"/>
  <c r="J583" i="1"/>
  <c r="G583" i="1"/>
  <c r="H583" i="1"/>
  <c r="A583" i="1"/>
  <c r="P582" i="1"/>
  <c r="O582" i="1"/>
  <c r="M582" i="1"/>
  <c r="L582" i="1"/>
  <c r="D582" i="1"/>
  <c r="J582" i="1"/>
  <c r="G582" i="1"/>
  <c r="H582" i="1"/>
  <c r="A582" i="1"/>
  <c r="P581" i="1"/>
  <c r="O581" i="1"/>
  <c r="M581" i="1"/>
  <c r="L581" i="1"/>
  <c r="D581" i="1"/>
  <c r="J581" i="1"/>
  <c r="G581" i="1"/>
  <c r="H581" i="1"/>
  <c r="A581" i="1"/>
  <c r="P580" i="1"/>
  <c r="O580" i="1"/>
  <c r="M580" i="1"/>
  <c r="L580" i="1"/>
  <c r="D580" i="1"/>
  <c r="J580" i="1"/>
  <c r="G580" i="1"/>
  <c r="H580" i="1"/>
  <c r="A580" i="1"/>
  <c r="P579" i="1"/>
  <c r="O579" i="1"/>
  <c r="M579" i="1"/>
  <c r="L579" i="1"/>
  <c r="D579" i="1"/>
  <c r="J579" i="1"/>
  <c r="G579" i="1"/>
  <c r="H579" i="1"/>
  <c r="A579" i="1"/>
  <c r="P578" i="1"/>
  <c r="O578" i="1"/>
  <c r="M578" i="1"/>
  <c r="L578" i="1"/>
  <c r="D578" i="1"/>
  <c r="J578" i="1"/>
  <c r="G578" i="1"/>
  <c r="H578" i="1"/>
  <c r="A578" i="1"/>
  <c r="P577" i="1"/>
  <c r="O577" i="1"/>
  <c r="M577" i="1"/>
  <c r="L577" i="1"/>
  <c r="D577" i="1"/>
  <c r="J577" i="1"/>
  <c r="G577" i="1"/>
  <c r="H577" i="1"/>
  <c r="A577" i="1"/>
  <c r="P576" i="1"/>
  <c r="O576" i="1"/>
  <c r="M576" i="1"/>
  <c r="L576" i="1"/>
  <c r="D576" i="1"/>
  <c r="J576" i="1"/>
  <c r="G576" i="1"/>
  <c r="H576" i="1"/>
  <c r="A576" i="1"/>
  <c r="P575" i="1"/>
  <c r="O575" i="1"/>
  <c r="M575" i="1"/>
  <c r="L575" i="1"/>
  <c r="D575" i="1"/>
  <c r="J575" i="1"/>
  <c r="G575" i="1"/>
  <c r="H575" i="1"/>
  <c r="A575" i="1"/>
  <c r="P574" i="1"/>
  <c r="O574" i="1"/>
  <c r="M574" i="1"/>
  <c r="L574" i="1"/>
  <c r="D574" i="1"/>
  <c r="J574" i="1"/>
  <c r="G574" i="1"/>
  <c r="H574" i="1"/>
  <c r="A574" i="1"/>
  <c r="P573" i="1"/>
  <c r="O573" i="1"/>
  <c r="M573" i="1"/>
  <c r="L573" i="1"/>
  <c r="D573" i="1"/>
  <c r="J573" i="1"/>
  <c r="G573" i="1"/>
  <c r="H573" i="1"/>
  <c r="A573" i="1"/>
  <c r="P572" i="1"/>
  <c r="O572" i="1"/>
  <c r="M572" i="1"/>
  <c r="L572" i="1"/>
  <c r="D572" i="1"/>
  <c r="J572" i="1"/>
  <c r="G572" i="1"/>
  <c r="H572" i="1"/>
  <c r="A572" i="1"/>
  <c r="P571" i="1"/>
  <c r="O571" i="1"/>
  <c r="M571" i="1"/>
  <c r="L571" i="1"/>
  <c r="D571" i="1"/>
  <c r="J571" i="1"/>
  <c r="G571" i="1"/>
  <c r="H571" i="1"/>
  <c r="A571" i="1"/>
  <c r="P570" i="1"/>
  <c r="O570" i="1"/>
  <c r="M570" i="1"/>
  <c r="L570" i="1"/>
  <c r="D570" i="1"/>
  <c r="J570" i="1"/>
  <c r="G570" i="1"/>
  <c r="H570" i="1"/>
  <c r="A570" i="1"/>
  <c r="P569" i="1"/>
  <c r="O569" i="1"/>
  <c r="M569" i="1"/>
  <c r="L569" i="1"/>
  <c r="D569" i="1"/>
  <c r="J569" i="1"/>
  <c r="G569" i="1"/>
  <c r="H569" i="1"/>
  <c r="A569" i="1"/>
  <c r="P568" i="1"/>
  <c r="O568" i="1"/>
  <c r="M568" i="1"/>
  <c r="L568" i="1"/>
  <c r="D568" i="1"/>
  <c r="J568" i="1"/>
  <c r="G568" i="1"/>
  <c r="H568" i="1"/>
  <c r="A568" i="1"/>
  <c r="P567" i="1"/>
  <c r="O567" i="1"/>
  <c r="M567" i="1"/>
  <c r="L567" i="1"/>
  <c r="D567" i="1"/>
  <c r="J567" i="1"/>
  <c r="G567" i="1"/>
  <c r="H567" i="1"/>
  <c r="A567" i="1"/>
  <c r="P566" i="1"/>
  <c r="O566" i="1"/>
  <c r="M566" i="1"/>
  <c r="L566" i="1"/>
  <c r="D566" i="1"/>
  <c r="J566" i="1"/>
  <c r="G566" i="1"/>
  <c r="H566" i="1"/>
  <c r="A566" i="1"/>
  <c r="P565" i="1"/>
  <c r="O565" i="1"/>
  <c r="M565" i="1"/>
  <c r="L565" i="1"/>
  <c r="D565" i="1"/>
  <c r="J565" i="1"/>
  <c r="G565" i="1"/>
  <c r="H565" i="1"/>
  <c r="A565" i="1"/>
  <c r="P564" i="1"/>
  <c r="O564" i="1"/>
  <c r="M564" i="1"/>
  <c r="L564" i="1"/>
  <c r="D564" i="1"/>
  <c r="J564" i="1"/>
  <c r="G564" i="1"/>
  <c r="H564" i="1"/>
  <c r="A564" i="1"/>
  <c r="P563" i="1"/>
  <c r="O563" i="1"/>
  <c r="M563" i="1"/>
  <c r="L563" i="1"/>
  <c r="D563" i="1"/>
  <c r="J563" i="1"/>
  <c r="G563" i="1"/>
  <c r="H563" i="1"/>
  <c r="A563" i="1"/>
  <c r="P562" i="1"/>
  <c r="O562" i="1"/>
  <c r="M562" i="1"/>
  <c r="L562" i="1"/>
  <c r="D562" i="1"/>
  <c r="J562" i="1"/>
  <c r="G562" i="1"/>
  <c r="H562" i="1"/>
  <c r="A562" i="1"/>
  <c r="P561" i="1"/>
  <c r="O561" i="1"/>
  <c r="M561" i="1"/>
  <c r="L561" i="1"/>
  <c r="D561" i="1"/>
  <c r="J561" i="1"/>
  <c r="G561" i="1"/>
  <c r="H561" i="1"/>
  <c r="A561" i="1"/>
  <c r="P560" i="1"/>
  <c r="O560" i="1"/>
  <c r="M560" i="1"/>
  <c r="L560" i="1"/>
  <c r="D560" i="1"/>
  <c r="J560" i="1"/>
  <c r="G560" i="1"/>
  <c r="H560" i="1"/>
  <c r="A560" i="1"/>
  <c r="P559" i="1"/>
  <c r="O559" i="1"/>
  <c r="M559" i="1"/>
  <c r="L559" i="1"/>
  <c r="D559" i="1"/>
  <c r="J559" i="1"/>
  <c r="G559" i="1"/>
  <c r="H559" i="1"/>
  <c r="A559" i="1"/>
  <c r="P558" i="1"/>
  <c r="O558" i="1"/>
  <c r="M558" i="1"/>
  <c r="L558" i="1"/>
  <c r="D558" i="1"/>
  <c r="J558" i="1"/>
  <c r="G558" i="1"/>
  <c r="H558" i="1"/>
  <c r="A558" i="1"/>
  <c r="P557" i="1"/>
  <c r="O557" i="1"/>
  <c r="M557" i="1"/>
  <c r="L557" i="1"/>
  <c r="D557" i="1"/>
  <c r="J557" i="1"/>
  <c r="G557" i="1"/>
  <c r="H557" i="1"/>
  <c r="A557" i="1"/>
  <c r="P556" i="1"/>
  <c r="O556" i="1"/>
  <c r="M556" i="1"/>
  <c r="L556" i="1"/>
  <c r="D556" i="1"/>
  <c r="J556" i="1"/>
  <c r="G556" i="1"/>
  <c r="H556" i="1"/>
  <c r="A556" i="1"/>
  <c r="P555" i="1"/>
  <c r="O555" i="1"/>
  <c r="M555" i="1"/>
  <c r="L555" i="1"/>
  <c r="D555" i="1"/>
  <c r="J555" i="1"/>
  <c r="G555" i="1"/>
  <c r="H555" i="1"/>
  <c r="A555" i="1"/>
  <c r="P554" i="1"/>
  <c r="O554" i="1"/>
  <c r="M554" i="1"/>
  <c r="L554" i="1"/>
  <c r="D554" i="1"/>
  <c r="J554" i="1"/>
  <c r="G554" i="1"/>
  <c r="H554" i="1"/>
  <c r="A554" i="1"/>
  <c r="P553" i="1"/>
  <c r="O553" i="1"/>
  <c r="M553" i="1"/>
  <c r="L553" i="1"/>
  <c r="D553" i="1"/>
  <c r="J553" i="1"/>
  <c r="G553" i="1"/>
  <c r="H553" i="1"/>
  <c r="A553" i="1"/>
  <c r="P552" i="1"/>
  <c r="O552" i="1"/>
  <c r="M552" i="1"/>
  <c r="L552" i="1"/>
  <c r="D552" i="1"/>
  <c r="J552" i="1"/>
  <c r="G552" i="1"/>
  <c r="H552" i="1"/>
  <c r="A552" i="1"/>
  <c r="P551" i="1"/>
  <c r="O551" i="1"/>
  <c r="M551" i="1"/>
  <c r="L551" i="1"/>
  <c r="D551" i="1"/>
  <c r="J551" i="1"/>
  <c r="G551" i="1"/>
  <c r="H551" i="1"/>
  <c r="A551" i="1"/>
  <c r="P550" i="1"/>
  <c r="O550" i="1"/>
  <c r="M550" i="1"/>
  <c r="L550" i="1"/>
  <c r="D550" i="1"/>
  <c r="J550" i="1"/>
  <c r="G550" i="1"/>
  <c r="H550" i="1"/>
  <c r="A550" i="1"/>
  <c r="P549" i="1"/>
  <c r="O549" i="1"/>
  <c r="M549" i="1"/>
  <c r="L549" i="1"/>
  <c r="D549" i="1"/>
  <c r="J549" i="1"/>
  <c r="G549" i="1"/>
  <c r="H549" i="1"/>
  <c r="A549" i="1"/>
  <c r="P548" i="1"/>
  <c r="O548" i="1"/>
  <c r="M548" i="1"/>
  <c r="L548" i="1"/>
  <c r="D548" i="1"/>
  <c r="J548" i="1"/>
  <c r="G548" i="1"/>
  <c r="H548" i="1"/>
  <c r="A548" i="1"/>
  <c r="P547" i="1"/>
  <c r="O547" i="1"/>
  <c r="M547" i="1"/>
  <c r="L547" i="1"/>
  <c r="D547" i="1"/>
  <c r="J547" i="1"/>
  <c r="G547" i="1"/>
  <c r="H547" i="1"/>
  <c r="A547" i="1"/>
  <c r="P546" i="1"/>
  <c r="O546" i="1"/>
  <c r="M546" i="1"/>
  <c r="L546" i="1"/>
  <c r="D546" i="1"/>
  <c r="J546" i="1"/>
  <c r="G546" i="1"/>
  <c r="H546" i="1"/>
  <c r="A546" i="1"/>
  <c r="P545" i="1"/>
  <c r="O545" i="1"/>
  <c r="M545" i="1"/>
  <c r="L545" i="1"/>
  <c r="D545" i="1"/>
  <c r="J545" i="1"/>
  <c r="G545" i="1"/>
  <c r="H545" i="1"/>
  <c r="A545" i="1"/>
  <c r="P544" i="1"/>
  <c r="O544" i="1"/>
  <c r="M544" i="1"/>
  <c r="L544" i="1"/>
  <c r="D544" i="1"/>
  <c r="J544" i="1"/>
  <c r="G544" i="1"/>
  <c r="H544" i="1"/>
  <c r="A544" i="1"/>
  <c r="P543" i="1"/>
  <c r="O543" i="1"/>
  <c r="M543" i="1"/>
  <c r="L543" i="1"/>
  <c r="D543" i="1"/>
  <c r="J543" i="1"/>
  <c r="G543" i="1"/>
  <c r="H543" i="1"/>
  <c r="A543" i="1"/>
  <c r="P542" i="1"/>
  <c r="O542" i="1"/>
  <c r="M542" i="1"/>
  <c r="L542" i="1"/>
  <c r="D542" i="1"/>
  <c r="J542" i="1"/>
  <c r="G542" i="1"/>
  <c r="H542" i="1"/>
  <c r="A542" i="1"/>
  <c r="P541" i="1"/>
  <c r="O541" i="1"/>
  <c r="M541" i="1"/>
  <c r="L541" i="1"/>
  <c r="D541" i="1"/>
  <c r="J541" i="1"/>
  <c r="G541" i="1"/>
  <c r="H541" i="1"/>
  <c r="A541" i="1"/>
  <c r="P540" i="1"/>
  <c r="O540" i="1"/>
  <c r="M540" i="1"/>
  <c r="L540" i="1"/>
  <c r="D540" i="1"/>
  <c r="J540" i="1"/>
  <c r="G540" i="1"/>
  <c r="H540" i="1"/>
  <c r="A540" i="1"/>
  <c r="P539" i="1"/>
  <c r="O539" i="1"/>
  <c r="M539" i="1"/>
  <c r="L539" i="1"/>
  <c r="D539" i="1"/>
  <c r="J539" i="1"/>
  <c r="G539" i="1"/>
  <c r="H539" i="1"/>
  <c r="A539" i="1"/>
  <c r="P538" i="1"/>
  <c r="O538" i="1"/>
  <c r="M538" i="1"/>
  <c r="L538" i="1"/>
  <c r="D538" i="1"/>
  <c r="J538" i="1"/>
  <c r="G538" i="1"/>
  <c r="H538" i="1"/>
  <c r="A538" i="1"/>
  <c r="P537" i="1"/>
  <c r="O537" i="1"/>
  <c r="M537" i="1"/>
  <c r="L537" i="1"/>
  <c r="D537" i="1"/>
  <c r="J537" i="1"/>
  <c r="G537" i="1"/>
  <c r="H537" i="1"/>
  <c r="A537" i="1"/>
  <c r="P536" i="1"/>
  <c r="O536" i="1"/>
  <c r="M536" i="1"/>
  <c r="L536" i="1"/>
  <c r="D536" i="1"/>
  <c r="J536" i="1"/>
  <c r="G536" i="1"/>
  <c r="H536" i="1"/>
  <c r="A536" i="1"/>
  <c r="P535" i="1"/>
  <c r="O535" i="1"/>
  <c r="M535" i="1"/>
  <c r="L535" i="1"/>
  <c r="D535" i="1"/>
  <c r="J535" i="1"/>
  <c r="G535" i="1"/>
  <c r="H535" i="1"/>
  <c r="A535" i="1"/>
  <c r="P534" i="1"/>
  <c r="O534" i="1"/>
  <c r="M534" i="1"/>
  <c r="L534" i="1"/>
  <c r="D534" i="1"/>
  <c r="J534" i="1"/>
  <c r="G534" i="1"/>
  <c r="H534" i="1"/>
  <c r="A534" i="1"/>
  <c r="P533" i="1"/>
  <c r="O533" i="1"/>
  <c r="M533" i="1"/>
  <c r="L533" i="1"/>
  <c r="D533" i="1"/>
  <c r="J533" i="1"/>
  <c r="G533" i="1"/>
  <c r="H533" i="1"/>
  <c r="A533" i="1"/>
  <c r="P532" i="1"/>
  <c r="O532" i="1"/>
  <c r="M532" i="1"/>
  <c r="L532" i="1"/>
  <c r="D532" i="1"/>
  <c r="J532" i="1"/>
  <c r="G532" i="1"/>
  <c r="H532" i="1"/>
  <c r="A532" i="1"/>
  <c r="P531" i="1"/>
  <c r="O531" i="1"/>
  <c r="M531" i="1"/>
  <c r="L531" i="1"/>
  <c r="D531" i="1"/>
  <c r="J531" i="1"/>
  <c r="G531" i="1"/>
  <c r="H531" i="1"/>
  <c r="A531" i="1"/>
  <c r="P530" i="1"/>
  <c r="O530" i="1"/>
  <c r="M530" i="1"/>
  <c r="L530" i="1"/>
  <c r="D530" i="1"/>
  <c r="J530" i="1"/>
  <c r="G530" i="1"/>
  <c r="H530" i="1"/>
  <c r="A530" i="1"/>
  <c r="P529" i="1"/>
  <c r="O529" i="1"/>
  <c r="M529" i="1"/>
  <c r="L529" i="1"/>
  <c r="D529" i="1"/>
  <c r="J529" i="1"/>
  <c r="G529" i="1"/>
  <c r="H529" i="1"/>
  <c r="A529" i="1"/>
  <c r="P528" i="1"/>
  <c r="O528" i="1"/>
  <c r="M528" i="1"/>
  <c r="L528" i="1"/>
  <c r="D528" i="1"/>
  <c r="J528" i="1"/>
  <c r="G528" i="1"/>
  <c r="H528" i="1"/>
  <c r="A528" i="1"/>
  <c r="P527" i="1"/>
  <c r="O527" i="1"/>
  <c r="M527" i="1"/>
  <c r="L527" i="1"/>
  <c r="D527" i="1"/>
  <c r="J527" i="1"/>
  <c r="G527" i="1"/>
  <c r="H527" i="1"/>
  <c r="A527" i="1"/>
  <c r="P526" i="1"/>
  <c r="O526" i="1"/>
  <c r="M526" i="1"/>
  <c r="L526" i="1"/>
  <c r="D526" i="1"/>
  <c r="J526" i="1"/>
  <c r="G526" i="1"/>
  <c r="H526" i="1"/>
  <c r="A526" i="1"/>
  <c r="P525" i="1"/>
  <c r="O525" i="1"/>
  <c r="M525" i="1"/>
  <c r="L525" i="1"/>
  <c r="D525" i="1"/>
  <c r="J525" i="1"/>
  <c r="G525" i="1"/>
  <c r="H525" i="1"/>
  <c r="A525" i="1"/>
  <c r="P524" i="1"/>
  <c r="O524" i="1"/>
  <c r="M524" i="1"/>
  <c r="L524" i="1"/>
  <c r="D524" i="1"/>
  <c r="J524" i="1"/>
  <c r="G524" i="1"/>
  <c r="H524" i="1"/>
  <c r="A524" i="1"/>
  <c r="P523" i="1"/>
  <c r="O523" i="1"/>
  <c r="M523" i="1"/>
  <c r="L523" i="1"/>
  <c r="D523" i="1"/>
  <c r="J523" i="1"/>
  <c r="G523" i="1"/>
  <c r="H523" i="1"/>
  <c r="A523" i="1"/>
  <c r="P522" i="1"/>
  <c r="O522" i="1"/>
  <c r="M522" i="1"/>
  <c r="L522" i="1"/>
  <c r="D522" i="1"/>
  <c r="J522" i="1"/>
  <c r="G522" i="1"/>
  <c r="H522" i="1"/>
  <c r="A522" i="1"/>
  <c r="P521" i="1"/>
  <c r="O521" i="1"/>
  <c r="M521" i="1"/>
  <c r="L521" i="1"/>
  <c r="D521" i="1"/>
  <c r="J521" i="1"/>
  <c r="G521" i="1"/>
  <c r="H521" i="1"/>
  <c r="A521" i="1"/>
  <c r="P520" i="1"/>
  <c r="O520" i="1"/>
  <c r="M520" i="1"/>
  <c r="L520" i="1"/>
  <c r="D520" i="1"/>
  <c r="J520" i="1"/>
  <c r="G520" i="1"/>
  <c r="H520" i="1"/>
  <c r="A520" i="1"/>
  <c r="P519" i="1"/>
  <c r="O519" i="1"/>
  <c r="M519" i="1"/>
  <c r="L519" i="1"/>
  <c r="D519" i="1"/>
  <c r="J519" i="1"/>
  <c r="G519" i="1"/>
  <c r="H519" i="1"/>
  <c r="A519" i="1"/>
  <c r="P518" i="1"/>
  <c r="O518" i="1"/>
  <c r="M518" i="1"/>
  <c r="L518" i="1"/>
  <c r="D518" i="1"/>
  <c r="J518" i="1"/>
  <c r="G518" i="1"/>
  <c r="H518" i="1"/>
  <c r="A518" i="1"/>
  <c r="P517" i="1"/>
  <c r="O517" i="1"/>
  <c r="M517" i="1"/>
  <c r="L517" i="1"/>
  <c r="D517" i="1"/>
  <c r="J517" i="1"/>
  <c r="G517" i="1"/>
  <c r="H517" i="1"/>
  <c r="A517" i="1"/>
  <c r="P516" i="1"/>
  <c r="O516" i="1"/>
  <c r="M516" i="1"/>
  <c r="L516" i="1"/>
  <c r="D516" i="1"/>
  <c r="J516" i="1"/>
  <c r="G516" i="1"/>
  <c r="H516" i="1"/>
  <c r="A516" i="1"/>
  <c r="P515" i="1"/>
  <c r="O515" i="1"/>
  <c r="M515" i="1"/>
  <c r="L515" i="1"/>
  <c r="D515" i="1"/>
  <c r="J515" i="1"/>
  <c r="G515" i="1"/>
  <c r="H515" i="1"/>
  <c r="A515" i="1"/>
  <c r="P514" i="1"/>
  <c r="O514" i="1"/>
  <c r="M514" i="1"/>
  <c r="L514" i="1"/>
  <c r="D514" i="1"/>
  <c r="J514" i="1"/>
  <c r="G514" i="1"/>
  <c r="H514" i="1"/>
  <c r="A514" i="1"/>
  <c r="P513" i="1"/>
  <c r="O513" i="1"/>
  <c r="M513" i="1"/>
  <c r="L513" i="1"/>
  <c r="D513" i="1"/>
  <c r="J513" i="1"/>
  <c r="G513" i="1"/>
  <c r="H513" i="1"/>
  <c r="A513" i="1"/>
  <c r="P512" i="1"/>
  <c r="O512" i="1"/>
  <c r="M512" i="1"/>
  <c r="L512" i="1"/>
  <c r="D512" i="1"/>
  <c r="J512" i="1"/>
  <c r="G512" i="1"/>
  <c r="H512" i="1"/>
  <c r="A512" i="1"/>
  <c r="P511" i="1"/>
  <c r="O511" i="1"/>
  <c r="M511" i="1"/>
  <c r="L511" i="1"/>
  <c r="D511" i="1"/>
  <c r="J511" i="1"/>
  <c r="G511" i="1"/>
  <c r="H511" i="1"/>
  <c r="A511" i="1"/>
  <c r="P510" i="1"/>
  <c r="O510" i="1"/>
  <c r="M510" i="1"/>
  <c r="L510" i="1"/>
  <c r="D510" i="1"/>
  <c r="J510" i="1"/>
  <c r="G510" i="1"/>
  <c r="H510" i="1"/>
  <c r="A510" i="1"/>
  <c r="P509" i="1"/>
  <c r="O509" i="1"/>
  <c r="M509" i="1"/>
  <c r="L509" i="1"/>
  <c r="D509" i="1"/>
  <c r="J509" i="1"/>
  <c r="G509" i="1"/>
  <c r="H509" i="1"/>
  <c r="A509" i="1"/>
  <c r="P508" i="1"/>
  <c r="O508" i="1"/>
  <c r="M508" i="1"/>
  <c r="L508" i="1"/>
  <c r="D508" i="1"/>
  <c r="J508" i="1"/>
  <c r="G508" i="1"/>
  <c r="H508" i="1"/>
  <c r="A508" i="1"/>
  <c r="P507" i="1"/>
  <c r="O507" i="1"/>
  <c r="M507" i="1"/>
  <c r="L507" i="1"/>
  <c r="D507" i="1"/>
  <c r="J507" i="1"/>
  <c r="G507" i="1"/>
  <c r="H507" i="1"/>
  <c r="A507" i="1"/>
  <c r="P506" i="1"/>
  <c r="O506" i="1"/>
  <c r="M506" i="1"/>
  <c r="L506" i="1"/>
  <c r="D506" i="1"/>
  <c r="J506" i="1"/>
  <c r="G506" i="1"/>
  <c r="H506" i="1"/>
  <c r="A506" i="1"/>
  <c r="P505" i="1"/>
  <c r="O505" i="1"/>
  <c r="M505" i="1"/>
  <c r="L505" i="1"/>
  <c r="D505" i="1"/>
  <c r="J505" i="1"/>
  <c r="G505" i="1"/>
  <c r="H505" i="1"/>
  <c r="A505" i="1"/>
  <c r="P504" i="1"/>
  <c r="O504" i="1"/>
  <c r="M504" i="1"/>
  <c r="L504" i="1"/>
  <c r="D504" i="1"/>
  <c r="J504" i="1"/>
  <c r="G504" i="1"/>
  <c r="H504" i="1"/>
  <c r="A504" i="1"/>
  <c r="P503" i="1"/>
  <c r="O503" i="1"/>
  <c r="M503" i="1"/>
  <c r="L503" i="1"/>
  <c r="D503" i="1"/>
  <c r="J503" i="1"/>
  <c r="G503" i="1"/>
  <c r="H503" i="1"/>
  <c r="A503" i="1"/>
  <c r="P502" i="1"/>
  <c r="O502" i="1"/>
  <c r="M502" i="1"/>
  <c r="L502" i="1"/>
  <c r="D502" i="1"/>
  <c r="J502" i="1"/>
  <c r="G502" i="1"/>
  <c r="H502" i="1"/>
  <c r="A502" i="1"/>
  <c r="P501" i="1"/>
  <c r="O501" i="1"/>
  <c r="M501" i="1"/>
  <c r="L501" i="1"/>
  <c r="D501" i="1"/>
  <c r="J501" i="1"/>
  <c r="G501" i="1"/>
  <c r="H501" i="1"/>
  <c r="A501" i="1"/>
  <c r="P500" i="1"/>
  <c r="O500" i="1"/>
  <c r="M500" i="1"/>
  <c r="L500" i="1"/>
  <c r="D500" i="1"/>
  <c r="J500" i="1"/>
  <c r="G500" i="1"/>
  <c r="H500" i="1"/>
  <c r="A500" i="1"/>
  <c r="P499" i="1"/>
  <c r="O499" i="1"/>
  <c r="M499" i="1"/>
  <c r="L499" i="1"/>
  <c r="D499" i="1"/>
  <c r="J499" i="1"/>
  <c r="G499" i="1"/>
  <c r="H499" i="1"/>
  <c r="A499" i="1"/>
  <c r="P498" i="1"/>
  <c r="O498" i="1"/>
  <c r="M498" i="1"/>
  <c r="L498" i="1"/>
  <c r="D498" i="1"/>
  <c r="J498" i="1"/>
  <c r="G498" i="1"/>
  <c r="H498" i="1"/>
  <c r="A498" i="1"/>
  <c r="P497" i="1"/>
  <c r="O497" i="1"/>
  <c r="M497" i="1"/>
  <c r="L497" i="1"/>
  <c r="D497" i="1"/>
  <c r="J497" i="1"/>
  <c r="G497" i="1"/>
  <c r="H497" i="1"/>
  <c r="A497" i="1"/>
  <c r="P496" i="1"/>
  <c r="O496" i="1"/>
  <c r="M496" i="1"/>
  <c r="L496" i="1"/>
  <c r="D496" i="1"/>
  <c r="J496" i="1"/>
  <c r="G496" i="1"/>
  <c r="H496" i="1"/>
  <c r="A496" i="1"/>
  <c r="P495" i="1"/>
  <c r="O495" i="1"/>
  <c r="M495" i="1"/>
  <c r="L495" i="1"/>
  <c r="D495" i="1"/>
  <c r="J495" i="1"/>
  <c r="G495" i="1"/>
  <c r="H495" i="1"/>
  <c r="A495" i="1"/>
  <c r="P494" i="1"/>
  <c r="O494" i="1"/>
  <c r="M494" i="1"/>
  <c r="L494" i="1"/>
  <c r="D494" i="1"/>
  <c r="J494" i="1"/>
  <c r="G494" i="1"/>
  <c r="H494" i="1"/>
  <c r="A494" i="1"/>
  <c r="P493" i="1"/>
  <c r="O493" i="1"/>
  <c r="M493" i="1"/>
  <c r="L493" i="1"/>
  <c r="D493" i="1"/>
  <c r="J493" i="1"/>
  <c r="G493" i="1"/>
  <c r="H493" i="1"/>
  <c r="A493" i="1"/>
  <c r="P492" i="1"/>
  <c r="O492" i="1"/>
  <c r="M492" i="1"/>
  <c r="L492" i="1"/>
  <c r="D492" i="1"/>
  <c r="J492" i="1"/>
  <c r="G492" i="1"/>
  <c r="H492" i="1"/>
  <c r="A492" i="1"/>
  <c r="P491" i="1"/>
  <c r="O491" i="1"/>
  <c r="M491" i="1"/>
  <c r="L491" i="1"/>
  <c r="D491" i="1"/>
  <c r="J491" i="1"/>
  <c r="G491" i="1"/>
  <c r="H491" i="1"/>
  <c r="A491" i="1"/>
  <c r="P490" i="1"/>
  <c r="O490" i="1"/>
  <c r="M490" i="1"/>
  <c r="L490" i="1"/>
  <c r="D490" i="1"/>
  <c r="J490" i="1"/>
  <c r="G490" i="1"/>
  <c r="H490" i="1"/>
  <c r="A490" i="1"/>
  <c r="P489" i="1"/>
  <c r="O489" i="1"/>
  <c r="M489" i="1"/>
  <c r="L489" i="1"/>
  <c r="D489" i="1"/>
  <c r="J489" i="1"/>
  <c r="G489" i="1"/>
  <c r="H489" i="1"/>
  <c r="A489" i="1"/>
  <c r="P488" i="1"/>
  <c r="O488" i="1"/>
  <c r="M488" i="1"/>
  <c r="L488" i="1"/>
  <c r="D488" i="1"/>
  <c r="J488" i="1"/>
  <c r="G488" i="1"/>
  <c r="H488" i="1"/>
  <c r="A488" i="1"/>
  <c r="P487" i="1"/>
  <c r="O487" i="1"/>
  <c r="M487" i="1"/>
  <c r="L487" i="1"/>
  <c r="D487" i="1"/>
  <c r="J487" i="1"/>
  <c r="G487" i="1"/>
  <c r="H487" i="1"/>
  <c r="A487" i="1"/>
  <c r="P486" i="1"/>
  <c r="O486" i="1"/>
  <c r="M486" i="1"/>
  <c r="L486" i="1"/>
  <c r="D486" i="1"/>
  <c r="J486" i="1"/>
  <c r="G486" i="1"/>
  <c r="H486" i="1"/>
  <c r="A486" i="1"/>
  <c r="P485" i="1"/>
  <c r="O485" i="1"/>
  <c r="M485" i="1"/>
  <c r="L485" i="1"/>
  <c r="D485" i="1"/>
  <c r="J485" i="1"/>
  <c r="G485" i="1"/>
  <c r="H485" i="1"/>
  <c r="A485" i="1"/>
  <c r="P484" i="1"/>
  <c r="O484" i="1"/>
  <c r="M484" i="1"/>
  <c r="L484" i="1"/>
  <c r="D484" i="1"/>
  <c r="J484" i="1"/>
  <c r="G484" i="1"/>
  <c r="H484" i="1"/>
  <c r="A484" i="1"/>
  <c r="P483" i="1"/>
  <c r="O483" i="1"/>
  <c r="M483" i="1"/>
  <c r="L483" i="1"/>
  <c r="D483" i="1"/>
  <c r="J483" i="1"/>
  <c r="G483" i="1"/>
  <c r="H483" i="1"/>
  <c r="A483" i="1"/>
  <c r="P482" i="1"/>
  <c r="O482" i="1"/>
  <c r="M482" i="1"/>
  <c r="L482" i="1"/>
  <c r="D482" i="1"/>
  <c r="J482" i="1"/>
  <c r="G482" i="1"/>
  <c r="H482" i="1"/>
  <c r="A482" i="1"/>
  <c r="P481" i="1"/>
  <c r="O481" i="1"/>
  <c r="M481" i="1"/>
  <c r="L481" i="1"/>
  <c r="D481" i="1"/>
  <c r="J481" i="1"/>
  <c r="G481" i="1"/>
  <c r="H481" i="1"/>
  <c r="A481" i="1"/>
  <c r="P480" i="1"/>
  <c r="O480" i="1"/>
  <c r="M480" i="1"/>
  <c r="L480" i="1"/>
  <c r="D480" i="1"/>
  <c r="J480" i="1"/>
  <c r="G480" i="1"/>
  <c r="H480" i="1"/>
  <c r="A480" i="1"/>
  <c r="P479" i="1"/>
  <c r="O479" i="1"/>
  <c r="M479" i="1"/>
  <c r="L479" i="1"/>
  <c r="D479" i="1"/>
  <c r="J479" i="1"/>
  <c r="G479" i="1"/>
  <c r="H479" i="1"/>
  <c r="A479" i="1"/>
  <c r="P478" i="1"/>
  <c r="O478" i="1"/>
  <c r="M478" i="1"/>
  <c r="L478" i="1"/>
  <c r="D478" i="1"/>
  <c r="J478" i="1"/>
  <c r="G478" i="1"/>
  <c r="H478" i="1"/>
  <c r="A478" i="1"/>
  <c r="P477" i="1"/>
  <c r="O477" i="1"/>
  <c r="M477" i="1"/>
  <c r="L477" i="1"/>
  <c r="D477" i="1"/>
  <c r="J477" i="1"/>
  <c r="G477" i="1"/>
  <c r="H477" i="1"/>
  <c r="A477" i="1"/>
  <c r="P476" i="1"/>
  <c r="O476" i="1"/>
  <c r="M476" i="1"/>
  <c r="L476" i="1"/>
  <c r="D476" i="1"/>
  <c r="J476" i="1"/>
  <c r="G476" i="1"/>
  <c r="H476" i="1"/>
  <c r="A476" i="1"/>
  <c r="P475" i="1"/>
  <c r="O475" i="1"/>
  <c r="M475" i="1"/>
  <c r="L475" i="1"/>
  <c r="D475" i="1"/>
  <c r="J475" i="1"/>
  <c r="G475" i="1"/>
  <c r="H475" i="1"/>
  <c r="A475" i="1"/>
  <c r="P474" i="1"/>
  <c r="O474" i="1"/>
  <c r="M474" i="1"/>
  <c r="L474" i="1"/>
  <c r="D474" i="1"/>
  <c r="J474" i="1"/>
  <c r="G474" i="1"/>
  <c r="H474" i="1"/>
  <c r="A474" i="1"/>
  <c r="P473" i="1"/>
  <c r="O473" i="1"/>
  <c r="M473" i="1"/>
  <c r="L473" i="1"/>
  <c r="D473" i="1"/>
  <c r="J473" i="1"/>
  <c r="G473" i="1"/>
  <c r="H473" i="1"/>
  <c r="A473" i="1"/>
  <c r="P472" i="1"/>
  <c r="O472" i="1"/>
  <c r="M472" i="1"/>
  <c r="L472" i="1"/>
  <c r="D472" i="1"/>
  <c r="J472" i="1"/>
  <c r="G472" i="1"/>
  <c r="H472" i="1"/>
  <c r="A472" i="1"/>
  <c r="P471" i="1"/>
  <c r="O471" i="1"/>
  <c r="M471" i="1"/>
  <c r="L471" i="1"/>
  <c r="D471" i="1"/>
  <c r="J471" i="1"/>
  <c r="G471" i="1"/>
  <c r="H471" i="1"/>
  <c r="A471" i="1"/>
  <c r="P470" i="1"/>
  <c r="O470" i="1"/>
  <c r="M470" i="1"/>
  <c r="L470" i="1"/>
  <c r="D470" i="1"/>
  <c r="J470" i="1"/>
  <c r="G470" i="1"/>
  <c r="H470" i="1"/>
  <c r="A470" i="1"/>
  <c r="P469" i="1"/>
  <c r="O469" i="1"/>
  <c r="M469" i="1"/>
  <c r="L469" i="1"/>
  <c r="D469" i="1"/>
  <c r="J469" i="1"/>
  <c r="G469" i="1"/>
  <c r="H469" i="1"/>
  <c r="A469" i="1"/>
  <c r="P468" i="1"/>
  <c r="O468" i="1"/>
  <c r="M468" i="1"/>
  <c r="L468" i="1"/>
  <c r="D468" i="1"/>
  <c r="J468" i="1"/>
  <c r="G468" i="1"/>
  <c r="H468" i="1"/>
  <c r="A468" i="1"/>
  <c r="P467" i="1"/>
  <c r="O467" i="1"/>
  <c r="M467" i="1"/>
  <c r="L467" i="1"/>
  <c r="D467" i="1"/>
  <c r="J467" i="1"/>
  <c r="G467" i="1"/>
  <c r="H467" i="1"/>
  <c r="A467" i="1"/>
  <c r="P466" i="1"/>
  <c r="O466" i="1"/>
  <c r="M466" i="1"/>
  <c r="L466" i="1"/>
  <c r="D466" i="1"/>
  <c r="J466" i="1"/>
  <c r="G466" i="1"/>
  <c r="H466" i="1"/>
  <c r="A466" i="1"/>
  <c r="P465" i="1"/>
  <c r="O465" i="1"/>
  <c r="M465" i="1"/>
  <c r="L465" i="1"/>
  <c r="D465" i="1"/>
  <c r="J465" i="1"/>
  <c r="G465" i="1"/>
  <c r="H465" i="1"/>
  <c r="A465" i="1"/>
  <c r="P464" i="1"/>
  <c r="O464" i="1"/>
  <c r="M464" i="1"/>
  <c r="L464" i="1"/>
  <c r="D464" i="1"/>
  <c r="J464" i="1"/>
  <c r="G464" i="1"/>
  <c r="H464" i="1"/>
  <c r="A464" i="1"/>
  <c r="P463" i="1"/>
  <c r="O463" i="1"/>
  <c r="M463" i="1"/>
  <c r="L463" i="1"/>
  <c r="D463" i="1"/>
  <c r="J463" i="1"/>
  <c r="G463" i="1"/>
  <c r="H463" i="1"/>
  <c r="A463" i="1"/>
  <c r="P462" i="1"/>
  <c r="O462" i="1"/>
  <c r="M462" i="1"/>
  <c r="L462" i="1"/>
  <c r="D462" i="1"/>
  <c r="J462" i="1"/>
  <c r="G462" i="1"/>
  <c r="H462" i="1"/>
  <c r="A462" i="1"/>
  <c r="P461" i="1"/>
  <c r="O461" i="1"/>
  <c r="M461" i="1"/>
  <c r="L461" i="1"/>
  <c r="D461" i="1"/>
  <c r="J461" i="1"/>
  <c r="G461" i="1"/>
  <c r="H461" i="1"/>
  <c r="A461" i="1"/>
  <c r="P460" i="1"/>
  <c r="O460" i="1"/>
  <c r="M460" i="1"/>
  <c r="L460" i="1"/>
  <c r="D460" i="1"/>
  <c r="J460" i="1"/>
  <c r="G460" i="1"/>
  <c r="H460" i="1"/>
  <c r="A460" i="1"/>
  <c r="P459" i="1"/>
  <c r="O459" i="1"/>
  <c r="M459" i="1"/>
  <c r="L459" i="1"/>
  <c r="D459" i="1"/>
  <c r="J459" i="1"/>
  <c r="G459" i="1"/>
  <c r="H459" i="1"/>
  <c r="A459" i="1"/>
  <c r="P458" i="1"/>
  <c r="O458" i="1"/>
  <c r="M458" i="1"/>
  <c r="L458" i="1"/>
  <c r="D458" i="1"/>
  <c r="J458" i="1"/>
  <c r="G458" i="1"/>
  <c r="H458" i="1"/>
  <c r="A458" i="1"/>
  <c r="P457" i="1"/>
  <c r="O457" i="1"/>
  <c r="M457" i="1"/>
  <c r="L457" i="1"/>
  <c r="D457" i="1"/>
  <c r="J457" i="1"/>
  <c r="G457" i="1"/>
  <c r="H457" i="1"/>
  <c r="A457" i="1"/>
  <c r="P456" i="1"/>
  <c r="O456" i="1"/>
  <c r="M456" i="1"/>
  <c r="L456" i="1"/>
  <c r="D456" i="1"/>
  <c r="J456" i="1"/>
  <c r="G456" i="1"/>
  <c r="H456" i="1"/>
  <c r="A456" i="1"/>
  <c r="P455" i="1"/>
  <c r="O455" i="1"/>
  <c r="M455" i="1"/>
  <c r="L455" i="1"/>
  <c r="D455" i="1"/>
  <c r="J455" i="1"/>
  <c r="G455" i="1"/>
  <c r="H455" i="1"/>
  <c r="A455" i="1"/>
  <c r="P454" i="1"/>
  <c r="O454" i="1"/>
  <c r="M454" i="1"/>
  <c r="L454" i="1"/>
  <c r="D454" i="1"/>
  <c r="J454" i="1"/>
  <c r="G454" i="1"/>
  <c r="H454" i="1"/>
  <c r="A454" i="1"/>
  <c r="P453" i="1"/>
  <c r="O453" i="1"/>
  <c r="M453" i="1"/>
  <c r="L453" i="1"/>
  <c r="D453" i="1"/>
  <c r="J453" i="1"/>
  <c r="G453" i="1"/>
  <c r="H453" i="1"/>
  <c r="A453" i="1"/>
  <c r="P452" i="1"/>
  <c r="O452" i="1"/>
  <c r="M452" i="1"/>
  <c r="L452" i="1"/>
  <c r="D452" i="1"/>
  <c r="J452" i="1"/>
  <c r="G452" i="1"/>
  <c r="H452" i="1"/>
  <c r="A452" i="1"/>
  <c r="P451" i="1"/>
  <c r="O451" i="1"/>
  <c r="M451" i="1"/>
  <c r="L451" i="1"/>
  <c r="D451" i="1"/>
  <c r="J451" i="1"/>
  <c r="G451" i="1"/>
  <c r="H451" i="1"/>
  <c r="A451" i="1"/>
  <c r="P450" i="1"/>
  <c r="O450" i="1"/>
  <c r="M450" i="1"/>
  <c r="L450" i="1"/>
  <c r="D450" i="1"/>
  <c r="J450" i="1"/>
  <c r="G450" i="1"/>
  <c r="H450" i="1"/>
  <c r="A450" i="1"/>
  <c r="P449" i="1"/>
  <c r="O449" i="1"/>
  <c r="M449" i="1"/>
  <c r="L449" i="1"/>
  <c r="D449" i="1"/>
  <c r="J449" i="1"/>
  <c r="G449" i="1"/>
  <c r="H449" i="1"/>
  <c r="A449" i="1"/>
  <c r="P448" i="1"/>
  <c r="O448" i="1"/>
  <c r="M448" i="1"/>
  <c r="L448" i="1"/>
  <c r="D448" i="1"/>
  <c r="J448" i="1"/>
  <c r="G448" i="1"/>
  <c r="H448" i="1"/>
  <c r="A448" i="1"/>
  <c r="P447" i="1"/>
  <c r="O447" i="1"/>
  <c r="M447" i="1"/>
  <c r="L447" i="1"/>
  <c r="D447" i="1"/>
  <c r="J447" i="1"/>
  <c r="G447" i="1"/>
  <c r="H447" i="1"/>
  <c r="A447" i="1"/>
  <c r="P446" i="1"/>
  <c r="O446" i="1"/>
  <c r="M446" i="1"/>
  <c r="L446" i="1"/>
  <c r="D446" i="1"/>
  <c r="J446" i="1"/>
  <c r="G446" i="1"/>
  <c r="H446" i="1"/>
  <c r="A446" i="1"/>
  <c r="P445" i="1"/>
  <c r="O445" i="1"/>
  <c r="M445" i="1"/>
  <c r="L445" i="1"/>
  <c r="D445" i="1"/>
  <c r="J445" i="1"/>
  <c r="G445" i="1"/>
  <c r="H445" i="1"/>
  <c r="A445" i="1"/>
  <c r="P444" i="1"/>
  <c r="O444" i="1"/>
  <c r="M444" i="1"/>
  <c r="L444" i="1"/>
  <c r="D444" i="1"/>
  <c r="J444" i="1"/>
  <c r="G444" i="1"/>
  <c r="H444" i="1"/>
  <c r="A444" i="1"/>
  <c r="P443" i="1"/>
  <c r="O443" i="1"/>
  <c r="M443" i="1"/>
  <c r="L443" i="1"/>
  <c r="D443" i="1"/>
  <c r="J443" i="1"/>
  <c r="G443" i="1"/>
  <c r="H443" i="1"/>
  <c r="A443" i="1"/>
  <c r="P442" i="1"/>
  <c r="O442" i="1"/>
  <c r="M442" i="1"/>
  <c r="L442" i="1"/>
  <c r="D442" i="1"/>
  <c r="J442" i="1"/>
  <c r="G442" i="1"/>
  <c r="H442" i="1"/>
  <c r="A442" i="1"/>
  <c r="P441" i="1"/>
  <c r="O441" i="1"/>
  <c r="M441" i="1"/>
  <c r="L441" i="1"/>
  <c r="D441" i="1"/>
  <c r="J441" i="1"/>
  <c r="G441" i="1"/>
  <c r="H441" i="1"/>
  <c r="A441" i="1"/>
  <c r="P440" i="1"/>
  <c r="O440" i="1"/>
  <c r="M440" i="1"/>
  <c r="L440" i="1"/>
  <c r="D440" i="1"/>
  <c r="J440" i="1"/>
  <c r="G440" i="1"/>
  <c r="H440" i="1"/>
  <c r="A440" i="1"/>
  <c r="P439" i="1"/>
  <c r="O439" i="1"/>
  <c r="M439" i="1"/>
  <c r="L439" i="1"/>
  <c r="D439" i="1"/>
  <c r="J439" i="1"/>
  <c r="G439" i="1"/>
  <c r="H439" i="1"/>
  <c r="A439" i="1"/>
  <c r="P438" i="1"/>
  <c r="O438" i="1"/>
  <c r="M438" i="1"/>
  <c r="L438" i="1"/>
  <c r="D438" i="1"/>
  <c r="J438" i="1"/>
  <c r="G438" i="1"/>
  <c r="H438" i="1"/>
  <c r="A438" i="1"/>
  <c r="P437" i="1"/>
  <c r="O437" i="1"/>
  <c r="M437" i="1"/>
  <c r="L437" i="1"/>
  <c r="D437" i="1"/>
  <c r="J437" i="1"/>
  <c r="G437" i="1"/>
  <c r="H437" i="1"/>
  <c r="A437" i="1"/>
  <c r="P436" i="1"/>
  <c r="O436" i="1"/>
  <c r="M436" i="1"/>
  <c r="L436" i="1"/>
  <c r="D436" i="1"/>
  <c r="J436" i="1"/>
  <c r="G436" i="1"/>
  <c r="H436" i="1"/>
  <c r="A436" i="1"/>
  <c r="P435" i="1"/>
  <c r="O435" i="1"/>
  <c r="M435" i="1"/>
  <c r="L435" i="1"/>
  <c r="D435" i="1"/>
  <c r="J435" i="1"/>
  <c r="G435" i="1"/>
  <c r="H435" i="1"/>
  <c r="A435" i="1"/>
  <c r="P434" i="1"/>
  <c r="O434" i="1"/>
  <c r="M434" i="1"/>
  <c r="L434" i="1"/>
  <c r="D434" i="1"/>
  <c r="J434" i="1"/>
  <c r="G434" i="1"/>
  <c r="H434" i="1"/>
  <c r="A434" i="1"/>
  <c r="P433" i="1"/>
  <c r="O433" i="1"/>
  <c r="M433" i="1"/>
  <c r="L433" i="1"/>
  <c r="D433" i="1"/>
  <c r="J433" i="1"/>
  <c r="G433" i="1"/>
  <c r="H433" i="1"/>
  <c r="A433" i="1"/>
  <c r="P432" i="1"/>
  <c r="O432" i="1"/>
  <c r="M432" i="1"/>
  <c r="L432" i="1"/>
  <c r="D432" i="1"/>
  <c r="J432" i="1"/>
  <c r="G432" i="1"/>
  <c r="H432" i="1"/>
  <c r="A432" i="1"/>
  <c r="P431" i="1"/>
  <c r="O431" i="1"/>
  <c r="M431" i="1"/>
  <c r="L431" i="1"/>
  <c r="D431" i="1"/>
  <c r="J431" i="1"/>
  <c r="G431" i="1"/>
  <c r="H431" i="1"/>
  <c r="A431" i="1"/>
  <c r="P430" i="1"/>
  <c r="O430" i="1"/>
  <c r="M430" i="1"/>
  <c r="L430" i="1"/>
  <c r="D430" i="1"/>
  <c r="J430" i="1"/>
  <c r="G430" i="1"/>
  <c r="H430" i="1"/>
  <c r="A430" i="1"/>
  <c r="P429" i="1"/>
  <c r="O429" i="1"/>
  <c r="M429" i="1"/>
  <c r="L429" i="1"/>
  <c r="D429" i="1"/>
  <c r="J429" i="1"/>
  <c r="G429" i="1"/>
  <c r="H429" i="1"/>
  <c r="A429" i="1"/>
  <c r="P428" i="1"/>
  <c r="O428" i="1"/>
  <c r="M428" i="1"/>
  <c r="L428" i="1"/>
  <c r="D428" i="1"/>
  <c r="J428" i="1"/>
  <c r="G428" i="1"/>
  <c r="H428" i="1"/>
  <c r="A428" i="1"/>
  <c r="P427" i="1"/>
  <c r="O427" i="1"/>
  <c r="M427" i="1"/>
  <c r="L427" i="1"/>
  <c r="D427" i="1"/>
  <c r="J427" i="1"/>
  <c r="G427" i="1"/>
  <c r="H427" i="1"/>
  <c r="A427" i="1"/>
  <c r="P426" i="1"/>
  <c r="O426" i="1"/>
  <c r="M426" i="1"/>
  <c r="L426" i="1"/>
  <c r="D426" i="1"/>
  <c r="J426" i="1"/>
  <c r="G426" i="1"/>
  <c r="H426" i="1"/>
  <c r="A426" i="1"/>
  <c r="P425" i="1"/>
  <c r="O425" i="1"/>
  <c r="M425" i="1"/>
  <c r="L425" i="1"/>
  <c r="D425" i="1"/>
  <c r="J425" i="1"/>
  <c r="G425" i="1"/>
  <c r="H425" i="1"/>
  <c r="A425" i="1"/>
  <c r="P424" i="1"/>
  <c r="O424" i="1"/>
  <c r="M424" i="1"/>
  <c r="L424" i="1"/>
  <c r="D424" i="1"/>
  <c r="J424" i="1"/>
  <c r="G424" i="1"/>
  <c r="H424" i="1"/>
  <c r="A424" i="1"/>
  <c r="P423" i="1"/>
  <c r="O423" i="1"/>
  <c r="M423" i="1"/>
  <c r="L423" i="1"/>
  <c r="D423" i="1"/>
  <c r="J423" i="1"/>
  <c r="G423" i="1"/>
  <c r="H423" i="1"/>
  <c r="A423" i="1"/>
  <c r="P422" i="1"/>
  <c r="O422" i="1"/>
  <c r="M422" i="1"/>
  <c r="L422" i="1"/>
  <c r="D422" i="1"/>
  <c r="J422" i="1"/>
  <c r="G422" i="1"/>
  <c r="H422" i="1"/>
  <c r="A422" i="1"/>
  <c r="P421" i="1"/>
  <c r="O421" i="1"/>
  <c r="M421" i="1"/>
  <c r="L421" i="1"/>
  <c r="D421" i="1"/>
  <c r="J421" i="1"/>
  <c r="G421" i="1"/>
  <c r="H421" i="1"/>
  <c r="A421" i="1"/>
  <c r="P420" i="1"/>
  <c r="O420" i="1"/>
  <c r="M420" i="1"/>
  <c r="L420" i="1"/>
  <c r="D420" i="1"/>
  <c r="J420" i="1"/>
  <c r="G420" i="1"/>
  <c r="H420" i="1"/>
  <c r="A420" i="1"/>
  <c r="P419" i="1"/>
  <c r="O419" i="1"/>
  <c r="M419" i="1"/>
  <c r="L419" i="1"/>
  <c r="D419" i="1"/>
  <c r="J419" i="1"/>
  <c r="G419" i="1"/>
  <c r="H419" i="1"/>
  <c r="A419" i="1"/>
  <c r="P418" i="1"/>
  <c r="O418" i="1"/>
  <c r="M418" i="1"/>
  <c r="L418" i="1"/>
  <c r="D418" i="1"/>
  <c r="J418" i="1"/>
  <c r="G418" i="1"/>
  <c r="H418" i="1"/>
  <c r="A418" i="1"/>
  <c r="P417" i="1"/>
  <c r="O417" i="1"/>
  <c r="M417" i="1"/>
  <c r="L417" i="1"/>
  <c r="D417" i="1"/>
  <c r="J417" i="1"/>
  <c r="G417" i="1"/>
  <c r="H417" i="1"/>
  <c r="A417" i="1"/>
  <c r="P416" i="1"/>
  <c r="O416" i="1"/>
  <c r="M416" i="1"/>
  <c r="L416" i="1"/>
  <c r="D416" i="1"/>
  <c r="J416" i="1"/>
  <c r="G416" i="1"/>
  <c r="H416" i="1"/>
  <c r="A416" i="1"/>
  <c r="P415" i="1"/>
  <c r="O415" i="1"/>
  <c r="M415" i="1"/>
  <c r="L415" i="1"/>
  <c r="D415" i="1"/>
  <c r="J415" i="1"/>
  <c r="G415" i="1"/>
  <c r="H415" i="1"/>
  <c r="A415" i="1"/>
  <c r="P414" i="1"/>
  <c r="O414" i="1"/>
  <c r="M414" i="1"/>
  <c r="L414" i="1"/>
  <c r="D414" i="1"/>
  <c r="J414" i="1"/>
  <c r="G414" i="1"/>
  <c r="H414" i="1"/>
  <c r="A414" i="1"/>
  <c r="P413" i="1"/>
  <c r="O413" i="1"/>
  <c r="M413" i="1"/>
  <c r="L413" i="1"/>
  <c r="D413" i="1"/>
  <c r="J413" i="1"/>
  <c r="G413" i="1"/>
  <c r="H413" i="1"/>
  <c r="A413" i="1"/>
  <c r="P412" i="1"/>
  <c r="O412" i="1"/>
  <c r="M412" i="1"/>
  <c r="L412" i="1"/>
  <c r="D412" i="1"/>
  <c r="J412" i="1"/>
  <c r="G412" i="1"/>
  <c r="H412" i="1"/>
  <c r="A412" i="1"/>
  <c r="P411" i="1"/>
  <c r="O411" i="1"/>
  <c r="M411" i="1"/>
  <c r="L411" i="1"/>
  <c r="D411" i="1"/>
  <c r="J411" i="1"/>
  <c r="G411" i="1"/>
  <c r="H411" i="1"/>
  <c r="A411" i="1"/>
  <c r="P410" i="1"/>
  <c r="O410" i="1"/>
  <c r="M410" i="1"/>
  <c r="L410" i="1"/>
  <c r="D410" i="1"/>
  <c r="J410" i="1"/>
  <c r="G410" i="1"/>
  <c r="H410" i="1"/>
  <c r="A410" i="1"/>
  <c r="P409" i="1"/>
  <c r="O409" i="1"/>
  <c r="M409" i="1"/>
  <c r="L409" i="1"/>
  <c r="D409" i="1"/>
  <c r="J409" i="1"/>
  <c r="G409" i="1"/>
  <c r="H409" i="1"/>
  <c r="A409" i="1"/>
  <c r="P408" i="1"/>
  <c r="O408" i="1"/>
  <c r="M408" i="1"/>
  <c r="L408" i="1"/>
  <c r="D408" i="1"/>
  <c r="J408" i="1"/>
  <c r="G408" i="1"/>
  <c r="H408" i="1"/>
  <c r="A408" i="1"/>
  <c r="P407" i="1"/>
  <c r="O407" i="1"/>
  <c r="M407" i="1"/>
  <c r="L407" i="1"/>
  <c r="D407" i="1"/>
  <c r="J407" i="1"/>
  <c r="G407" i="1"/>
  <c r="H407" i="1"/>
  <c r="A407" i="1"/>
  <c r="P406" i="1"/>
  <c r="O406" i="1"/>
  <c r="M406" i="1"/>
  <c r="L406" i="1"/>
  <c r="D406" i="1"/>
  <c r="J406" i="1"/>
  <c r="G406" i="1"/>
  <c r="H406" i="1"/>
  <c r="A406" i="1"/>
  <c r="P405" i="1"/>
  <c r="O405" i="1"/>
  <c r="M405" i="1"/>
  <c r="L405" i="1"/>
  <c r="D405" i="1"/>
  <c r="J405" i="1"/>
  <c r="G405" i="1"/>
  <c r="H405" i="1"/>
  <c r="A405" i="1"/>
  <c r="P404" i="1"/>
  <c r="O404" i="1"/>
  <c r="M404" i="1"/>
  <c r="L404" i="1"/>
  <c r="D404" i="1"/>
  <c r="J404" i="1"/>
  <c r="G404" i="1"/>
  <c r="H404" i="1"/>
  <c r="A404" i="1"/>
  <c r="P403" i="1"/>
  <c r="O403" i="1"/>
  <c r="M403" i="1"/>
  <c r="L403" i="1"/>
  <c r="D403" i="1"/>
  <c r="J403" i="1"/>
  <c r="G403" i="1"/>
  <c r="H403" i="1"/>
  <c r="A403" i="1"/>
  <c r="P402" i="1"/>
  <c r="O402" i="1"/>
  <c r="M402" i="1"/>
  <c r="L402" i="1"/>
  <c r="D402" i="1"/>
  <c r="J402" i="1"/>
  <c r="G402" i="1"/>
  <c r="H402" i="1"/>
  <c r="A402" i="1"/>
  <c r="P401" i="1"/>
  <c r="O401" i="1"/>
  <c r="M401" i="1"/>
  <c r="L401" i="1"/>
  <c r="D401" i="1"/>
  <c r="J401" i="1"/>
  <c r="G401" i="1"/>
  <c r="H401" i="1"/>
  <c r="A401" i="1"/>
  <c r="P400" i="1"/>
  <c r="O400" i="1"/>
  <c r="M400" i="1"/>
  <c r="L400" i="1"/>
  <c r="D400" i="1"/>
  <c r="J400" i="1"/>
  <c r="G400" i="1"/>
  <c r="H400" i="1"/>
  <c r="A400" i="1"/>
  <c r="P399" i="1"/>
  <c r="O399" i="1"/>
  <c r="M399" i="1"/>
  <c r="L399" i="1"/>
  <c r="D399" i="1"/>
  <c r="J399" i="1"/>
  <c r="G399" i="1"/>
  <c r="H399" i="1"/>
  <c r="A399" i="1"/>
  <c r="P398" i="1"/>
  <c r="O398" i="1"/>
  <c r="M398" i="1"/>
  <c r="L398" i="1"/>
  <c r="D398" i="1"/>
  <c r="J398" i="1"/>
  <c r="G398" i="1"/>
  <c r="H398" i="1"/>
  <c r="A398" i="1"/>
  <c r="P397" i="1"/>
  <c r="O397" i="1"/>
  <c r="M397" i="1"/>
  <c r="L397" i="1"/>
  <c r="D397" i="1"/>
  <c r="J397" i="1"/>
  <c r="G397" i="1"/>
  <c r="H397" i="1"/>
  <c r="A397" i="1"/>
  <c r="P396" i="1"/>
  <c r="O396" i="1"/>
  <c r="M396" i="1"/>
  <c r="L396" i="1"/>
  <c r="D396" i="1"/>
  <c r="J396" i="1"/>
  <c r="G396" i="1"/>
  <c r="H396" i="1"/>
  <c r="A396" i="1"/>
  <c r="P395" i="1"/>
  <c r="O395" i="1"/>
  <c r="M395" i="1"/>
  <c r="L395" i="1"/>
  <c r="D395" i="1"/>
  <c r="J395" i="1"/>
  <c r="G395" i="1"/>
  <c r="H395" i="1"/>
  <c r="A395" i="1"/>
  <c r="P394" i="1"/>
  <c r="O394" i="1"/>
  <c r="M394" i="1"/>
  <c r="L394" i="1"/>
  <c r="D394" i="1"/>
  <c r="J394" i="1"/>
  <c r="G394" i="1"/>
  <c r="H394" i="1"/>
  <c r="A394" i="1"/>
  <c r="P393" i="1"/>
  <c r="O393" i="1"/>
  <c r="M393" i="1"/>
  <c r="L393" i="1"/>
  <c r="D393" i="1"/>
  <c r="J393" i="1"/>
  <c r="G393" i="1"/>
  <c r="H393" i="1"/>
  <c r="A393" i="1"/>
  <c r="P392" i="1"/>
  <c r="O392" i="1"/>
  <c r="M392" i="1"/>
  <c r="L392" i="1"/>
  <c r="D392" i="1"/>
  <c r="J392" i="1"/>
  <c r="G392" i="1"/>
  <c r="H392" i="1"/>
  <c r="A392" i="1"/>
  <c r="P391" i="1"/>
  <c r="O391" i="1"/>
  <c r="M391" i="1"/>
  <c r="L391" i="1"/>
  <c r="D391" i="1"/>
  <c r="J391" i="1"/>
  <c r="G391" i="1"/>
  <c r="H391" i="1"/>
  <c r="A391" i="1"/>
  <c r="P390" i="1"/>
  <c r="O390" i="1"/>
  <c r="M390" i="1"/>
  <c r="L390" i="1"/>
  <c r="D390" i="1"/>
  <c r="J390" i="1"/>
  <c r="G390" i="1"/>
  <c r="H390" i="1"/>
  <c r="A390" i="1"/>
  <c r="P389" i="1"/>
  <c r="O389" i="1"/>
  <c r="M389" i="1"/>
  <c r="L389" i="1"/>
  <c r="D389" i="1"/>
  <c r="J389" i="1"/>
  <c r="G389" i="1"/>
  <c r="H389" i="1"/>
  <c r="A389" i="1"/>
  <c r="P388" i="1"/>
  <c r="O388" i="1"/>
  <c r="M388" i="1"/>
  <c r="L388" i="1"/>
  <c r="D388" i="1"/>
  <c r="J388" i="1"/>
  <c r="G388" i="1"/>
  <c r="H388" i="1"/>
  <c r="A388" i="1"/>
  <c r="P387" i="1"/>
  <c r="O387" i="1"/>
  <c r="M387" i="1"/>
  <c r="L387" i="1"/>
  <c r="D387" i="1"/>
  <c r="J387" i="1"/>
  <c r="G387" i="1"/>
  <c r="H387" i="1"/>
  <c r="A387" i="1"/>
  <c r="P386" i="1"/>
  <c r="O386" i="1"/>
  <c r="M386" i="1"/>
  <c r="L386" i="1"/>
  <c r="D386" i="1"/>
  <c r="J386" i="1"/>
  <c r="G386" i="1"/>
  <c r="H386" i="1"/>
  <c r="A386" i="1"/>
  <c r="P385" i="1"/>
  <c r="O385" i="1"/>
  <c r="M385" i="1"/>
  <c r="L385" i="1"/>
  <c r="D385" i="1"/>
  <c r="J385" i="1"/>
  <c r="G385" i="1"/>
  <c r="H385" i="1"/>
  <c r="A385" i="1"/>
  <c r="P384" i="1"/>
  <c r="O384" i="1"/>
  <c r="M384" i="1"/>
  <c r="L384" i="1"/>
  <c r="D384" i="1"/>
  <c r="J384" i="1"/>
  <c r="G384" i="1"/>
  <c r="H384" i="1"/>
  <c r="A384" i="1"/>
  <c r="P383" i="1"/>
  <c r="O383" i="1"/>
  <c r="M383" i="1"/>
  <c r="L383" i="1"/>
  <c r="D383" i="1"/>
  <c r="J383" i="1"/>
  <c r="G383" i="1"/>
  <c r="H383" i="1"/>
  <c r="A383" i="1"/>
  <c r="P382" i="1"/>
  <c r="O382" i="1"/>
  <c r="M382" i="1"/>
  <c r="L382" i="1"/>
  <c r="D382" i="1"/>
  <c r="J382" i="1"/>
  <c r="G382" i="1"/>
  <c r="H382" i="1"/>
  <c r="A382" i="1"/>
  <c r="P381" i="1"/>
  <c r="O381" i="1"/>
  <c r="M381" i="1"/>
  <c r="L381" i="1"/>
  <c r="D381" i="1"/>
  <c r="J381" i="1"/>
  <c r="G381" i="1"/>
  <c r="H381" i="1"/>
  <c r="A381" i="1"/>
  <c r="P380" i="1"/>
  <c r="O380" i="1"/>
  <c r="M380" i="1"/>
  <c r="L380" i="1"/>
  <c r="D380" i="1"/>
  <c r="J380" i="1"/>
  <c r="G380" i="1"/>
  <c r="H380" i="1"/>
  <c r="A380" i="1"/>
  <c r="P379" i="1"/>
  <c r="O379" i="1"/>
  <c r="M379" i="1"/>
  <c r="L379" i="1"/>
  <c r="D379" i="1"/>
  <c r="J379" i="1"/>
  <c r="G379" i="1"/>
  <c r="H379" i="1"/>
  <c r="A379" i="1"/>
  <c r="P378" i="1"/>
  <c r="O378" i="1"/>
  <c r="M378" i="1"/>
  <c r="L378" i="1"/>
  <c r="D378" i="1"/>
  <c r="J378" i="1"/>
  <c r="G378" i="1"/>
  <c r="H378" i="1"/>
  <c r="A378" i="1"/>
  <c r="P377" i="1"/>
  <c r="O377" i="1"/>
  <c r="M377" i="1"/>
  <c r="L377" i="1"/>
  <c r="D377" i="1"/>
  <c r="J377" i="1"/>
  <c r="G377" i="1"/>
  <c r="H377" i="1"/>
  <c r="A377" i="1"/>
  <c r="P376" i="1"/>
  <c r="O376" i="1"/>
  <c r="M376" i="1"/>
  <c r="L376" i="1"/>
  <c r="D376" i="1"/>
  <c r="J376" i="1"/>
  <c r="G376" i="1"/>
  <c r="H376" i="1"/>
  <c r="A376" i="1"/>
  <c r="P375" i="1"/>
  <c r="O375" i="1"/>
  <c r="M375" i="1"/>
  <c r="L375" i="1"/>
  <c r="D375" i="1"/>
  <c r="J375" i="1"/>
  <c r="G375" i="1"/>
  <c r="H375" i="1"/>
  <c r="A375" i="1"/>
  <c r="P374" i="1"/>
  <c r="O374" i="1"/>
  <c r="M374" i="1"/>
  <c r="L374" i="1"/>
  <c r="D374" i="1"/>
  <c r="J374" i="1"/>
  <c r="G374" i="1"/>
  <c r="H374" i="1"/>
  <c r="A374" i="1"/>
  <c r="P373" i="1"/>
  <c r="O373" i="1"/>
  <c r="M373" i="1"/>
  <c r="L373" i="1"/>
  <c r="D373" i="1"/>
  <c r="J373" i="1"/>
  <c r="G373" i="1"/>
  <c r="H373" i="1"/>
  <c r="A373" i="1"/>
  <c r="P372" i="1"/>
  <c r="O372" i="1"/>
  <c r="M372" i="1"/>
  <c r="L372" i="1"/>
  <c r="D372" i="1"/>
  <c r="J372" i="1"/>
  <c r="G372" i="1"/>
  <c r="H372" i="1"/>
  <c r="A372" i="1"/>
  <c r="P371" i="1"/>
  <c r="O371" i="1"/>
  <c r="M371" i="1"/>
  <c r="L371" i="1"/>
  <c r="D371" i="1"/>
  <c r="J371" i="1"/>
  <c r="G371" i="1"/>
  <c r="H371" i="1"/>
  <c r="A371" i="1"/>
  <c r="P370" i="1"/>
  <c r="O370" i="1"/>
  <c r="M370" i="1"/>
  <c r="L370" i="1"/>
  <c r="D370" i="1"/>
  <c r="J370" i="1"/>
  <c r="G370" i="1"/>
  <c r="H370" i="1"/>
  <c r="A370" i="1"/>
  <c r="P369" i="1"/>
  <c r="O369" i="1"/>
  <c r="M369" i="1"/>
  <c r="L369" i="1"/>
  <c r="D369" i="1"/>
  <c r="J369" i="1"/>
  <c r="G369" i="1"/>
  <c r="H369" i="1"/>
  <c r="A369" i="1"/>
  <c r="P368" i="1"/>
  <c r="O368" i="1"/>
  <c r="M368" i="1"/>
  <c r="L368" i="1"/>
  <c r="D368" i="1"/>
  <c r="J368" i="1"/>
  <c r="G368" i="1"/>
  <c r="H368" i="1"/>
  <c r="A368" i="1"/>
  <c r="P367" i="1"/>
  <c r="O367" i="1"/>
  <c r="M367" i="1"/>
  <c r="L367" i="1"/>
  <c r="D367" i="1"/>
  <c r="J367" i="1"/>
  <c r="G367" i="1"/>
  <c r="H367" i="1"/>
  <c r="A367" i="1"/>
  <c r="P366" i="1"/>
  <c r="O366" i="1"/>
  <c r="M366" i="1"/>
  <c r="L366" i="1"/>
  <c r="D366" i="1"/>
  <c r="J366" i="1"/>
  <c r="G366" i="1"/>
  <c r="H366" i="1"/>
  <c r="A366" i="1"/>
  <c r="P365" i="1"/>
  <c r="O365" i="1"/>
  <c r="M365" i="1"/>
  <c r="L365" i="1"/>
  <c r="D365" i="1"/>
  <c r="J365" i="1"/>
  <c r="G365" i="1"/>
  <c r="H365" i="1"/>
  <c r="A365" i="1"/>
  <c r="P364" i="1"/>
  <c r="O364" i="1"/>
  <c r="M364" i="1"/>
  <c r="L364" i="1"/>
  <c r="D364" i="1"/>
  <c r="J364" i="1"/>
  <c r="G364" i="1"/>
  <c r="H364" i="1"/>
  <c r="A364" i="1"/>
  <c r="P363" i="1"/>
  <c r="O363" i="1"/>
  <c r="M363" i="1"/>
  <c r="L363" i="1"/>
  <c r="D363" i="1"/>
  <c r="J363" i="1"/>
  <c r="G363" i="1"/>
  <c r="H363" i="1"/>
  <c r="A363" i="1"/>
  <c r="P362" i="1"/>
  <c r="O362" i="1"/>
  <c r="M362" i="1"/>
  <c r="L362" i="1"/>
  <c r="D362" i="1"/>
  <c r="J362" i="1"/>
  <c r="G362" i="1"/>
  <c r="H362" i="1"/>
  <c r="A362" i="1"/>
  <c r="P361" i="1"/>
  <c r="O361" i="1"/>
  <c r="M361" i="1"/>
  <c r="L361" i="1"/>
  <c r="D361" i="1"/>
  <c r="J361" i="1"/>
  <c r="G361" i="1"/>
  <c r="H361" i="1"/>
  <c r="A361" i="1"/>
  <c r="P360" i="1"/>
  <c r="O360" i="1"/>
  <c r="M360" i="1"/>
  <c r="L360" i="1"/>
  <c r="D360" i="1"/>
  <c r="J360" i="1"/>
  <c r="G360" i="1"/>
  <c r="H360" i="1"/>
  <c r="A360" i="1"/>
  <c r="P359" i="1"/>
  <c r="O359" i="1"/>
  <c r="M359" i="1"/>
  <c r="L359" i="1"/>
  <c r="D359" i="1"/>
  <c r="J359" i="1"/>
  <c r="G359" i="1"/>
  <c r="H359" i="1"/>
  <c r="A359" i="1"/>
  <c r="P358" i="1"/>
  <c r="O358" i="1"/>
  <c r="M358" i="1"/>
  <c r="L358" i="1"/>
  <c r="D358" i="1"/>
  <c r="J358" i="1"/>
  <c r="G358" i="1"/>
  <c r="H358" i="1"/>
  <c r="A358" i="1"/>
  <c r="P357" i="1"/>
  <c r="O357" i="1"/>
  <c r="M357" i="1"/>
  <c r="L357" i="1"/>
  <c r="D357" i="1"/>
  <c r="J357" i="1"/>
  <c r="G357" i="1"/>
  <c r="H357" i="1"/>
  <c r="A357" i="1"/>
  <c r="P356" i="1"/>
  <c r="O356" i="1"/>
  <c r="M356" i="1"/>
  <c r="L356" i="1"/>
  <c r="D356" i="1"/>
  <c r="J356" i="1"/>
  <c r="G356" i="1"/>
  <c r="H356" i="1"/>
  <c r="A356" i="1"/>
  <c r="P355" i="1"/>
  <c r="O355" i="1"/>
  <c r="M355" i="1"/>
  <c r="L355" i="1"/>
  <c r="D355" i="1"/>
  <c r="J355" i="1"/>
  <c r="G355" i="1"/>
  <c r="H355" i="1"/>
  <c r="A355" i="1"/>
  <c r="P354" i="1"/>
  <c r="O354" i="1"/>
  <c r="M354" i="1"/>
  <c r="L354" i="1"/>
  <c r="D354" i="1"/>
  <c r="J354" i="1"/>
  <c r="G354" i="1"/>
  <c r="H354" i="1"/>
  <c r="A354" i="1"/>
  <c r="P353" i="1"/>
  <c r="O353" i="1"/>
  <c r="M353" i="1"/>
  <c r="L353" i="1"/>
  <c r="D353" i="1"/>
  <c r="J353" i="1"/>
  <c r="G353" i="1"/>
  <c r="H353" i="1"/>
  <c r="A353" i="1"/>
  <c r="P352" i="1"/>
  <c r="O352" i="1"/>
  <c r="M352" i="1"/>
  <c r="L352" i="1"/>
  <c r="D352" i="1"/>
  <c r="J352" i="1"/>
  <c r="G352" i="1"/>
  <c r="H352" i="1"/>
  <c r="A352" i="1"/>
  <c r="P351" i="1"/>
  <c r="O351" i="1"/>
  <c r="M351" i="1"/>
  <c r="L351" i="1"/>
  <c r="D351" i="1"/>
  <c r="J351" i="1"/>
  <c r="G351" i="1"/>
  <c r="H351" i="1"/>
  <c r="A351" i="1"/>
  <c r="P350" i="1"/>
  <c r="O350" i="1"/>
  <c r="M350" i="1"/>
  <c r="L350" i="1"/>
  <c r="D350" i="1"/>
  <c r="J350" i="1"/>
  <c r="G350" i="1"/>
  <c r="H350" i="1"/>
  <c r="A350" i="1"/>
  <c r="P349" i="1"/>
  <c r="O349" i="1"/>
  <c r="M349" i="1"/>
  <c r="L349" i="1"/>
  <c r="D349" i="1"/>
  <c r="J349" i="1"/>
  <c r="G349" i="1"/>
  <c r="H349" i="1"/>
  <c r="A349" i="1"/>
  <c r="P348" i="1"/>
  <c r="O348" i="1"/>
  <c r="M348" i="1"/>
  <c r="L348" i="1"/>
  <c r="D348" i="1"/>
  <c r="J348" i="1"/>
  <c r="G348" i="1"/>
  <c r="H348" i="1"/>
  <c r="A348" i="1"/>
  <c r="P347" i="1"/>
  <c r="O347" i="1"/>
  <c r="M347" i="1"/>
  <c r="L347" i="1"/>
  <c r="D347" i="1"/>
  <c r="J347" i="1"/>
  <c r="G347" i="1"/>
  <c r="H347" i="1"/>
  <c r="A347" i="1"/>
  <c r="P346" i="1"/>
  <c r="O346" i="1"/>
  <c r="M346" i="1"/>
  <c r="L346" i="1"/>
  <c r="D346" i="1"/>
  <c r="J346" i="1"/>
  <c r="G346" i="1"/>
  <c r="H346" i="1"/>
  <c r="A346" i="1"/>
  <c r="P345" i="1"/>
  <c r="O345" i="1"/>
  <c r="M345" i="1"/>
  <c r="L345" i="1"/>
  <c r="D345" i="1"/>
  <c r="J345" i="1"/>
  <c r="G345" i="1"/>
  <c r="H345" i="1"/>
  <c r="A345" i="1"/>
  <c r="P344" i="1"/>
  <c r="O344" i="1"/>
  <c r="M344" i="1"/>
  <c r="L344" i="1"/>
  <c r="D344" i="1"/>
  <c r="J344" i="1"/>
  <c r="G344" i="1"/>
  <c r="H344" i="1"/>
  <c r="A344" i="1"/>
  <c r="P343" i="1"/>
  <c r="O343" i="1"/>
  <c r="M343" i="1"/>
  <c r="L343" i="1"/>
  <c r="D343" i="1"/>
  <c r="J343" i="1"/>
  <c r="G343" i="1"/>
  <c r="H343" i="1"/>
  <c r="A343" i="1"/>
  <c r="P342" i="1"/>
  <c r="O342" i="1"/>
  <c r="M342" i="1"/>
  <c r="L342" i="1"/>
  <c r="D342" i="1"/>
  <c r="J342" i="1"/>
  <c r="G342" i="1"/>
  <c r="H342" i="1"/>
  <c r="A342" i="1"/>
  <c r="P341" i="1"/>
  <c r="O341" i="1"/>
  <c r="M341" i="1"/>
  <c r="L341" i="1"/>
  <c r="D341" i="1"/>
  <c r="J341" i="1"/>
  <c r="G341" i="1"/>
  <c r="H341" i="1"/>
  <c r="A341" i="1"/>
  <c r="P340" i="1"/>
  <c r="O340" i="1"/>
  <c r="M340" i="1"/>
  <c r="L340" i="1"/>
  <c r="D340" i="1"/>
  <c r="J340" i="1"/>
  <c r="G340" i="1"/>
  <c r="H340" i="1"/>
  <c r="A340" i="1"/>
  <c r="P339" i="1"/>
  <c r="O339" i="1"/>
  <c r="M339" i="1"/>
  <c r="L339" i="1"/>
  <c r="D339" i="1"/>
  <c r="J339" i="1"/>
  <c r="G339" i="1"/>
  <c r="H339" i="1"/>
  <c r="A339" i="1"/>
  <c r="P338" i="1"/>
  <c r="O338" i="1"/>
  <c r="M338" i="1"/>
  <c r="L338" i="1"/>
  <c r="D338" i="1"/>
  <c r="J338" i="1"/>
  <c r="G338" i="1"/>
  <c r="H338" i="1"/>
  <c r="A338" i="1"/>
  <c r="P337" i="1"/>
  <c r="O337" i="1"/>
  <c r="M337" i="1"/>
  <c r="L337" i="1"/>
  <c r="D337" i="1"/>
  <c r="J337" i="1"/>
  <c r="G337" i="1"/>
  <c r="H337" i="1"/>
  <c r="A337" i="1"/>
  <c r="P336" i="1"/>
  <c r="O336" i="1"/>
  <c r="M336" i="1"/>
  <c r="L336" i="1"/>
  <c r="D336" i="1"/>
  <c r="J336" i="1"/>
  <c r="G336" i="1"/>
  <c r="H336" i="1"/>
  <c r="A336" i="1"/>
  <c r="P335" i="1"/>
  <c r="O335" i="1"/>
  <c r="M335" i="1"/>
  <c r="L335" i="1"/>
  <c r="D335" i="1"/>
  <c r="J335" i="1"/>
  <c r="G335" i="1"/>
  <c r="H335" i="1"/>
  <c r="A335" i="1"/>
  <c r="P334" i="1"/>
  <c r="O334" i="1"/>
  <c r="M334" i="1"/>
  <c r="L334" i="1"/>
  <c r="D334" i="1"/>
  <c r="J334" i="1"/>
  <c r="G334" i="1"/>
  <c r="H334" i="1"/>
  <c r="A334" i="1"/>
  <c r="P333" i="1"/>
  <c r="O333" i="1"/>
  <c r="M333" i="1"/>
  <c r="L333" i="1"/>
  <c r="D333" i="1"/>
  <c r="J333" i="1"/>
  <c r="G333" i="1"/>
  <c r="H333" i="1"/>
  <c r="A333" i="1"/>
  <c r="P332" i="1"/>
  <c r="O332" i="1"/>
  <c r="M332" i="1"/>
  <c r="L332" i="1"/>
  <c r="D332" i="1"/>
  <c r="J332" i="1"/>
  <c r="G332" i="1"/>
  <c r="H332" i="1"/>
  <c r="A332" i="1"/>
  <c r="P331" i="1"/>
  <c r="O331" i="1"/>
  <c r="M331" i="1"/>
  <c r="L331" i="1"/>
  <c r="D331" i="1"/>
  <c r="J331" i="1"/>
  <c r="G331" i="1"/>
  <c r="H331" i="1"/>
  <c r="A331" i="1"/>
  <c r="P330" i="1"/>
  <c r="O330" i="1"/>
  <c r="M330" i="1"/>
  <c r="L330" i="1"/>
  <c r="D330" i="1"/>
  <c r="J330" i="1"/>
  <c r="G330" i="1"/>
  <c r="H330" i="1"/>
  <c r="A330" i="1"/>
  <c r="P329" i="1"/>
  <c r="O329" i="1"/>
  <c r="M329" i="1"/>
  <c r="L329" i="1"/>
  <c r="D329" i="1"/>
  <c r="J329" i="1"/>
  <c r="G329" i="1"/>
  <c r="H329" i="1"/>
  <c r="A329" i="1"/>
  <c r="P328" i="1"/>
  <c r="O328" i="1"/>
  <c r="M328" i="1"/>
  <c r="L328" i="1"/>
  <c r="D328" i="1"/>
  <c r="J328" i="1"/>
  <c r="G328" i="1"/>
  <c r="H328" i="1"/>
  <c r="A328" i="1"/>
  <c r="P327" i="1"/>
  <c r="O327" i="1"/>
  <c r="M327" i="1"/>
  <c r="L327" i="1"/>
  <c r="D327" i="1"/>
  <c r="J327" i="1"/>
  <c r="G327" i="1"/>
  <c r="H327" i="1"/>
  <c r="A327" i="1"/>
  <c r="P326" i="1"/>
  <c r="O326" i="1"/>
  <c r="M326" i="1"/>
  <c r="L326" i="1"/>
  <c r="D326" i="1"/>
  <c r="J326" i="1"/>
  <c r="G326" i="1"/>
  <c r="H326" i="1"/>
  <c r="A326" i="1"/>
  <c r="P325" i="1"/>
  <c r="O325" i="1"/>
  <c r="M325" i="1"/>
  <c r="L325" i="1"/>
  <c r="D325" i="1"/>
  <c r="J325" i="1"/>
  <c r="G325" i="1"/>
  <c r="H325" i="1"/>
  <c r="A325" i="1"/>
  <c r="P324" i="1"/>
  <c r="O324" i="1"/>
  <c r="M324" i="1"/>
  <c r="L324" i="1"/>
  <c r="D324" i="1"/>
  <c r="J324" i="1"/>
  <c r="G324" i="1"/>
  <c r="H324" i="1"/>
  <c r="A324" i="1"/>
  <c r="P323" i="1"/>
  <c r="O323" i="1"/>
  <c r="M323" i="1"/>
  <c r="L323" i="1"/>
  <c r="D323" i="1"/>
  <c r="J323" i="1"/>
  <c r="G323" i="1"/>
  <c r="H323" i="1"/>
  <c r="A323" i="1"/>
  <c r="P322" i="1"/>
  <c r="O322" i="1"/>
  <c r="M322" i="1"/>
  <c r="L322" i="1"/>
  <c r="D322" i="1"/>
  <c r="J322" i="1"/>
  <c r="G322" i="1"/>
  <c r="H322" i="1"/>
  <c r="A322" i="1"/>
  <c r="P321" i="1"/>
  <c r="O321" i="1"/>
  <c r="M321" i="1"/>
  <c r="L321" i="1"/>
  <c r="D321" i="1"/>
  <c r="J321" i="1"/>
  <c r="G321" i="1"/>
  <c r="H321" i="1"/>
  <c r="A321" i="1"/>
  <c r="P320" i="1"/>
  <c r="O320" i="1"/>
  <c r="M320" i="1"/>
  <c r="L320" i="1"/>
  <c r="D320" i="1"/>
  <c r="J320" i="1"/>
  <c r="G320" i="1"/>
  <c r="H320" i="1"/>
  <c r="A320" i="1"/>
  <c r="P319" i="1"/>
  <c r="O319" i="1"/>
  <c r="M319" i="1"/>
  <c r="L319" i="1"/>
  <c r="D319" i="1"/>
  <c r="J319" i="1"/>
  <c r="G319" i="1"/>
  <c r="H319" i="1"/>
  <c r="A319" i="1"/>
  <c r="P318" i="1"/>
  <c r="O318" i="1"/>
  <c r="M318" i="1"/>
  <c r="L318" i="1"/>
  <c r="D318" i="1"/>
  <c r="J318" i="1"/>
  <c r="G318" i="1"/>
  <c r="H318" i="1"/>
  <c r="A318" i="1"/>
  <c r="P317" i="1"/>
  <c r="O317" i="1"/>
  <c r="M317" i="1"/>
  <c r="L317" i="1"/>
  <c r="D317" i="1"/>
  <c r="J317" i="1"/>
  <c r="G317" i="1"/>
  <c r="H317" i="1"/>
  <c r="A317" i="1"/>
  <c r="P316" i="1"/>
  <c r="O316" i="1"/>
  <c r="M316" i="1"/>
  <c r="L316" i="1"/>
  <c r="D316" i="1"/>
  <c r="J316" i="1"/>
  <c r="G316" i="1"/>
  <c r="H316" i="1"/>
  <c r="A316" i="1"/>
  <c r="P315" i="1"/>
  <c r="O315" i="1"/>
  <c r="M315" i="1"/>
  <c r="L315" i="1"/>
  <c r="D315" i="1"/>
  <c r="J315" i="1"/>
  <c r="G315" i="1"/>
  <c r="H315" i="1"/>
  <c r="A315" i="1"/>
  <c r="P314" i="1"/>
  <c r="O314" i="1"/>
  <c r="M314" i="1"/>
  <c r="L314" i="1"/>
  <c r="D314" i="1"/>
  <c r="J314" i="1"/>
  <c r="G314" i="1"/>
  <c r="H314" i="1"/>
  <c r="A314" i="1"/>
  <c r="P313" i="1"/>
  <c r="O313" i="1"/>
  <c r="M313" i="1"/>
  <c r="L313" i="1"/>
  <c r="D313" i="1"/>
  <c r="J313" i="1"/>
  <c r="G313" i="1"/>
  <c r="H313" i="1"/>
  <c r="A313" i="1"/>
  <c r="P312" i="1"/>
  <c r="O312" i="1"/>
  <c r="M312" i="1"/>
  <c r="L312" i="1"/>
  <c r="D312" i="1"/>
  <c r="J312" i="1"/>
  <c r="G312" i="1"/>
  <c r="H312" i="1"/>
  <c r="A312" i="1"/>
  <c r="P311" i="1"/>
  <c r="O311" i="1"/>
  <c r="M311" i="1"/>
  <c r="L311" i="1"/>
  <c r="D311" i="1"/>
  <c r="J311" i="1"/>
  <c r="G311" i="1"/>
  <c r="H311" i="1"/>
  <c r="A311" i="1"/>
  <c r="P310" i="1"/>
  <c r="O310" i="1"/>
  <c r="M310" i="1"/>
  <c r="L310" i="1"/>
  <c r="D310" i="1"/>
  <c r="J310" i="1"/>
  <c r="G310" i="1"/>
  <c r="H310" i="1"/>
  <c r="A310" i="1"/>
  <c r="P309" i="1"/>
  <c r="O309" i="1"/>
  <c r="M309" i="1"/>
  <c r="L309" i="1"/>
  <c r="D309" i="1"/>
  <c r="J309" i="1"/>
  <c r="G309" i="1"/>
  <c r="H309" i="1"/>
  <c r="A309" i="1"/>
  <c r="P308" i="1"/>
  <c r="O308" i="1"/>
  <c r="M308" i="1"/>
  <c r="L308" i="1"/>
  <c r="D308" i="1"/>
  <c r="J308" i="1"/>
  <c r="G308" i="1"/>
  <c r="H308" i="1"/>
  <c r="A308" i="1"/>
  <c r="P307" i="1"/>
  <c r="O307" i="1"/>
  <c r="M307" i="1"/>
  <c r="L307" i="1"/>
  <c r="D307" i="1"/>
  <c r="J307" i="1"/>
  <c r="G307" i="1"/>
  <c r="H307" i="1"/>
  <c r="A307" i="1"/>
  <c r="P306" i="1"/>
  <c r="O306" i="1"/>
  <c r="M306" i="1"/>
  <c r="L306" i="1"/>
  <c r="D306" i="1"/>
  <c r="J306" i="1"/>
  <c r="G306" i="1"/>
  <c r="H306" i="1"/>
  <c r="A306" i="1"/>
  <c r="P305" i="1"/>
  <c r="O305" i="1"/>
  <c r="M305" i="1"/>
  <c r="L305" i="1"/>
  <c r="D305" i="1"/>
  <c r="J305" i="1"/>
  <c r="G305" i="1"/>
  <c r="H305" i="1"/>
  <c r="A305" i="1"/>
  <c r="P304" i="1"/>
  <c r="O304" i="1"/>
  <c r="M304" i="1"/>
  <c r="L304" i="1"/>
  <c r="D304" i="1"/>
  <c r="J304" i="1"/>
  <c r="G304" i="1"/>
  <c r="H304" i="1"/>
  <c r="A304" i="1"/>
  <c r="P303" i="1"/>
  <c r="O303" i="1"/>
  <c r="M303" i="1"/>
  <c r="L303" i="1"/>
  <c r="D303" i="1"/>
  <c r="J303" i="1"/>
  <c r="G303" i="1"/>
  <c r="H303" i="1"/>
  <c r="A303" i="1"/>
  <c r="P302" i="1"/>
  <c r="O302" i="1"/>
  <c r="M302" i="1"/>
  <c r="L302" i="1"/>
  <c r="D302" i="1"/>
  <c r="J302" i="1"/>
  <c r="G302" i="1"/>
  <c r="H302" i="1"/>
  <c r="A302" i="1"/>
  <c r="P301" i="1"/>
  <c r="O301" i="1"/>
  <c r="M301" i="1"/>
  <c r="L301" i="1"/>
  <c r="D301" i="1"/>
  <c r="J301" i="1"/>
  <c r="G301" i="1"/>
  <c r="H301" i="1"/>
  <c r="A301" i="1"/>
  <c r="P300" i="1"/>
  <c r="O300" i="1"/>
  <c r="M300" i="1"/>
  <c r="L300" i="1"/>
  <c r="D300" i="1"/>
  <c r="J300" i="1"/>
  <c r="G300" i="1"/>
  <c r="H300" i="1"/>
  <c r="A300" i="1"/>
  <c r="P299" i="1"/>
  <c r="O299" i="1"/>
  <c r="M299" i="1"/>
  <c r="L299" i="1"/>
  <c r="D299" i="1"/>
  <c r="J299" i="1"/>
  <c r="G299" i="1"/>
  <c r="H299" i="1"/>
  <c r="A299" i="1"/>
  <c r="P298" i="1"/>
  <c r="O298" i="1"/>
  <c r="M298" i="1"/>
  <c r="L298" i="1"/>
  <c r="D298" i="1"/>
  <c r="J298" i="1"/>
  <c r="G298" i="1"/>
  <c r="H298" i="1"/>
  <c r="A298" i="1"/>
  <c r="P297" i="1"/>
  <c r="O297" i="1"/>
  <c r="M297" i="1"/>
  <c r="L297" i="1"/>
  <c r="D297" i="1"/>
  <c r="J297" i="1"/>
  <c r="G297" i="1"/>
  <c r="H297" i="1"/>
  <c r="A297" i="1"/>
  <c r="P296" i="1"/>
  <c r="O296" i="1"/>
  <c r="M296" i="1"/>
  <c r="L296" i="1"/>
  <c r="D296" i="1"/>
  <c r="J296" i="1"/>
  <c r="G296" i="1"/>
  <c r="H296" i="1"/>
  <c r="A296" i="1"/>
  <c r="P295" i="1"/>
  <c r="O295" i="1"/>
  <c r="M295" i="1"/>
  <c r="L295" i="1"/>
  <c r="D295" i="1"/>
  <c r="J295" i="1"/>
  <c r="G295" i="1"/>
  <c r="H295" i="1"/>
  <c r="A295" i="1"/>
  <c r="P294" i="1"/>
  <c r="O294" i="1"/>
  <c r="M294" i="1"/>
  <c r="L294" i="1"/>
  <c r="D294" i="1"/>
  <c r="J294" i="1"/>
  <c r="G294" i="1"/>
  <c r="H294" i="1"/>
  <c r="A294" i="1"/>
  <c r="P293" i="1"/>
  <c r="O293" i="1"/>
  <c r="M293" i="1"/>
  <c r="L293" i="1"/>
  <c r="D293" i="1"/>
  <c r="J293" i="1"/>
  <c r="G293" i="1"/>
  <c r="H293" i="1"/>
  <c r="A293" i="1"/>
  <c r="P292" i="1"/>
  <c r="O292" i="1"/>
  <c r="M292" i="1"/>
  <c r="L292" i="1"/>
  <c r="D292" i="1"/>
  <c r="J292" i="1"/>
  <c r="G292" i="1"/>
  <c r="H292" i="1"/>
  <c r="A292" i="1"/>
  <c r="P291" i="1"/>
  <c r="O291" i="1"/>
  <c r="M291" i="1"/>
  <c r="L291" i="1"/>
  <c r="D291" i="1"/>
  <c r="J291" i="1"/>
  <c r="G291" i="1"/>
  <c r="H291" i="1"/>
  <c r="A291" i="1"/>
  <c r="P290" i="1"/>
  <c r="O290" i="1"/>
  <c r="M290" i="1"/>
  <c r="L290" i="1"/>
  <c r="D290" i="1"/>
  <c r="J290" i="1"/>
  <c r="G290" i="1"/>
  <c r="H290" i="1"/>
  <c r="A290" i="1"/>
  <c r="P289" i="1"/>
  <c r="O289" i="1"/>
  <c r="M289" i="1"/>
  <c r="L289" i="1"/>
  <c r="D289" i="1"/>
  <c r="J289" i="1"/>
  <c r="G289" i="1"/>
  <c r="H289" i="1"/>
  <c r="A289" i="1"/>
  <c r="P288" i="1"/>
  <c r="O288" i="1"/>
  <c r="M288" i="1"/>
  <c r="L288" i="1"/>
  <c r="D288" i="1"/>
  <c r="J288" i="1"/>
  <c r="G288" i="1"/>
  <c r="H288" i="1"/>
  <c r="A288" i="1"/>
  <c r="P287" i="1"/>
  <c r="O287" i="1"/>
  <c r="M287" i="1"/>
  <c r="L287" i="1"/>
  <c r="D287" i="1"/>
  <c r="J287" i="1"/>
  <c r="G287" i="1"/>
  <c r="H287" i="1"/>
  <c r="A287" i="1"/>
  <c r="P286" i="1"/>
  <c r="O286" i="1"/>
  <c r="M286" i="1"/>
  <c r="L286" i="1"/>
  <c r="D286" i="1"/>
  <c r="J286" i="1"/>
  <c r="G286" i="1"/>
  <c r="H286" i="1"/>
  <c r="A286" i="1"/>
  <c r="P285" i="1"/>
  <c r="O285" i="1"/>
  <c r="M285" i="1"/>
  <c r="L285" i="1"/>
  <c r="D285" i="1"/>
  <c r="J285" i="1"/>
  <c r="G285" i="1"/>
  <c r="H285" i="1"/>
  <c r="A285" i="1"/>
  <c r="P284" i="1"/>
  <c r="O284" i="1"/>
  <c r="M284" i="1"/>
  <c r="L284" i="1"/>
  <c r="D284" i="1"/>
  <c r="J284" i="1"/>
  <c r="G284" i="1"/>
  <c r="H284" i="1"/>
  <c r="A284" i="1"/>
  <c r="P283" i="1"/>
  <c r="O283" i="1"/>
  <c r="M283" i="1"/>
  <c r="L283" i="1"/>
  <c r="D283" i="1"/>
  <c r="J283" i="1"/>
  <c r="G283" i="1"/>
  <c r="H283" i="1"/>
  <c r="A283" i="1"/>
  <c r="P282" i="1"/>
  <c r="O282" i="1"/>
  <c r="M282" i="1"/>
  <c r="L282" i="1"/>
  <c r="D282" i="1"/>
  <c r="J282" i="1"/>
  <c r="G282" i="1"/>
  <c r="H282" i="1"/>
  <c r="A282" i="1"/>
  <c r="P281" i="1"/>
  <c r="O281" i="1"/>
  <c r="M281" i="1"/>
  <c r="L281" i="1"/>
  <c r="D281" i="1"/>
  <c r="J281" i="1"/>
  <c r="G281" i="1"/>
  <c r="H281" i="1"/>
  <c r="A281" i="1"/>
  <c r="P280" i="1"/>
  <c r="O280" i="1"/>
  <c r="M280" i="1"/>
  <c r="L280" i="1"/>
  <c r="D280" i="1"/>
  <c r="J280" i="1"/>
  <c r="G280" i="1"/>
  <c r="H280" i="1"/>
  <c r="A280" i="1"/>
  <c r="P279" i="1"/>
  <c r="O279" i="1"/>
  <c r="M279" i="1"/>
  <c r="L279" i="1"/>
  <c r="D279" i="1"/>
  <c r="J279" i="1"/>
  <c r="G279" i="1"/>
  <c r="H279" i="1"/>
  <c r="A279" i="1"/>
  <c r="P278" i="1"/>
  <c r="O278" i="1"/>
  <c r="M278" i="1"/>
  <c r="L278" i="1"/>
  <c r="D278" i="1"/>
  <c r="J278" i="1"/>
  <c r="G278" i="1"/>
  <c r="H278" i="1"/>
  <c r="A278" i="1"/>
  <c r="P277" i="1"/>
  <c r="O277" i="1"/>
  <c r="M277" i="1"/>
  <c r="L277" i="1"/>
  <c r="D277" i="1"/>
  <c r="J277" i="1"/>
  <c r="G277" i="1"/>
  <c r="H277" i="1"/>
  <c r="A277" i="1"/>
  <c r="P276" i="1"/>
  <c r="O276" i="1"/>
  <c r="M276" i="1"/>
  <c r="L276" i="1"/>
  <c r="D276" i="1"/>
  <c r="J276" i="1"/>
  <c r="G276" i="1"/>
  <c r="H276" i="1"/>
  <c r="A276" i="1"/>
  <c r="P275" i="1"/>
  <c r="O275" i="1"/>
  <c r="M275" i="1"/>
  <c r="L275" i="1"/>
  <c r="D275" i="1"/>
  <c r="J275" i="1"/>
  <c r="G275" i="1"/>
  <c r="H275" i="1"/>
  <c r="A275" i="1"/>
  <c r="P274" i="1"/>
  <c r="O274" i="1"/>
  <c r="M274" i="1"/>
  <c r="L274" i="1"/>
  <c r="D274" i="1"/>
  <c r="J274" i="1"/>
  <c r="G274" i="1"/>
  <c r="H274" i="1"/>
  <c r="A274" i="1"/>
  <c r="P273" i="1"/>
  <c r="O273" i="1"/>
  <c r="M273" i="1"/>
  <c r="L273" i="1"/>
  <c r="D273" i="1"/>
  <c r="J273" i="1"/>
  <c r="G273" i="1"/>
  <c r="H273" i="1"/>
  <c r="A273" i="1"/>
  <c r="P272" i="1"/>
  <c r="O272" i="1"/>
  <c r="M272" i="1"/>
  <c r="L272" i="1"/>
  <c r="D272" i="1"/>
  <c r="J272" i="1"/>
  <c r="G272" i="1"/>
  <c r="H272" i="1"/>
  <c r="A272" i="1"/>
  <c r="P271" i="1"/>
  <c r="O271" i="1"/>
  <c r="M271" i="1"/>
  <c r="L271" i="1"/>
  <c r="D271" i="1"/>
  <c r="J271" i="1"/>
  <c r="G271" i="1"/>
  <c r="H271" i="1"/>
  <c r="A271" i="1"/>
  <c r="P270" i="1"/>
  <c r="O270" i="1"/>
  <c r="M270" i="1"/>
  <c r="L270" i="1"/>
  <c r="D270" i="1"/>
  <c r="J270" i="1"/>
  <c r="G270" i="1"/>
  <c r="H270" i="1"/>
  <c r="A270" i="1"/>
  <c r="P269" i="1"/>
  <c r="O269" i="1"/>
  <c r="M269" i="1"/>
  <c r="L269" i="1"/>
  <c r="D269" i="1"/>
  <c r="J269" i="1"/>
  <c r="G269" i="1"/>
  <c r="H269" i="1"/>
  <c r="A269" i="1"/>
  <c r="P268" i="1"/>
  <c r="O268" i="1"/>
  <c r="M268" i="1"/>
  <c r="L268" i="1"/>
  <c r="D268" i="1"/>
  <c r="J268" i="1"/>
  <c r="G268" i="1"/>
  <c r="H268" i="1"/>
  <c r="A268" i="1"/>
  <c r="P267" i="1"/>
  <c r="O267" i="1"/>
  <c r="M267" i="1"/>
  <c r="L267" i="1"/>
  <c r="D267" i="1"/>
  <c r="J267" i="1"/>
  <c r="G267" i="1"/>
  <c r="H267" i="1"/>
  <c r="A267" i="1"/>
  <c r="P266" i="1"/>
  <c r="O266" i="1"/>
  <c r="M266" i="1"/>
  <c r="L266" i="1"/>
  <c r="D266" i="1"/>
  <c r="J266" i="1"/>
  <c r="G266" i="1"/>
  <c r="H266" i="1"/>
  <c r="A266" i="1"/>
  <c r="P265" i="1"/>
  <c r="O265" i="1"/>
  <c r="M265" i="1"/>
  <c r="L265" i="1"/>
  <c r="D265" i="1"/>
  <c r="J265" i="1"/>
  <c r="G265" i="1"/>
  <c r="H265" i="1"/>
  <c r="A265" i="1"/>
  <c r="P264" i="1"/>
  <c r="O264" i="1"/>
  <c r="M264" i="1"/>
  <c r="L264" i="1"/>
  <c r="D264" i="1"/>
  <c r="J264" i="1"/>
  <c r="G264" i="1"/>
  <c r="H264" i="1"/>
  <c r="A264" i="1"/>
  <c r="P263" i="1"/>
  <c r="O263" i="1"/>
  <c r="M263" i="1"/>
  <c r="L263" i="1"/>
  <c r="D263" i="1"/>
  <c r="J263" i="1"/>
  <c r="G263" i="1"/>
  <c r="H263" i="1"/>
  <c r="A263" i="1"/>
  <c r="P262" i="1"/>
  <c r="O262" i="1"/>
  <c r="M262" i="1"/>
  <c r="L262" i="1"/>
  <c r="D262" i="1"/>
  <c r="J262" i="1"/>
  <c r="G262" i="1"/>
  <c r="H262" i="1"/>
  <c r="A262" i="1"/>
  <c r="P261" i="1"/>
  <c r="O261" i="1"/>
  <c r="M261" i="1"/>
  <c r="L261" i="1"/>
  <c r="D261" i="1"/>
  <c r="J261" i="1"/>
  <c r="G261" i="1"/>
  <c r="H261" i="1"/>
  <c r="A261" i="1"/>
  <c r="P260" i="1"/>
  <c r="O260" i="1"/>
  <c r="M260" i="1"/>
  <c r="L260" i="1"/>
  <c r="D260" i="1"/>
  <c r="J260" i="1"/>
  <c r="G260" i="1"/>
  <c r="H260" i="1"/>
  <c r="A260" i="1"/>
  <c r="P259" i="1"/>
  <c r="O259" i="1"/>
  <c r="M259" i="1"/>
  <c r="L259" i="1"/>
  <c r="D259" i="1"/>
  <c r="J259" i="1"/>
  <c r="G259" i="1"/>
  <c r="H259" i="1"/>
  <c r="A259" i="1"/>
  <c r="P258" i="1"/>
  <c r="O258" i="1"/>
  <c r="M258" i="1"/>
  <c r="L258" i="1"/>
  <c r="D258" i="1"/>
  <c r="J258" i="1"/>
  <c r="G258" i="1"/>
  <c r="H258" i="1"/>
  <c r="A258" i="1"/>
  <c r="P257" i="1"/>
  <c r="O257" i="1"/>
  <c r="M257" i="1"/>
  <c r="L257" i="1"/>
  <c r="D257" i="1"/>
  <c r="J257" i="1"/>
  <c r="G257" i="1"/>
  <c r="H257" i="1"/>
  <c r="A257" i="1"/>
  <c r="P256" i="1"/>
  <c r="O256" i="1"/>
  <c r="M256" i="1"/>
  <c r="L256" i="1"/>
  <c r="D256" i="1"/>
  <c r="J256" i="1"/>
  <c r="G256" i="1"/>
  <c r="H256" i="1"/>
  <c r="A256" i="1"/>
  <c r="P255" i="1"/>
  <c r="O255" i="1"/>
  <c r="M255" i="1"/>
  <c r="L255" i="1"/>
  <c r="D255" i="1"/>
  <c r="J255" i="1"/>
  <c r="G255" i="1"/>
  <c r="H255" i="1"/>
  <c r="A255" i="1"/>
  <c r="P254" i="1"/>
  <c r="O254" i="1"/>
  <c r="M254" i="1"/>
  <c r="L254" i="1"/>
  <c r="D254" i="1"/>
  <c r="J254" i="1"/>
  <c r="G254" i="1"/>
  <c r="H254" i="1"/>
  <c r="A254" i="1"/>
  <c r="P253" i="1"/>
  <c r="O253" i="1"/>
  <c r="M253" i="1"/>
  <c r="L253" i="1"/>
  <c r="D253" i="1"/>
  <c r="J253" i="1"/>
  <c r="G253" i="1"/>
  <c r="H253" i="1"/>
  <c r="A253" i="1"/>
  <c r="P252" i="1"/>
  <c r="O252" i="1"/>
  <c r="M252" i="1"/>
  <c r="L252" i="1"/>
  <c r="D252" i="1"/>
  <c r="J252" i="1"/>
  <c r="G252" i="1"/>
  <c r="H252" i="1"/>
  <c r="A252" i="1"/>
  <c r="P251" i="1"/>
  <c r="O251" i="1"/>
  <c r="M251" i="1"/>
  <c r="L251" i="1"/>
  <c r="D251" i="1"/>
  <c r="J251" i="1"/>
  <c r="G251" i="1"/>
  <c r="H251" i="1"/>
  <c r="A251" i="1"/>
  <c r="P250" i="1"/>
  <c r="O250" i="1"/>
  <c r="M250" i="1"/>
  <c r="L250" i="1"/>
  <c r="D250" i="1"/>
  <c r="J250" i="1"/>
  <c r="G250" i="1"/>
  <c r="H250" i="1"/>
  <c r="A250" i="1"/>
  <c r="P249" i="1"/>
  <c r="O249" i="1"/>
  <c r="M249" i="1"/>
  <c r="L249" i="1"/>
  <c r="D249" i="1"/>
  <c r="J249" i="1"/>
  <c r="G249" i="1"/>
  <c r="H249" i="1"/>
  <c r="A249" i="1"/>
  <c r="P248" i="1"/>
  <c r="O248" i="1"/>
  <c r="M248" i="1"/>
  <c r="L248" i="1"/>
  <c r="D248" i="1"/>
  <c r="J248" i="1"/>
  <c r="G248" i="1"/>
  <c r="H248" i="1"/>
  <c r="A248" i="1"/>
  <c r="P247" i="1"/>
  <c r="O247" i="1"/>
  <c r="M247" i="1"/>
  <c r="L247" i="1"/>
  <c r="D247" i="1"/>
  <c r="J247" i="1"/>
  <c r="G247" i="1"/>
  <c r="H247" i="1"/>
  <c r="A247" i="1"/>
  <c r="P246" i="1"/>
  <c r="O246" i="1"/>
  <c r="M246" i="1"/>
  <c r="L246" i="1"/>
  <c r="D246" i="1"/>
  <c r="J246" i="1"/>
  <c r="G246" i="1"/>
  <c r="H246" i="1"/>
  <c r="A246" i="1"/>
  <c r="P245" i="1"/>
  <c r="O245" i="1"/>
  <c r="M245" i="1"/>
  <c r="L245" i="1"/>
  <c r="D245" i="1"/>
  <c r="J245" i="1"/>
  <c r="G245" i="1"/>
  <c r="H245" i="1"/>
  <c r="A245" i="1"/>
  <c r="P244" i="1"/>
  <c r="O244" i="1"/>
  <c r="M244" i="1"/>
  <c r="L244" i="1"/>
  <c r="D244" i="1"/>
  <c r="J244" i="1"/>
  <c r="G244" i="1"/>
  <c r="H244" i="1"/>
  <c r="A244" i="1"/>
  <c r="P243" i="1"/>
  <c r="O243" i="1"/>
  <c r="M243" i="1"/>
  <c r="L243" i="1"/>
  <c r="D243" i="1"/>
  <c r="J243" i="1"/>
  <c r="G243" i="1"/>
  <c r="H243" i="1"/>
  <c r="A243" i="1"/>
  <c r="P242" i="1"/>
  <c r="O242" i="1"/>
  <c r="M242" i="1"/>
  <c r="L242" i="1"/>
  <c r="D242" i="1"/>
  <c r="J242" i="1"/>
  <c r="G242" i="1"/>
  <c r="H242" i="1"/>
  <c r="A242" i="1"/>
  <c r="P241" i="1"/>
  <c r="O241" i="1"/>
  <c r="M241" i="1"/>
  <c r="L241" i="1"/>
  <c r="D241" i="1"/>
  <c r="J241" i="1"/>
  <c r="G241" i="1"/>
  <c r="H241" i="1"/>
  <c r="A241" i="1"/>
  <c r="P240" i="1"/>
  <c r="O240" i="1"/>
  <c r="M240" i="1"/>
  <c r="L240" i="1"/>
  <c r="D240" i="1"/>
  <c r="J240" i="1"/>
  <c r="G240" i="1"/>
  <c r="H240" i="1"/>
  <c r="A240" i="1"/>
  <c r="P239" i="1"/>
  <c r="O239" i="1"/>
  <c r="M239" i="1"/>
  <c r="L239" i="1"/>
  <c r="D239" i="1"/>
  <c r="J239" i="1"/>
  <c r="G239" i="1"/>
  <c r="H239" i="1"/>
  <c r="A239" i="1"/>
  <c r="P238" i="1"/>
  <c r="O238" i="1"/>
  <c r="M238" i="1"/>
  <c r="L238" i="1"/>
  <c r="D238" i="1"/>
  <c r="J238" i="1"/>
  <c r="G238" i="1"/>
  <c r="H238" i="1"/>
  <c r="A238" i="1"/>
  <c r="P237" i="1"/>
  <c r="O237" i="1"/>
  <c r="M237" i="1"/>
  <c r="L237" i="1"/>
  <c r="D237" i="1"/>
  <c r="J237" i="1"/>
  <c r="G237" i="1"/>
  <c r="H237" i="1"/>
  <c r="A237" i="1"/>
  <c r="P236" i="1"/>
  <c r="O236" i="1"/>
  <c r="M236" i="1"/>
  <c r="L236" i="1"/>
  <c r="D236" i="1"/>
  <c r="J236" i="1"/>
  <c r="G236" i="1"/>
  <c r="H236" i="1"/>
  <c r="A236" i="1"/>
  <c r="P235" i="1"/>
  <c r="O235" i="1"/>
  <c r="M235" i="1"/>
  <c r="L235" i="1"/>
  <c r="D235" i="1"/>
  <c r="J235" i="1"/>
  <c r="G235" i="1"/>
  <c r="H235" i="1"/>
  <c r="A235" i="1"/>
  <c r="P234" i="1"/>
  <c r="O234" i="1"/>
  <c r="M234" i="1"/>
  <c r="L234" i="1"/>
  <c r="D234" i="1"/>
  <c r="J234" i="1"/>
  <c r="G234" i="1"/>
  <c r="H234" i="1"/>
  <c r="A234" i="1"/>
  <c r="P233" i="1"/>
  <c r="O233" i="1"/>
  <c r="M233" i="1"/>
  <c r="L233" i="1"/>
  <c r="D233" i="1"/>
  <c r="J233" i="1"/>
  <c r="G233" i="1"/>
  <c r="H233" i="1"/>
  <c r="A233" i="1"/>
  <c r="P232" i="1"/>
  <c r="O232" i="1"/>
  <c r="M232" i="1"/>
  <c r="L232" i="1"/>
  <c r="D232" i="1"/>
  <c r="J232" i="1"/>
  <c r="G232" i="1"/>
  <c r="H232" i="1"/>
  <c r="A232" i="1"/>
  <c r="P231" i="1"/>
  <c r="O231" i="1"/>
  <c r="M231" i="1"/>
  <c r="L231" i="1"/>
  <c r="D231" i="1"/>
  <c r="J231" i="1"/>
  <c r="G231" i="1"/>
  <c r="H231" i="1"/>
  <c r="A231" i="1"/>
  <c r="P230" i="1"/>
  <c r="O230" i="1"/>
  <c r="M230" i="1"/>
  <c r="L230" i="1"/>
  <c r="D230" i="1"/>
  <c r="J230" i="1"/>
  <c r="G230" i="1"/>
  <c r="H230" i="1"/>
  <c r="A230" i="1"/>
  <c r="P229" i="1"/>
  <c r="O229" i="1"/>
  <c r="M229" i="1"/>
  <c r="L229" i="1"/>
  <c r="D229" i="1"/>
  <c r="J229" i="1"/>
  <c r="G229" i="1"/>
  <c r="H229" i="1"/>
  <c r="A229" i="1"/>
  <c r="P228" i="1"/>
  <c r="O228" i="1"/>
  <c r="M228" i="1"/>
  <c r="L228" i="1"/>
  <c r="D228" i="1"/>
  <c r="J228" i="1"/>
  <c r="G228" i="1"/>
  <c r="H228" i="1"/>
  <c r="A228" i="1"/>
  <c r="P227" i="1"/>
  <c r="O227" i="1"/>
  <c r="M227" i="1"/>
  <c r="L227" i="1"/>
  <c r="D227" i="1"/>
  <c r="J227" i="1"/>
  <c r="G227" i="1"/>
  <c r="H227" i="1"/>
  <c r="A227" i="1"/>
  <c r="P226" i="1"/>
  <c r="O226" i="1"/>
  <c r="M226" i="1"/>
  <c r="L226" i="1"/>
  <c r="D226" i="1"/>
  <c r="J226" i="1"/>
  <c r="G226" i="1"/>
  <c r="H226" i="1"/>
  <c r="A226" i="1"/>
  <c r="P225" i="1"/>
  <c r="O225" i="1"/>
  <c r="M225" i="1"/>
  <c r="L225" i="1"/>
  <c r="D225" i="1"/>
  <c r="J225" i="1"/>
  <c r="G225" i="1"/>
  <c r="H225" i="1"/>
  <c r="A225" i="1"/>
  <c r="P224" i="1"/>
  <c r="O224" i="1"/>
  <c r="M224" i="1"/>
  <c r="L224" i="1"/>
  <c r="D224" i="1"/>
  <c r="J224" i="1"/>
  <c r="G224" i="1"/>
  <c r="H224" i="1"/>
  <c r="A224" i="1"/>
  <c r="P223" i="1"/>
  <c r="O223" i="1"/>
  <c r="M223" i="1"/>
  <c r="L223" i="1"/>
  <c r="D223" i="1"/>
  <c r="J223" i="1"/>
  <c r="G223" i="1"/>
  <c r="H223" i="1"/>
  <c r="A223" i="1"/>
  <c r="P222" i="1"/>
  <c r="O222" i="1"/>
  <c r="M222" i="1"/>
  <c r="L222" i="1"/>
  <c r="D222" i="1"/>
  <c r="J222" i="1"/>
  <c r="G222" i="1"/>
  <c r="H222" i="1"/>
  <c r="A222" i="1"/>
  <c r="P221" i="1"/>
  <c r="O221" i="1"/>
  <c r="M221" i="1"/>
  <c r="L221" i="1"/>
  <c r="D221" i="1"/>
  <c r="J221" i="1"/>
  <c r="G221" i="1"/>
  <c r="H221" i="1"/>
  <c r="A221" i="1"/>
  <c r="P220" i="1"/>
  <c r="O220" i="1"/>
  <c r="M220" i="1"/>
  <c r="L220" i="1"/>
  <c r="D220" i="1"/>
  <c r="J220" i="1"/>
  <c r="G220" i="1"/>
  <c r="H220" i="1"/>
  <c r="A220" i="1"/>
  <c r="P219" i="1"/>
  <c r="O219" i="1"/>
  <c r="M219" i="1"/>
  <c r="L219" i="1"/>
  <c r="D219" i="1"/>
  <c r="J219" i="1"/>
  <c r="G219" i="1"/>
  <c r="H219" i="1"/>
  <c r="A219" i="1"/>
  <c r="P218" i="1"/>
  <c r="O218" i="1"/>
  <c r="M218" i="1"/>
  <c r="L218" i="1"/>
  <c r="D218" i="1"/>
  <c r="J218" i="1"/>
  <c r="G218" i="1"/>
  <c r="H218" i="1"/>
  <c r="A218" i="1"/>
  <c r="P217" i="1"/>
  <c r="O217" i="1"/>
  <c r="M217" i="1"/>
  <c r="L217" i="1"/>
  <c r="D217" i="1"/>
  <c r="J217" i="1"/>
  <c r="G217" i="1"/>
  <c r="H217" i="1"/>
  <c r="A217" i="1"/>
  <c r="P216" i="1"/>
  <c r="O216" i="1"/>
  <c r="M216" i="1"/>
  <c r="L216" i="1"/>
  <c r="D216" i="1"/>
  <c r="J216" i="1"/>
  <c r="G216" i="1"/>
  <c r="H216" i="1"/>
  <c r="A216" i="1"/>
  <c r="P215" i="1"/>
  <c r="O215" i="1"/>
  <c r="M215" i="1"/>
  <c r="L215" i="1"/>
  <c r="D215" i="1"/>
  <c r="J215" i="1"/>
  <c r="G215" i="1"/>
  <c r="H215" i="1"/>
  <c r="A215" i="1"/>
  <c r="P214" i="1"/>
  <c r="O214" i="1"/>
  <c r="M214" i="1"/>
  <c r="L214" i="1"/>
  <c r="D214" i="1"/>
  <c r="J214" i="1"/>
  <c r="G214" i="1"/>
  <c r="H214" i="1"/>
  <c r="A214" i="1"/>
  <c r="P213" i="1"/>
  <c r="O213" i="1"/>
  <c r="M213" i="1"/>
  <c r="L213" i="1"/>
  <c r="D213" i="1"/>
  <c r="J213" i="1"/>
  <c r="G213" i="1"/>
  <c r="H213" i="1"/>
  <c r="A213" i="1"/>
  <c r="P212" i="1"/>
  <c r="O212" i="1"/>
  <c r="M212" i="1"/>
  <c r="L212" i="1"/>
  <c r="D212" i="1"/>
  <c r="J212" i="1"/>
  <c r="G212" i="1"/>
  <c r="H212" i="1"/>
  <c r="A212" i="1"/>
  <c r="P211" i="1"/>
  <c r="O211" i="1"/>
  <c r="M211" i="1"/>
  <c r="L211" i="1"/>
  <c r="D211" i="1"/>
  <c r="J211" i="1"/>
  <c r="G211" i="1"/>
  <c r="H211" i="1"/>
  <c r="A211" i="1"/>
  <c r="P210" i="1"/>
  <c r="O210" i="1"/>
  <c r="M210" i="1"/>
  <c r="L210" i="1"/>
  <c r="D210" i="1"/>
  <c r="J210" i="1"/>
  <c r="G210" i="1"/>
  <c r="H210" i="1"/>
  <c r="A210" i="1"/>
  <c r="P209" i="1"/>
  <c r="O209" i="1"/>
  <c r="M209" i="1"/>
  <c r="L209" i="1"/>
  <c r="D209" i="1"/>
  <c r="J209" i="1"/>
  <c r="G209" i="1"/>
  <c r="H209" i="1"/>
  <c r="A209" i="1"/>
  <c r="P208" i="1"/>
  <c r="O208" i="1"/>
  <c r="M208" i="1"/>
  <c r="L208" i="1"/>
  <c r="D208" i="1"/>
  <c r="J208" i="1"/>
  <c r="G208" i="1"/>
  <c r="H208" i="1"/>
  <c r="A208" i="1"/>
  <c r="P207" i="1"/>
  <c r="O207" i="1"/>
  <c r="M207" i="1"/>
  <c r="L207" i="1"/>
  <c r="D207" i="1"/>
  <c r="J207" i="1"/>
  <c r="G207" i="1"/>
  <c r="H207" i="1"/>
  <c r="A207" i="1"/>
  <c r="P206" i="1"/>
  <c r="O206" i="1"/>
  <c r="M206" i="1"/>
  <c r="L206" i="1"/>
  <c r="D206" i="1"/>
  <c r="J206" i="1"/>
  <c r="G206" i="1"/>
  <c r="H206" i="1"/>
  <c r="A206" i="1"/>
  <c r="P205" i="1"/>
  <c r="O205" i="1"/>
  <c r="M205" i="1"/>
  <c r="L205" i="1"/>
  <c r="D205" i="1"/>
  <c r="J205" i="1"/>
  <c r="G205" i="1"/>
  <c r="H205" i="1"/>
  <c r="A205" i="1"/>
  <c r="P204" i="1"/>
  <c r="O204" i="1"/>
  <c r="M204" i="1"/>
  <c r="L204" i="1"/>
  <c r="D204" i="1"/>
  <c r="J204" i="1"/>
  <c r="G204" i="1"/>
  <c r="H204" i="1"/>
  <c r="A204" i="1"/>
  <c r="P203" i="1"/>
  <c r="O203" i="1"/>
  <c r="M203" i="1"/>
  <c r="L203" i="1"/>
  <c r="D203" i="1"/>
  <c r="J203" i="1"/>
  <c r="G203" i="1"/>
  <c r="H203" i="1"/>
  <c r="A203" i="1"/>
  <c r="P202" i="1"/>
  <c r="O202" i="1"/>
  <c r="M202" i="1"/>
  <c r="L202" i="1"/>
  <c r="D202" i="1"/>
  <c r="J202" i="1"/>
  <c r="G202" i="1"/>
  <c r="H202" i="1"/>
  <c r="A202" i="1"/>
  <c r="P201" i="1"/>
  <c r="O201" i="1"/>
  <c r="M201" i="1"/>
  <c r="L201" i="1"/>
  <c r="D201" i="1"/>
  <c r="J201" i="1"/>
  <c r="G201" i="1"/>
  <c r="H201" i="1"/>
  <c r="A201" i="1"/>
  <c r="P200" i="1"/>
  <c r="O200" i="1"/>
  <c r="M200" i="1"/>
  <c r="L200" i="1"/>
  <c r="D200" i="1"/>
  <c r="J200" i="1"/>
  <c r="G200" i="1"/>
  <c r="H200" i="1"/>
  <c r="A200" i="1"/>
  <c r="P199" i="1"/>
  <c r="O199" i="1"/>
  <c r="M199" i="1"/>
  <c r="L199" i="1"/>
  <c r="D199" i="1"/>
  <c r="J199" i="1"/>
  <c r="G199" i="1"/>
  <c r="H199" i="1"/>
  <c r="A199" i="1"/>
  <c r="P198" i="1"/>
  <c r="O198" i="1"/>
  <c r="M198" i="1"/>
  <c r="L198" i="1"/>
  <c r="D198" i="1"/>
  <c r="J198" i="1"/>
  <c r="G198" i="1"/>
  <c r="H198" i="1"/>
  <c r="A198" i="1"/>
  <c r="P197" i="1"/>
  <c r="O197" i="1"/>
  <c r="M197" i="1"/>
  <c r="L197" i="1"/>
  <c r="D197" i="1"/>
  <c r="J197" i="1"/>
  <c r="G197" i="1"/>
  <c r="H197" i="1"/>
  <c r="A197" i="1"/>
  <c r="P196" i="1"/>
  <c r="O196" i="1"/>
  <c r="M196" i="1"/>
  <c r="L196" i="1"/>
  <c r="D196" i="1"/>
  <c r="J196" i="1"/>
  <c r="G196" i="1"/>
  <c r="H196" i="1"/>
  <c r="A196" i="1"/>
  <c r="P195" i="1"/>
  <c r="O195" i="1"/>
  <c r="M195" i="1"/>
  <c r="L195" i="1"/>
  <c r="D195" i="1"/>
  <c r="J195" i="1"/>
  <c r="G195" i="1"/>
  <c r="H195" i="1"/>
  <c r="A195" i="1"/>
  <c r="P194" i="1"/>
  <c r="O194" i="1"/>
  <c r="M194" i="1"/>
  <c r="L194" i="1"/>
  <c r="D194" i="1"/>
  <c r="J194" i="1"/>
  <c r="G194" i="1"/>
  <c r="H194" i="1"/>
  <c r="A194" i="1"/>
  <c r="P193" i="1"/>
  <c r="O193" i="1"/>
  <c r="M193" i="1"/>
  <c r="L193" i="1"/>
  <c r="D193" i="1"/>
  <c r="J193" i="1"/>
  <c r="G193" i="1"/>
  <c r="H193" i="1"/>
  <c r="A193" i="1"/>
  <c r="P192" i="1"/>
  <c r="O192" i="1"/>
  <c r="M192" i="1"/>
  <c r="L192" i="1"/>
  <c r="D192" i="1"/>
  <c r="J192" i="1"/>
  <c r="G192" i="1"/>
  <c r="H192" i="1"/>
  <c r="A192" i="1"/>
  <c r="P191" i="1"/>
  <c r="O191" i="1"/>
  <c r="M191" i="1"/>
  <c r="L191" i="1"/>
  <c r="D191" i="1"/>
  <c r="J191" i="1"/>
  <c r="G191" i="1"/>
  <c r="H191" i="1"/>
  <c r="A191" i="1"/>
  <c r="P190" i="1"/>
  <c r="O190" i="1"/>
  <c r="M190" i="1"/>
  <c r="L190" i="1"/>
  <c r="D190" i="1"/>
  <c r="J190" i="1"/>
  <c r="G190" i="1"/>
  <c r="H190" i="1"/>
  <c r="A190" i="1"/>
  <c r="P189" i="1"/>
  <c r="O189" i="1"/>
  <c r="M189" i="1"/>
  <c r="L189" i="1"/>
  <c r="D189" i="1"/>
  <c r="J189" i="1"/>
  <c r="G189" i="1"/>
  <c r="H189" i="1"/>
  <c r="A189" i="1"/>
  <c r="P188" i="1"/>
  <c r="O188" i="1"/>
  <c r="M188" i="1"/>
  <c r="L188" i="1"/>
  <c r="D188" i="1"/>
  <c r="J188" i="1"/>
  <c r="G188" i="1"/>
  <c r="H188" i="1"/>
  <c r="A188" i="1"/>
  <c r="P187" i="1"/>
  <c r="O187" i="1"/>
  <c r="M187" i="1"/>
  <c r="L187" i="1"/>
  <c r="D187" i="1"/>
  <c r="J187" i="1"/>
  <c r="G187" i="1"/>
  <c r="H187" i="1"/>
  <c r="A187" i="1"/>
  <c r="P186" i="1"/>
  <c r="O186" i="1"/>
  <c r="M186" i="1"/>
  <c r="L186" i="1"/>
  <c r="D186" i="1"/>
  <c r="J186" i="1"/>
  <c r="G186" i="1"/>
  <c r="H186" i="1"/>
  <c r="A186" i="1"/>
  <c r="P185" i="1"/>
  <c r="O185" i="1"/>
  <c r="M185" i="1"/>
  <c r="L185" i="1"/>
  <c r="D185" i="1"/>
  <c r="J185" i="1"/>
  <c r="G185" i="1"/>
  <c r="H185" i="1"/>
  <c r="A185" i="1"/>
  <c r="P184" i="1"/>
  <c r="O184" i="1"/>
  <c r="M184" i="1"/>
  <c r="L184" i="1"/>
  <c r="D184" i="1"/>
  <c r="J184" i="1"/>
  <c r="G184" i="1"/>
  <c r="H184" i="1"/>
  <c r="A184" i="1"/>
  <c r="P183" i="1"/>
  <c r="O183" i="1"/>
  <c r="M183" i="1"/>
  <c r="L183" i="1"/>
  <c r="D183" i="1"/>
  <c r="J183" i="1"/>
  <c r="G183" i="1"/>
  <c r="H183" i="1"/>
  <c r="A183" i="1"/>
  <c r="P182" i="1"/>
  <c r="O182" i="1"/>
  <c r="M182" i="1"/>
  <c r="L182" i="1"/>
  <c r="D182" i="1"/>
  <c r="J182" i="1"/>
  <c r="G182" i="1"/>
  <c r="H182" i="1"/>
  <c r="A182" i="1"/>
  <c r="P181" i="1"/>
  <c r="O181" i="1"/>
  <c r="M181" i="1"/>
  <c r="L181" i="1"/>
  <c r="D181" i="1"/>
  <c r="J181" i="1"/>
  <c r="G181" i="1"/>
  <c r="H181" i="1"/>
  <c r="A181" i="1"/>
  <c r="P180" i="1"/>
  <c r="O180" i="1"/>
  <c r="M180" i="1"/>
  <c r="L180" i="1"/>
  <c r="D180" i="1"/>
  <c r="J180" i="1"/>
  <c r="G180" i="1"/>
  <c r="H180" i="1"/>
  <c r="A180" i="1"/>
  <c r="P179" i="1"/>
  <c r="O179" i="1"/>
  <c r="M179" i="1"/>
  <c r="L179" i="1"/>
  <c r="D179" i="1"/>
  <c r="J179" i="1"/>
  <c r="G179" i="1"/>
  <c r="H179" i="1"/>
  <c r="A179" i="1"/>
  <c r="P178" i="1"/>
  <c r="O178" i="1"/>
  <c r="M178" i="1"/>
  <c r="L178" i="1"/>
  <c r="D178" i="1"/>
  <c r="J178" i="1"/>
  <c r="G178" i="1"/>
  <c r="H178" i="1"/>
  <c r="A178" i="1"/>
  <c r="P177" i="1"/>
  <c r="O177" i="1"/>
  <c r="M177" i="1"/>
  <c r="L177" i="1"/>
  <c r="D177" i="1"/>
  <c r="J177" i="1"/>
  <c r="G177" i="1"/>
  <c r="H177" i="1"/>
  <c r="A177" i="1"/>
  <c r="P176" i="1"/>
  <c r="O176" i="1"/>
  <c r="M176" i="1"/>
  <c r="L176" i="1"/>
  <c r="D176" i="1"/>
  <c r="J176" i="1"/>
  <c r="G176" i="1"/>
  <c r="H176" i="1"/>
  <c r="A176" i="1"/>
  <c r="P175" i="1"/>
  <c r="O175" i="1"/>
  <c r="M175" i="1"/>
  <c r="L175" i="1"/>
  <c r="D175" i="1"/>
  <c r="J175" i="1"/>
  <c r="G175" i="1"/>
  <c r="H175" i="1"/>
  <c r="A175" i="1"/>
  <c r="P174" i="1"/>
  <c r="O174" i="1"/>
  <c r="M174" i="1"/>
  <c r="L174" i="1"/>
  <c r="D174" i="1"/>
  <c r="J174" i="1"/>
  <c r="G174" i="1"/>
  <c r="H174" i="1"/>
  <c r="A174" i="1"/>
  <c r="P173" i="1"/>
  <c r="O173" i="1"/>
  <c r="M173" i="1"/>
  <c r="L173" i="1"/>
  <c r="D173" i="1"/>
  <c r="J173" i="1"/>
  <c r="G173" i="1"/>
  <c r="H173" i="1"/>
  <c r="A173" i="1"/>
  <c r="P172" i="1"/>
  <c r="O172" i="1"/>
  <c r="M172" i="1"/>
  <c r="L172" i="1"/>
  <c r="D172" i="1"/>
  <c r="J172" i="1"/>
  <c r="G172" i="1"/>
  <c r="H172" i="1"/>
  <c r="A172" i="1"/>
  <c r="P171" i="1"/>
  <c r="O171" i="1"/>
  <c r="M171" i="1"/>
  <c r="L171" i="1"/>
  <c r="D171" i="1"/>
  <c r="J171" i="1"/>
  <c r="G171" i="1"/>
  <c r="H171" i="1"/>
  <c r="A171" i="1"/>
  <c r="P170" i="1"/>
  <c r="O170" i="1"/>
  <c r="M170" i="1"/>
  <c r="L170" i="1"/>
  <c r="D170" i="1"/>
  <c r="J170" i="1"/>
  <c r="G170" i="1"/>
  <c r="H170" i="1"/>
  <c r="A170" i="1"/>
  <c r="P169" i="1"/>
  <c r="O169" i="1"/>
  <c r="M169" i="1"/>
  <c r="L169" i="1"/>
  <c r="D169" i="1"/>
  <c r="J169" i="1"/>
  <c r="G169" i="1"/>
  <c r="H169" i="1"/>
  <c r="A169" i="1"/>
  <c r="P168" i="1"/>
  <c r="O168" i="1"/>
  <c r="M168" i="1"/>
  <c r="L168" i="1"/>
  <c r="D168" i="1"/>
  <c r="J168" i="1"/>
  <c r="G168" i="1"/>
  <c r="H168" i="1"/>
  <c r="A168" i="1"/>
  <c r="P167" i="1"/>
  <c r="O167" i="1"/>
  <c r="M167" i="1"/>
  <c r="L167" i="1"/>
  <c r="D167" i="1"/>
  <c r="J167" i="1"/>
  <c r="G167" i="1"/>
  <c r="H167" i="1"/>
  <c r="A167" i="1"/>
  <c r="P166" i="1"/>
  <c r="O166" i="1"/>
  <c r="M166" i="1"/>
  <c r="L166" i="1"/>
  <c r="D166" i="1"/>
  <c r="J166" i="1"/>
  <c r="G166" i="1"/>
  <c r="H166" i="1"/>
  <c r="A166" i="1"/>
  <c r="P165" i="1"/>
  <c r="O165" i="1"/>
  <c r="M165" i="1"/>
  <c r="L165" i="1"/>
  <c r="D165" i="1"/>
  <c r="J165" i="1"/>
  <c r="G165" i="1"/>
  <c r="H165" i="1"/>
  <c r="A165" i="1"/>
  <c r="P164" i="1"/>
  <c r="O164" i="1"/>
  <c r="M164" i="1"/>
  <c r="L164" i="1"/>
  <c r="D164" i="1"/>
  <c r="J164" i="1"/>
  <c r="G164" i="1"/>
  <c r="H164" i="1"/>
  <c r="A164" i="1"/>
  <c r="P163" i="1"/>
  <c r="O163" i="1"/>
  <c r="M163" i="1"/>
  <c r="L163" i="1"/>
  <c r="D163" i="1"/>
  <c r="J163" i="1"/>
  <c r="G163" i="1"/>
  <c r="H163" i="1"/>
  <c r="A163" i="1"/>
  <c r="P162" i="1"/>
  <c r="O162" i="1"/>
  <c r="M162" i="1"/>
  <c r="L162" i="1"/>
  <c r="D162" i="1"/>
  <c r="J162" i="1"/>
  <c r="G162" i="1"/>
  <c r="H162" i="1"/>
  <c r="A162" i="1"/>
  <c r="P161" i="1"/>
  <c r="O161" i="1"/>
  <c r="M161" i="1"/>
  <c r="L161" i="1"/>
  <c r="D161" i="1"/>
  <c r="J161" i="1"/>
  <c r="G161" i="1"/>
  <c r="H161" i="1"/>
  <c r="A161" i="1"/>
  <c r="P160" i="1"/>
  <c r="O160" i="1"/>
  <c r="M160" i="1"/>
  <c r="L160" i="1"/>
  <c r="D160" i="1"/>
  <c r="J160" i="1"/>
  <c r="G160" i="1"/>
  <c r="H160" i="1"/>
  <c r="A160" i="1"/>
  <c r="P159" i="1"/>
  <c r="O159" i="1"/>
  <c r="M159" i="1"/>
  <c r="L159" i="1"/>
  <c r="D159" i="1"/>
  <c r="J159" i="1"/>
  <c r="G159" i="1"/>
  <c r="H159" i="1"/>
  <c r="A159" i="1"/>
  <c r="P158" i="1"/>
  <c r="O158" i="1"/>
  <c r="M158" i="1"/>
  <c r="L158" i="1"/>
  <c r="D158" i="1"/>
  <c r="J158" i="1"/>
  <c r="G158" i="1"/>
  <c r="H158" i="1"/>
  <c r="A158" i="1"/>
  <c r="P157" i="1"/>
  <c r="O157" i="1"/>
  <c r="M157" i="1"/>
  <c r="L157" i="1"/>
  <c r="D157" i="1"/>
  <c r="J157" i="1"/>
  <c r="G157" i="1"/>
  <c r="H157" i="1"/>
  <c r="A157" i="1"/>
  <c r="P156" i="1"/>
  <c r="O156" i="1"/>
  <c r="M156" i="1"/>
  <c r="L156" i="1"/>
  <c r="D156" i="1"/>
  <c r="J156" i="1"/>
  <c r="G156" i="1"/>
  <c r="H156" i="1"/>
  <c r="A156" i="1"/>
  <c r="P155" i="1"/>
  <c r="O155" i="1"/>
  <c r="M155" i="1"/>
  <c r="L155" i="1"/>
  <c r="D155" i="1"/>
  <c r="J155" i="1"/>
  <c r="G155" i="1"/>
  <c r="H155" i="1"/>
  <c r="A155" i="1"/>
  <c r="P154" i="1"/>
  <c r="O154" i="1"/>
  <c r="M154" i="1"/>
  <c r="L154" i="1"/>
  <c r="D154" i="1"/>
  <c r="J154" i="1"/>
  <c r="G154" i="1"/>
  <c r="H154" i="1"/>
  <c r="A154" i="1"/>
  <c r="P153" i="1"/>
  <c r="O153" i="1"/>
  <c r="M153" i="1"/>
  <c r="L153" i="1"/>
  <c r="D153" i="1"/>
  <c r="J153" i="1"/>
  <c r="G153" i="1"/>
  <c r="H153" i="1"/>
  <c r="A153" i="1"/>
  <c r="P152" i="1"/>
  <c r="O152" i="1"/>
  <c r="M152" i="1"/>
  <c r="L152" i="1"/>
  <c r="D152" i="1"/>
  <c r="J152" i="1"/>
  <c r="G152" i="1"/>
  <c r="H152" i="1"/>
  <c r="A152" i="1"/>
  <c r="P151" i="1"/>
  <c r="O151" i="1"/>
  <c r="M151" i="1"/>
  <c r="L151" i="1"/>
  <c r="D151" i="1"/>
  <c r="J151" i="1"/>
  <c r="G151" i="1"/>
  <c r="H151" i="1"/>
  <c r="A151" i="1"/>
  <c r="P150" i="1"/>
  <c r="O150" i="1"/>
  <c r="M150" i="1"/>
  <c r="L150" i="1"/>
  <c r="D150" i="1"/>
  <c r="J150" i="1"/>
  <c r="G150" i="1"/>
  <c r="H150" i="1"/>
  <c r="A150" i="1"/>
  <c r="P149" i="1"/>
  <c r="O149" i="1"/>
  <c r="M149" i="1"/>
  <c r="L149" i="1"/>
  <c r="D149" i="1"/>
  <c r="J149" i="1"/>
  <c r="G149" i="1"/>
  <c r="H149" i="1"/>
  <c r="A149" i="1"/>
  <c r="P148" i="1"/>
  <c r="O148" i="1"/>
  <c r="M148" i="1"/>
  <c r="L148" i="1"/>
  <c r="D148" i="1"/>
  <c r="J148" i="1"/>
  <c r="G148" i="1"/>
  <c r="H148" i="1"/>
  <c r="A148" i="1"/>
  <c r="P147" i="1"/>
  <c r="O147" i="1"/>
  <c r="M147" i="1"/>
  <c r="L147" i="1"/>
  <c r="D147" i="1"/>
  <c r="J147" i="1"/>
  <c r="G147" i="1"/>
  <c r="H147" i="1"/>
  <c r="A147" i="1"/>
  <c r="P146" i="1"/>
  <c r="O146" i="1"/>
  <c r="M146" i="1"/>
  <c r="L146" i="1"/>
  <c r="D146" i="1"/>
  <c r="J146" i="1"/>
  <c r="G146" i="1"/>
  <c r="H146" i="1"/>
  <c r="A146" i="1"/>
  <c r="P145" i="1"/>
  <c r="O145" i="1"/>
  <c r="M145" i="1"/>
  <c r="L145" i="1"/>
  <c r="D145" i="1"/>
  <c r="J145" i="1"/>
  <c r="G145" i="1"/>
  <c r="H145" i="1"/>
  <c r="A145" i="1"/>
  <c r="P144" i="1"/>
  <c r="O144" i="1"/>
  <c r="M144" i="1"/>
  <c r="L144" i="1"/>
  <c r="D144" i="1"/>
  <c r="J144" i="1"/>
  <c r="G144" i="1"/>
  <c r="H144" i="1"/>
  <c r="A144" i="1"/>
  <c r="P143" i="1"/>
  <c r="O143" i="1"/>
  <c r="M143" i="1"/>
  <c r="L143" i="1"/>
  <c r="D143" i="1"/>
  <c r="J143" i="1"/>
  <c r="G143" i="1"/>
  <c r="H143" i="1"/>
  <c r="A143" i="1"/>
  <c r="P142" i="1"/>
  <c r="O142" i="1"/>
  <c r="M142" i="1"/>
  <c r="L142" i="1"/>
  <c r="D142" i="1"/>
  <c r="J142" i="1"/>
  <c r="G142" i="1"/>
  <c r="H142" i="1"/>
  <c r="A142" i="1"/>
  <c r="P141" i="1"/>
  <c r="O141" i="1"/>
  <c r="M141" i="1"/>
  <c r="L141" i="1"/>
  <c r="D141" i="1"/>
  <c r="J141" i="1"/>
  <c r="G141" i="1"/>
  <c r="H141" i="1"/>
  <c r="A141" i="1"/>
  <c r="P140" i="1"/>
  <c r="O140" i="1"/>
  <c r="M140" i="1"/>
  <c r="L140" i="1"/>
  <c r="D140" i="1"/>
  <c r="J140" i="1"/>
  <c r="G140" i="1"/>
  <c r="H140" i="1"/>
  <c r="A140" i="1"/>
  <c r="P139" i="1"/>
  <c r="O139" i="1"/>
  <c r="M139" i="1"/>
  <c r="L139" i="1"/>
  <c r="D139" i="1"/>
  <c r="J139" i="1"/>
  <c r="G139" i="1"/>
  <c r="H139" i="1"/>
  <c r="A139" i="1"/>
  <c r="P138" i="1"/>
  <c r="O138" i="1"/>
  <c r="M138" i="1"/>
  <c r="L138" i="1"/>
  <c r="D138" i="1"/>
  <c r="J138" i="1"/>
  <c r="G138" i="1"/>
  <c r="H138" i="1"/>
  <c r="A138" i="1"/>
  <c r="P137" i="1"/>
  <c r="O137" i="1"/>
  <c r="M137" i="1"/>
  <c r="L137" i="1"/>
  <c r="D137" i="1"/>
  <c r="J137" i="1"/>
  <c r="G137" i="1"/>
  <c r="H137" i="1"/>
  <c r="A137" i="1"/>
  <c r="P136" i="1"/>
  <c r="O136" i="1"/>
  <c r="M136" i="1"/>
  <c r="L136" i="1"/>
  <c r="D136" i="1"/>
  <c r="J136" i="1"/>
  <c r="G136" i="1"/>
  <c r="H136" i="1"/>
  <c r="A136" i="1"/>
  <c r="P135" i="1"/>
  <c r="O135" i="1"/>
  <c r="M135" i="1"/>
  <c r="L135" i="1"/>
  <c r="D135" i="1"/>
  <c r="J135" i="1"/>
  <c r="G135" i="1"/>
  <c r="H135" i="1"/>
  <c r="A135" i="1"/>
  <c r="P134" i="1"/>
  <c r="O134" i="1"/>
  <c r="M134" i="1"/>
  <c r="L134" i="1"/>
  <c r="D134" i="1"/>
  <c r="J134" i="1"/>
  <c r="G134" i="1"/>
  <c r="H134" i="1"/>
  <c r="A134" i="1"/>
  <c r="P133" i="1"/>
  <c r="O133" i="1"/>
  <c r="M133" i="1"/>
  <c r="L133" i="1"/>
  <c r="D133" i="1"/>
  <c r="J133" i="1"/>
  <c r="G133" i="1"/>
  <c r="H133" i="1"/>
  <c r="A133" i="1"/>
  <c r="P132" i="1"/>
  <c r="O132" i="1"/>
  <c r="M132" i="1"/>
  <c r="L132" i="1"/>
  <c r="D132" i="1"/>
  <c r="J132" i="1"/>
  <c r="G132" i="1"/>
  <c r="H132" i="1"/>
  <c r="A132" i="1"/>
  <c r="P131" i="1"/>
  <c r="O131" i="1"/>
  <c r="M131" i="1"/>
  <c r="L131" i="1"/>
  <c r="D131" i="1"/>
  <c r="J131" i="1"/>
  <c r="G131" i="1"/>
  <c r="H131" i="1"/>
  <c r="A131" i="1"/>
  <c r="P130" i="1"/>
  <c r="O130" i="1"/>
  <c r="M130" i="1"/>
  <c r="L130" i="1"/>
  <c r="D130" i="1"/>
  <c r="J130" i="1"/>
  <c r="G130" i="1"/>
  <c r="H130" i="1"/>
  <c r="A130" i="1"/>
  <c r="P129" i="1"/>
  <c r="O129" i="1"/>
  <c r="M129" i="1"/>
  <c r="L129" i="1"/>
  <c r="D129" i="1"/>
  <c r="J129" i="1"/>
  <c r="G129" i="1"/>
  <c r="H129" i="1"/>
  <c r="A129" i="1"/>
  <c r="P128" i="1"/>
  <c r="O128" i="1"/>
  <c r="M128" i="1"/>
  <c r="L128" i="1"/>
  <c r="D128" i="1"/>
  <c r="J128" i="1"/>
  <c r="G128" i="1"/>
  <c r="H128" i="1"/>
  <c r="A128" i="1"/>
  <c r="P127" i="1"/>
  <c r="O127" i="1"/>
  <c r="M127" i="1"/>
  <c r="L127" i="1"/>
  <c r="D127" i="1"/>
  <c r="J127" i="1"/>
  <c r="G127" i="1"/>
  <c r="H127" i="1"/>
  <c r="A127" i="1"/>
  <c r="P126" i="1"/>
  <c r="O126" i="1"/>
  <c r="M126" i="1"/>
  <c r="L126" i="1"/>
  <c r="D126" i="1"/>
  <c r="J126" i="1"/>
  <c r="G126" i="1"/>
  <c r="H126" i="1"/>
  <c r="A126" i="1"/>
  <c r="P125" i="1"/>
  <c r="O125" i="1"/>
  <c r="M125" i="1"/>
  <c r="L125" i="1"/>
  <c r="D125" i="1"/>
  <c r="J125" i="1"/>
  <c r="G125" i="1"/>
  <c r="H125" i="1"/>
  <c r="A125" i="1"/>
  <c r="P124" i="1"/>
  <c r="O124" i="1"/>
  <c r="M124" i="1"/>
  <c r="L124" i="1"/>
  <c r="D124" i="1"/>
  <c r="J124" i="1"/>
  <c r="G124" i="1"/>
  <c r="H124" i="1"/>
  <c r="A124" i="1"/>
  <c r="P123" i="1"/>
  <c r="O123" i="1"/>
  <c r="M123" i="1"/>
  <c r="L123" i="1"/>
  <c r="D123" i="1"/>
  <c r="J123" i="1"/>
  <c r="G123" i="1"/>
  <c r="H123" i="1"/>
  <c r="A123" i="1"/>
  <c r="P122" i="1"/>
  <c r="O122" i="1"/>
  <c r="M122" i="1"/>
  <c r="L122" i="1"/>
  <c r="D122" i="1"/>
  <c r="J122" i="1"/>
  <c r="G122" i="1"/>
  <c r="H122" i="1"/>
  <c r="A122" i="1"/>
  <c r="P121" i="1"/>
  <c r="O121" i="1"/>
  <c r="M121" i="1"/>
  <c r="L121" i="1"/>
  <c r="D121" i="1"/>
  <c r="J121" i="1"/>
  <c r="G121" i="1"/>
  <c r="H121" i="1"/>
  <c r="A121" i="1"/>
  <c r="P120" i="1"/>
  <c r="O120" i="1"/>
  <c r="M120" i="1"/>
  <c r="L120" i="1"/>
  <c r="D120" i="1"/>
  <c r="J120" i="1"/>
  <c r="G120" i="1"/>
  <c r="H120" i="1"/>
  <c r="A120" i="1"/>
  <c r="P119" i="1"/>
  <c r="O119" i="1"/>
  <c r="M119" i="1"/>
  <c r="L119" i="1"/>
  <c r="D119" i="1"/>
  <c r="J119" i="1"/>
  <c r="G119" i="1"/>
  <c r="H119" i="1"/>
  <c r="A119" i="1"/>
  <c r="P118" i="1"/>
  <c r="O118" i="1"/>
  <c r="M118" i="1"/>
  <c r="L118" i="1"/>
  <c r="D118" i="1"/>
  <c r="J118" i="1"/>
  <c r="G118" i="1"/>
  <c r="H118" i="1"/>
  <c r="A118" i="1"/>
  <c r="P117" i="1"/>
  <c r="O117" i="1"/>
  <c r="M117" i="1"/>
  <c r="L117" i="1"/>
  <c r="D117" i="1"/>
  <c r="J117" i="1"/>
  <c r="G117" i="1"/>
  <c r="H117" i="1"/>
  <c r="A117" i="1"/>
  <c r="P116" i="1"/>
  <c r="O116" i="1"/>
  <c r="M116" i="1"/>
  <c r="L116" i="1"/>
  <c r="D116" i="1"/>
  <c r="J116" i="1"/>
  <c r="G116" i="1"/>
  <c r="H116" i="1"/>
  <c r="A116" i="1"/>
  <c r="P115" i="1"/>
  <c r="O115" i="1"/>
  <c r="M115" i="1"/>
  <c r="L115" i="1"/>
  <c r="D115" i="1"/>
  <c r="J115" i="1"/>
  <c r="G115" i="1"/>
  <c r="H115" i="1"/>
  <c r="A115" i="1"/>
  <c r="P114" i="1"/>
  <c r="O114" i="1"/>
  <c r="M114" i="1"/>
  <c r="L114" i="1"/>
  <c r="D114" i="1"/>
  <c r="J114" i="1"/>
  <c r="G114" i="1"/>
  <c r="H114" i="1"/>
  <c r="A114" i="1"/>
  <c r="P113" i="1"/>
  <c r="O113" i="1"/>
  <c r="M113" i="1"/>
  <c r="L113" i="1"/>
  <c r="D113" i="1"/>
  <c r="J113" i="1"/>
  <c r="G113" i="1"/>
  <c r="H113" i="1"/>
  <c r="A113" i="1"/>
  <c r="P112" i="1"/>
  <c r="O112" i="1"/>
  <c r="M112" i="1"/>
  <c r="L112" i="1"/>
  <c r="D112" i="1"/>
  <c r="J112" i="1"/>
  <c r="G112" i="1"/>
  <c r="H112" i="1"/>
  <c r="A112" i="1"/>
  <c r="P111" i="1"/>
  <c r="O111" i="1"/>
  <c r="M111" i="1"/>
  <c r="L111" i="1"/>
  <c r="D111" i="1"/>
  <c r="J111" i="1"/>
  <c r="G111" i="1"/>
  <c r="H111" i="1"/>
  <c r="A111" i="1"/>
  <c r="P110" i="1"/>
  <c r="O110" i="1"/>
  <c r="M110" i="1"/>
  <c r="L110" i="1"/>
  <c r="D110" i="1"/>
  <c r="J110" i="1"/>
  <c r="G110" i="1"/>
  <c r="H110" i="1"/>
  <c r="A110" i="1"/>
  <c r="P109" i="1"/>
  <c r="O109" i="1"/>
  <c r="M109" i="1"/>
  <c r="L109" i="1"/>
  <c r="D109" i="1"/>
  <c r="J109" i="1"/>
  <c r="G109" i="1"/>
  <c r="H109" i="1"/>
  <c r="A109" i="1"/>
  <c r="P108" i="1"/>
  <c r="O108" i="1"/>
  <c r="M108" i="1"/>
  <c r="L108" i="1"/>
  <c r="D108" i="1"/>
  <c r="J108" i="1"/>
  <c r="G108" i="1"/>
  <c r="H108" i="1"/>
  <c r="A108" i="1"/>
  <c r="P107" i="1"/>
  <c r="O107" i="1"/>
  <c r="M107" i="1"/>
  <c r="L107" i="1"/>
  <c r="D107" i="1"/>
  <c r="J107" i="1"/>
  <c r="G107" i="1"/>
  <c r="H107" i="1"/>
  <c r="A107" i="1"/>
  <c r="P106" i="1"/>
  <c r="O106" i="1"/>
  <c r="M106" i="1"/>
  <c r="L106" i="1"/>
  <c r="D106" i="1"/>
  <c r="J106" i="1"/>
  <c r="G106" i="1"/>
  <c r="H106" i="1"/>
  <c r="A106" i="1"/>
  <c r="P105" i="1"/>
  <c r="O105" i="1"/>
  <c r="M105" i="1"/>
  <c r="L105" i="1"/>
  <c r="D105" i="1"/>
  <c r="J105" i="1"/>
  <c r="G105" i="1"/>
  <c r="H105" i="1"/>
  <c r="A105" i="1"/>
  <c r="P104" i="1"/>
  <c r="O104" i="1"/>
  <c r="M104" i="1"/>
  <c r="L104" i="1"/>
  <c r="D104" i="1"/>
  <c r="J104" i="1"/>
  <c r="G104" i="1"/>
  <c r="H104" i="1"/>
  <c r="A104" i="1"/>
  <c r="P103" i="1"/>
  <c r="O103" i="1"/>
  <c r="M103" i="1"/>
  <c r="L103" i="1"/>
  <c r="D103" i="1"/>
  <c r="J103" i="1"/>
  <c r="G103" i="1"/>
  <c r="H103" i="1"/>
  <c r="A103" i="1"/>
  <c r="P102" i="1"/>
  <c r="O102" i="1"/>
  <c r="M102" i="1"/>
  <c r="L102" i="1"/>
  <c r="D102" i="1"/>
  <c r="J102" i="1"/>
  <c r="G102" i="1"/>
  <c r="H102" i="1"/>
  <c r="A102" i="1"/>
  <c r="P101" i="1"/>
  <c r="O101" i="1"/>
  <c r="M101" i="1"/>
  <c r="L101" i="1"/>
  <c r="D101" i="1"/>
  <c r="J101" i="1"/>
  <c r="G101" i="1"/>
  <c r="H101" i="1"/>
  <c r="A101" i="1"/>
  <c r="P100" i="1"/>
  <c r="O100" i="1"/>
  <c r="M100" i="1"/>
  <c r="L100" i="1"/>
  <c r="D100" i="1"/>
  <c r="J100" i="1"/>
  <c r="G100" i="1"/>
  <c r="H100" i="1"/>
  <c r="A100" i="1"/>
  <c r="P99" i="1"/>
  <c r="O99" i="1"/>
  <c r="M99" i="1"/>
  <c r="L99" i="1"/>
  <c r="D99" i="1"/>
  <c r="J99" i="1"/>
  <c r="G99" i="1"/>
  <c r="H99" i="1"/>
  <c r="A99" i="1"/>
  <c r="P98" i="1"/>
  <c r="O98" i="1"/>
  <c r="M98" i="1"/>
  <c r="L98" i="1"/>
  <c r="D98" i="1"/>
  <c r="J98" i="1"/>
  <c r="G98" i="1"/>
  <c r="H98" i="1"/>
  <c r="A98" i="1"/>
  <c r="P97" i="1"/>
  <c r="O97" i="1"/>
  <c r="M97" i="1"/>
  <c r="L97" i="1"/>
  <c r="D97" i="1"/>
  <c r="J97" i="1"/>
  <c r="G97" i="1"/>
  <c r="H97" i="1"/>
  <c r="A97" i="1"/>
  <c r="P96" i="1"/>
  <c r="O96" i="1"/>
  <c r="M96" i="1"/>
  <c r="L96" i="1"/>
  <c r="D96" i="1"/>
  <c r="J96" i="1"/>
  <c r="G96" i="1"/>
  <c r="H96" i="1"/>
  <c r="A96" i="1"/>
  <c r="P95" i="1"/>
  <c r="O95" i="1"/>
  <c r="M95" i="1"/>
  <c r="L95" i="1"/>
  <c r="D95" i="1"/>
  <c r="J95" i="1"/>
  <c r="G95" i="1"/>
  <c r="H95" i="1"/>
  <c r="A95" i="1"/>
  <c r="P94" i="1"/>
  <c r="O94" i="1"/>
  <c r="M94" i="1"/>
  <c r="L94" i="1"/>
  <c r="D94" i="1"/>
  <c r="J94" i="1"/>
  <c r="G94" i="1"/>
  <c r="H94" i="1"/>
  <c r="A94" i="1"/>
  <c r="P93" i="1"/>
  <c r="O93" i="1"/>
  <c r="M93" i="1"/>
  <c r="L93" i="1"/>
  <c r="D93" i="1"/>
  <c r="J93" i="1"/>
  <c r="G93" i="1"/>
  <c r="H93" i="1"/>
  <c r="A93" i="1"/>
  <c r="P92" i="1"/>
  <c r="O92" i="1"/>
  <c r="M92" i="1"/>
  <c r="L92" i="1"/>
  <c r="D92" i="1"/>
  <c r="J92" i="1"/>
  <c r="G92" i="1"/>
  <c r="H92" i="1"/>
  <c r="A92" i="1"/>
  <c r="P91" i="1"/>
  <c r="O91" i="1"/>
  <c r="M91" i="1"/>
  <c r="L91" i="1"/>
  <c r="D91" i="1"/>
  <c r="J91" i="1"/>
  <c r="G91" i="1"/>
  <c r="H91" i="1"/>
  <c r="A91" i="1"/>
  <c r="P90" i="1"/>
  <c r="O90" i="1"/>
  <c r="M90" i="1"/>
  <c r="L90" i="1"/>
  <c r="D90" i="1"/>
  <c r="J90" i="1"/>
  <c r="G90" i="1"/>
  <c r="H90" i="1"/>
  <c r="A90" i="1"/>
  <c r="P89" i="1"/>
  <c r="O89" i="1"/>
  <c r="M89" i="1"/>
  <c r="L89" i="1"/>
  <c r="D89" i="1"/>
  <c r="J89" i="1"/>
  <c r="G89" i="1"/>
  <c r="H89" i="1"/>
  <c r="A89" i="1"/>
  <c r="P88" i="1"/>
  <c r="O88" i="1"/>
  <c r="M88" i="1"/>
  <c r="L88" i="1"/>
  <c r="D88" i="1"/>
  <c r="J88" i="1"/>
  <c r="G88" i="1"/>
  <c r="H88" i="1"/>
  <c r="A88" i="1"/>
  <c r="P87" i="1"/>
  <c r="O87" i="1"/>
  <c r="M87" i="1"/>
  <c r="L87" i="1"/>
  <c r="D87" i="1"/>
  <c r="J87" i="1"/>
  <c r="G87" i="1"/>
  <c r="H87" i="1"/>
  <c r="A87" i="1"/>
  <c r="P86" i="1"/>
  <c r="O86" i="1"/>
  <c r="M86" i="1"/>
  <c r="L86" i="1"/>
  <c r="D86" i="1"/>
  <c r="J86" i="1"/>
  <c r="G86" i="1"/>
  <c r="H86" i="1"/>
  <c r="A86" i="1"/>
  <c r="P85" i="1"/>
  <c r="O85" i="1"/>
  <c r="M85" i="1"/>
  <c r="L85" i="1"/>
  <c r="D85" i="1"/>
  <c r="J85" i="1"/>
  <c r="G85" i="1"/>
  <c r="H85" i="1"/>
  <c r="A85" i="1"/>
  <c r="P84" i="1"/>
  <c r="O84" i="1"/>
  <c r="M84" i="1"/>
  <c r="L84" i="1"/>
  <c r="D84" i="1"/>
  <c r="J84" i="1"/>
  <c r="G84" i="1"/>
  <c r="H84" i="1"/>
  <c r="A84" i="1"/>
  <c r="P83" i="1"/>
  <c r="O83" i="1"/>
  <c r="M83" i="1"/>
  <c r="L83" i="1"/>
  <c r="D83" i="1"/>
  <c r="J83" i="1"/>
  <c r="G83" i="1"/>
  <c r="H83" i="1"/>
  <c r="A83" i="1"/>
  <c r="P82" i="1"/>
  <c r="O82" i="1"/>
  <c r="M82" i="1"/>
  <c r="L82" i="1"/>
  <c r="D82" i="1"/>
  <c r="J82" i="1"/>
  <c r="G82" i="1"/>
  <c r="H82" i="1"/>
  <c r="A82" i="1"/>
  <c r="P81" i="1"/>
  <c r="O81" i="1"/>
  <c r="M81" i="1"/>
  <c r="L81" i="1"/>
  <c r="D81" i="1"/>
  <c r="J81" i="1"/>
  <c r="G81" i="1"/>
  <c r="H81" i="1"/>
  <c r="A81" i="1"/>
  <c r="P80" i="1"/>
  <c r="O80" i="1"/>
  <c r="M80" i="1"/>
  <c r="L80" i="1"/>
  <c r="D80" i="1"/>
  <c r="J80" i="1"/>
  <c r="G80" i="1"/>
  <c r="H80" i="1"/>
  <c r="A80" i="1"/>
  <c r="P79" i="1"/>
  <c r="O79" i="1"/>
  <c r="M79" i="1"/>
  <c r="L79" i="1"/>
  <c r="D79" i="1"/>
  <c r="J79" i="1"/>
  <c r="G79" i="1"/>
  <c r="H79" i="1"/>
  <c r="A79" i="1"/>
  <c r="P78" i="1"/>
  <c r="O78" i="1"/>
  <c r="M78" i="1"/>
  <c r="L78" i="1"/>
  <c r="D78" i="1"/>
  <c r="J78" i="1"/>
  <c r="G78" i="1"/>
  <c r="H78" i="1"/>
  <c r="A78" i="1"/>
  <c r="P77" i="1"/>
  <c r="O77" i="1"/>
  <c r="M77" i="1"/>
  <c r="L77" i="1"/>
  <c r="D77" i="1"/>
  <c r="J77" i="1"/>
  <c r="G77" i="1"/>
  <c r="H77" i="1"/>
  <c r="A77" i="1"/>
  <c r="P76" i="1"/>
  <c r="O76" i="1"/>
  <c r="M76" i="1"/>
  <c r="L76" i="1"/>
  <c r="D76" i="1"/>
  <c r="J76" i="1"/>
  <c r="G76" i="1"/>
  <c r="H76" i="1"/>
  <c r="A76" i="1"/>
  <c r="P75" i="1"/>
  <c r="O75" i="1"/>
  <c r="M75" i="1"/>
  <c r="L75" i="1"/>
  <c r="D75" i="1"/>
  <c r="J75" i="1"/>
  <c r="G75" i="1"/>
  <c r="H75" i="1"/>
  <c r="A75" i="1"/>
  <c r="P74" i="1"/>
  <c r="O74" i="1"/>
  <c r="M74" i="1"/>
  <c r="L74" i="1"/>
  <c r="D74" i="1"/>
  <c r="J74" i="1"/>
  <c r="G74" i="1"/>
  <c r="H74" i="1"/>
  <c r="A74" i="1"/>
  <c r="P73" i="1"/>
  <c r="O73" i="1"/>
  <c r="M73" i="1"/>
  <c r="L73" i="1"/>
  <c r="D73" i="1"/>
  <c r="J73" i="1"/>
  <c r="G73" i="1"/>
  <c r="H73" i="1"/>
  <c r="A73" i="1"/>
  <c r="P72" i="1"/>
  <c r="O72" i="1"/>
  <c r="M72" i="1"/>
  <c r="L72" i="1"/>
  <c r="D72" i="1"/>
  <c r="J72" i="1"/>
  <c r="G72" i="1"/>
  <c r="H72" i="1"/>
  <c r="A72" i="1"/>
  <c r="P71" i="1"/>
  <c r="O71" i="1"/>
  <c r="M71" i="1"/>
  <c r="L71" i="1"/>
  <c r="D71" i="1"/>
  <c r="J71" i="1"/>
  <c r="G71" i="1"/>
  <c r="H71" i="1"/>
  <c r="A71" i="1"/>
  <c r="P70" i="1"/>
  <c r="O70" i="1"/>
  <c r="M70" i="1"/>
  <c r="L70" i="1"/>
  <c r="D70" i="1"/>
  <c r="J70" i="1"/>
  <c r="G70" i="1"/>
  <c r="H70" i="1"/>
  <c r="A70" i="1"/>
  <c r="P69" i="1"/>
  <c r="O69" i="1"/>
  <c r="M69" i="1"/>
  <c r="L69" i="1"/>
  <c r="D69" i="1"/>
  <c r="J69" i="1"/>
  <c r="G69" i="1"/>
  <c r="H69" i="1"/>
  <c r="A69" i="1"/>
  <c r="P68" i="1"/>
  <c r="O68" i="1"/>
  <c r="M68" i="1"/>
  <c r="L68" i="1"/>
  <c r="D68" i="1"/>
  <c r="J68" i="1"/>
  <c r="G68" i="1"/>
  <c r="H68" i="1"/>
  <c r="A68" i="1"/>
  <c r="P67" i="1"/>
  <c r="O67" i="1"/>
  <c r="M67" i="1"/>
  <c r="L67" i="1"/>
  <c r="D67" i="1"/>
  <c r="J67" i="1"/>
  <c r="G67" i="1"/>
  <c r="H67" i="1"/>
  <c r="A67" i="1"/>
  <c r="P66" i="1"/>
  <c r="O66" i="1"/>
  <c r="M66" i="1"/>
  <c r="L66" i="1"/>
  <c r="D66" i="1"/>
  <c r="J66" i="1"/>
  <c r="G66" i="1"/>
  <c r="H66" i="1"/>
  <c r="A66" i="1"/>
  <c r="P65" i="1"/>
  <c r="O65" i="1"/>
  <c r="M65" i="1"/>
  <c r="L65" i="1"/>
  <c r="D65" i="1"/>
  <c r="J65" i="1"/>
  <c r="G65" i="1"/>
  <c r="H65" i="1"/>
  <c r="A65" i="1"/>
  <c r="P64" i="1"/>
  <c r="O64" i="1"/>
  <c r="M64" i="1"/>
  <c r="L64" i="1"/>
  <c r="D64" i="1"/>
  <c r="J64" i="1"/>
  <c r="G64" i="1"/>
  <c r="H64" i="1"/>
  <c r="A64" i="1"/>
  <c r="P63" i="1"/>
  <c r="O63" i="1"/>
  <c r="M63" i="1"/>
  <c r="L63" i="1"/>
  <c r="D63" i="1"/>
  <c r="J63" i="1"/>
  <c r="G63" i="1"/>
  <c r="H63" i="1"/>
  <c r="A63" i="1"/>
  <c r="P62" i="1"/>
  <c r="O62" i="1"/>
  <c r="M62" i="1"/>
  <c r="L62" i="1"/>
  <c r="D62" i="1"/>
  <c r="J62" i="1"/>
  <c r="G62" i="1"/>
  <c r="H62" i="1"/>
  <c r="A62" i="1"/>
  <c r="P61" i="1"/>
  <c r="O61" i="1"/>
  <c r="M61" i="1"/>
  <c r="L61" i="1"/>
  <c r="D61" i="1"/>
  <c r="J61" i="1"/>
  <c r="G61" i="1"/>
  <c r="H61" i="1"/>
  <c r="A61" i="1"/>
  <c r="P60" i="1"/>
  <c r="O60" i="1"/>
  <c r="M60" i="1"/>
  <c r="L60" i="1"/>
  <c r="D60" i="1"/>
  <c r="J60" i="1"/>
  <c r="G60" i="1"/>
  <c r="H60" i="1"/>
  <c r="A60" i="1"/>
  <c r="P59" i="1"/>
  <c r="O59" i="1"/>
  <c r="M59" i="1"/>
  <c r="L59" i="1"/>
  <c r="D59" i="1"/>
  <c r="J59" i="1"/>
  <c r="G59" i="1"/>
  <c r="H59" i="1"/>
  <c r="A59" i="1"/>
  <c r="P58" i="1"/>
  <c r="O58" i="1"/>
  <c r="M58" i="1"/>
  <c r="L58" i="1"/>
  <c r="D58" i="1"/>
  <c r="J58" i="1"/>
  <c r="G58" i="1"/>
  <c r="H58" i="1"/>
  <c r="A58" i="1"/>
  <c r="P57" i="1"/>
  <c r="O57" i="1"/>
  <c r="M57" i="1"/>
  <c r="L57" i="1"/>
  <c r="D57" i="1"/>
  <c r="J57" i="1"/>
  <c r="G57" i="1"/>
  <c r="H57" i="1"/>
  <c r="A57" i="1"/>
  <c r="P56" i="1"/>
  <c r="O56" i="1"/>
  <c r="M56" i="1"/>
  <c r="L56" i="1"/>
  <c r="D56" i="1"/>
  <c r="J56" i="1"/>
  <c r="G56" i="1"/>
  <c r="H56" i="1"/>
  <c r="A56" i="1"/>
  <c r="P55" i="1"/>
  <c r="O55" i="1"/>
  <c r="M55" i="1"/>
  <c r="L55" i="1"/>
  <c r="D55" i="1"/>
  <c r="J55" i="1"/>
  <c r="G55" i="1"/>
  <c r="H55" i="1"/>
  <c r="A55" i="1"/>
  <c r="P54" i="1"/>
  <c r="O54" i="1"/>
  <c r="M54" i="1"/>
  <c r="L54" i="1"/>
  <c r="D54" i="1"/>
  <c r="J54" i="1"/>
  <c r="G54" i="1"/>
  <c r="H54" i="1"/>
  <c r="A54" i="1"/>
  <c r="P53" i="1"/>
  <c r="O53" i="1"/>
  <c r="M53" i="1"/>
  <c r="L53" i="1"/>
  <c r="D53" i="1"/>
  <c r="J53" i="1"/>
  <c r="G53" i="1"/>
  <c r="H53" i="1"/>
  <c r="A53" i="1"/>
  <c r="P52" i="1"/>
  <c r="O52" i="1"/>
  <c r="M52" i="1"/>
  <c r="L52" i="1"/>
  <c r="D52" i="1"/>
  <c r="J52" i="1"/>
  <c r="G52" i="1"/>
  <c r="H52" i="1"/>
  <c r="A52" i="1"/>
  <c r="P51" i="1"/>
  <c r="O51" i="1"/>
  <c r="M51" i="1"/>
  <c r="L51" i="1"/>
  <c r="D51" i="1"/>
  <c r="J51" i="1"/>
  <c r="G51" i="1"/>
  <c r="H51" i="1"/>
  <c r="A51" i="1"/>
  <c r="P50" i="1"/>
  <c r="O50" i="1"/>
  <c r="M50" i="1"/>
  <c r="L50" i="1"/>
  <c r="D50" i="1"/>
  <c r="J50" i="1"/>
  <c r="G50" i="1"/>
  <c r="H50" i="1"/>
  <c r="A50" i="1"/>
  <c r="P49" i="1"/>
  <c r="O49" i="1"/>
  <c r="M49" i="1"/>
  <c r="L49" i="1"/>
  <c r="D49" i="1"/>
  <c r="J49" i="1"/>
  <c r="G49" i="1"/>
  <c r="H49" i="1"/>
  <c r="A49" i="1"/>
  <c r="P48" i="1"/>
  <c r="O48" i="1"/>
  <c r="M48" i="1"/>
  <c r="L48" i="1"/>
  <c r="D48" i="1"/>
  <c r="J48" i="1"/>
  <c r="G48" i="1"/>
  <c r="H48" i="1"/>
  <c r="A48" i="1"/>
  <c r="P47" i="1"/>
  <c r="O47" i="1"/>
  <c r="M47" i="1"/>
  <c r="L47" i="1"/>
  <c r="D47" i="1"/>
  <c r="J47" i="1"/>
  <c r="G47" i="1"/>
  <c r="H47" i="1"/>
  <c r="A47" i="1"/>
  <c r="P46" i="1"/>
  <c r="O46" i="1"/>
  <c r="M46" i="1"/>
  <c r="L46" i="1"/>
  <c r="D46" i="1"/>
  <c r="J46" i="1"/>
  <c r="G46" i="1"/>
  <c r="H46" i="1"/>
  <c r="A46" i="1"/>
  <c r="P45" i="1"/>
  <c r="O45" i="1"/>
  <c r="M45" i="1"/>
  <c r="L45" i="1"/>
  <c r="D45" i="1"/>
  <c r="J45" i="1"/>
  <c r="G45" i="1"/>
  <c r="H45" i="1"/>
  <c r="A45" i="1"/>
  <c r="P44" i="1"/>
  <c r="O44" i="1"/>
  <c r="M44" i="1"/>
  <c r="L44" i="1"/>
  <c r="D44" i="1"/>
  <c r="J44" i="1"/>
  <c r="G44" i="1"/>
  <c r="H44" i="1"/>
  <c r="A44" i="1"/>
  <c r="P43" i="1"/>
  <c r="O43" i="1"/>
  <c r="M43" i="1"/>
  <c r="L43" i="1"/>
  <c r="D43" i="1"/>
  <c r="J43" i="1"/>
  <c r="G43" i="1"/>
  <c r="H43" i="1"/>
  <c r="A43" i="1"/>
  <c r="P42" i="1"/>
  <c r="O42" i="1"/>
  <c r="M42" i="1"/>
  <c r="L42" i="1"/>
  <c r="D42" i="1"/>
  <c r="J42" i="1"/>
  <c r="G42" i="1"/>
  <c r="H42" i="1"/>
  <c r="A42" i="1"/>
  <c r="P41" i="1"/>
  <c r="O41" i="1"/>
  <c r="M41" i="1"/>
  <c r="L41" i="1"/>
  <c r="D41" i="1"/>
  <c r="J41" i="1"/>
  <c r="G41" i="1"/>
  <c r="H41" i="1"/>
  <c r="A41" i="1"/>
  <c r="P40" i="1"/>
  <c r="O40" i="1"/>
  <c r="M40" i="1"/>
  <c r="L40" i="1"/>
  <c r="D40" i="1"/>
  <c r="J40" i="1"/>
  <c r="G40" i="1"/>
  <c r="H40" i="1"/>
  <c r="A40" i="1"/>
  <c r="P39" i="1"/>
  <c r="O39" i="1"/>
  <c r="M39" i="1"/>
  <c r="L39" i="1"/>
  <c r="D39" i="1"/>
  <c r="J39" i="1"/>
  <c r="G39" i="1"/>
  <c r="H39" i="1"/>
  <c r="A39" i="1"/>
  <c r="P38" i="1"/>
  <c r="O38" i="1"/>
  <c r="M38" i="1"/>
  <c r="L38" i="1"/>
  <c r="D38" i="1"/>
  <c r="J38" i="1"/>
  <c r="G38" i="1"/>
  <c r="H38" i="1"/>
  <c r="A38" i="1"/>
  <c r="P37" i="1"/>
  <c r="O37" i="1"/>
  <c r="L37" i="1"/>
  <c r="L3" i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19" i="1"/>
  <c r="L20" i="1"/>
  <c r="L21" i="1"/>
  <c r="L22" i="1"/>
  <c r="L24" i="1"/>
  <c r="L26" i="1"/>
  <c r="L27" i="1"/>
  <c r="L28" i="1"/>
  <c r="L29" i="1"/>
  <c r="L30" i="1"/>
  <c r="L31" i="1"/>
  <c r="L32" i="1"/>
  <c r="L33" i="1"/>
  <c r="L34" i="1"/>
  <c r="L35" i="1"/>
  <c r="L36" i="1"/>
  <c r="M37" i="1"/>
  <c r="D37" i="1"/>
  <c r="J37" i="1"/>
  <c r="G37" i="1"/>
  <c r="H37" i="1"/>
  <c r="A37" i="1"/>
  <c r="P36" i="1"/>
  <c r="O36" i="1"/>
  <c r="M36" i="1"/>
  <c r="D36" i="1"/>
  <c r="J36" i="1"/>
  <c r="G36" i="1"/>
  <c r="H36" i="1"/>
  <c r="A36" i="1"/>
  <c r="P35" i="1"/>
  <c r="O35" i="1"/>
  <c r="M35" i="1"/>
  <c r="D35" i="1"/>
  <c r="J35" i="1"/>
  <c r="G35" i="1"/>
  <c r="H35" i="1"/>
  <c r="A35" i="1"/>
  <c r="P34" i="1"/>
  <c r="O34" i="1"/>
  <c r="P3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4" i="1"/>
  <c r="P26" i="1"/>
  <c r="P27" i="1"/>
  <c r="P28" i="1"/>
  <c r="P29" i="1"/>
  <c r="P30" i="1"/>
  <c r="P31" i="1"/>
  <c r="P32" i="1"/>
  <c r="P33" i="1"/>
  <c r="N34" i="1"/>
  <c r="M34" i="1"/>
  <c r="D34" i="1"/>
  <c r="J34" i="1"/>
  <c r="G34" i="1"/>
  <c r="H34" i="1"/>
  <c r="A34" i="1"/>
  <c r="O33" i="1"/>
  <c r="M33" i="1"/>
  <c r="D33" i="1"/>
  <c r="J33" i="1"/>
  <c r="G33" i="1"/>
  <c r="H33" i="1"/>
  <c r="A33" i="1"/>
  <c r="O32" i="1"/>
  <c r="M32" i="1"/>
  <c r="D32" i="1"/>
  <c r="J32" i="1"/>
  <c r="G32" i="1"/>
  <c r="H32" i="1"/>
  <c r="A32" i="1"/>
  <c r="O31" i="1"/>
  <c r="M31" i="1"/>
  <c r="D31" i="1"/>
  <c r="J31" i="1"/>
  <c r="G31" i="1"/>
  <c r="H31" i="1"/>
  <c r="A31" i="1"/>
  <c r="O30" i="1"/>
  <c r="M30" i="1"/>
  <c r="D30" i="1"/>
  <c r="J30" i="1"/>
  <c r="G30" i="1"/>
  <c r="H30" i="1"/>
  <c r="A30" i="1"/>
  <c r="O29" i="1"/>
  <c r="M29" i="1"/>
  <c r="D29" i="1"/>
  <c r="J29" i="1"/>
  <c r="G29" i="1"/>
  <c r="H29" i="1"/>
  <c r="A29" i="1"/>
  <c r="O28" i="1"/>
  <c r="M28" i="1"/>
  <c r="D28" i="1"/>
  <c r="J28" i="1"/>
  <c r="G28" i="1"/>
  <c r="H28" i="1"/>
  <c r="A28" i="1"/>
  <c r="O27" i="1"/>
  <c r="M27" i="1"/>
  <c r="D27" i="1"/>
  <c r="J27" i="1"/>
  <c r="G27" i="1"/>
  <c r="H27" i="1"/>
  <c r="A27" i="1"/>
  <c r="N26" i="1"/>
  <c r="M26" i="1"/>
  <c r="D26" i="1"/>
  <c r="J26" i="1"/>
  <c r="G26" i="1"/>
  <c r="H26" i="1"/>
  <c r="O25" i="1"/>
  <c r="D25" i="1"/>
  <c r="A25" i="1"/>
  <c r="N24" i="1"/>
  <c r="M24" i="1"/>
  <c r="D24" i="1"/>
  <c r="J24" i="1"/>
  <c r="G24" i="1"/>
  <c r="H24" i="1"/>
  <c r="O23" i="1"/>
  <c r="D23" i="1"/>
  <c r="A23" i="1"/>
  <c r="N22" i="1"/>
  <c r="M22" i="1"/>
  <c r="D22" i="1"/>
  <c r="J22" i="1"/>
  <c r="G22" i="1"/>
  <c r="H22" i="1"/>
  <c r="N21" i="1"/>
  <c r="M21" i="1"/>
  <c r="D21" i="1"/>
  <c r="J21" i="1"/>
  <c r="G21" i="1"/>
  <c r="H21" i="1"/>
  <c r="N20" i="1"/>
  <c r="M20" i="1"/>
  <c r="D20" i="1"/>
  <c r="J20" i="1"/>
  <c r="G20" i="1"/>
  <c r="H20" i="1"/>
  <c r="N19" i="1"/>
  <c r="M19" i="1"/>
  <c r="D19" i="1"/>
  <c r="J19" i="1"/>
  <c r="G19" i="1"/>
  <c r="H19" i="1"/>
  <c r="N18" i="1"/>
  <c r="M18" i="1"/>
  <c r="D18" i="1"/>
  <c r="J18" i="1"/>
  <c r="G18" i="1"/>
  <c r="H18" i="1"/>
  <c r="N17" i="1"/>
  <c r="M17" i="1"/>
  <c r="D17" i="1"/>
  <c r="J17" i="1"/>
  <c r="G17" i="1"/>
  <c r="H17" i="1"/>
  <c r="N16" i="1"/>
  <c r="M16" i="1"/>
  <c r="D16" i="1"/>
  <c r="J16" i="1"/>
  <c r="G16" i="1"/>
  <c r="H16" i="1"/>
  <c r="N15" i="1"/>
  <c r="M15" i="1"/>
  <c r="D15" i="1"/>
  <c r="J15" i="1"/>
  <c r="G15" i="1"/>
  <c r="H15" i="1"/>
  <c r="N14" i="1"/>
  <c r="M14" i="1"/>
  <c r="D14" i="1"/>
  <c r="J14" i="1"/>
  <c r="G14" i="1"/>
  <c r="H14" i="1"/>
  <c r="N13" i="1"/>
  <c r="M13" i="1"/>
  <c r="D13" i="1"/>
  <c r="J13" i="1"/>
  <c r="G13" i="1"/>
  <c r="H13" i="1"/>
  <c r="N12" i="1"/>
  <c r="M12" i="1"/>
  <c r="D12" i="1"/>
  <c r="J12" i="1"/>
  <c r="G12" i="1"/>
  <c r="H12" i="1"/>
  <c r="O11" i="1"/>
  <c r="D11" i="1"/>
  <c r="A11" i="1"/>
  <c r="N10" i="1"/>
  <c r="M10" i="1"/>
  <c r="D10" i="1"/>
  <c r="J10" i="1"/>
  <c r="G10" i="1"/>
  <c r="H10" i="1"/>
  <c r="N9" i="1"/>
  <c r="M9" i="1"/>
  <c r="D9" i="1"/>
  <c r="J9" i="1"/>
  <c r="G9" i="1"/>
  <c r="H9" i="1"/>
  <c r="N8" i="1"/>
  <c r="M8" i="1"/>
  <c r="D8" i="1"/>
  <c r="J8" i="1"/>
  <c r="G8" i="1"/>
  <c r="H8" i="1"/>
  <c r="N7" i="1"/>
  <c r="M7" i="1"/>
  <c r="D7" i="1"/>
  <c r="J7" i="1"/>
  <c r="G7" i="1"/>
  <c r="H7" i="1"/>
  <c r="N6" i="1"/>
  <c r="M6" i="1"/>
  <c r="D6" i="1"/>
  <c r="J6" i="1"/>
  <c r="G6" i="1"/>
  <c r="H6" i="1"/>
  <c r="N5" i="1"/>
  <c r="M5" i="1"/>
  <c r="D5" i="1"/>
  <c r="J5" i="1"/>
  <c r="G5" i="1"/>
  <c r="H5" i="1"/>
  <c r="O4" i="1"/>
  <c r="A4" i="1"/>
  <c r="N3" i="1"/>
  <c r="M3" i="1"/>
  <c r="D3" i="1"/>
  <c r="J3" i="1"/>
  <c r="G3" i="1"/>
  <c r="H3" i="1"/>
  <c r="O2" i="1"/>
  <c r="A2" i="1"/>
</calcChain>
</file>

<file path=xl/sharedStrings.xml><?xml version="1.0" encoding="utf-8"?>
<sst xmlns="http://schemas.openxmlformats.org/spreadsheetml/2006/main" count="42" uniqueCount="18">
  <si>
    <t>DATA</t>
  </si>
  <si>
    <t>KM
TOTALI</t>
  </si>
  <si>
    <t>KM
PARZIALI</t>
  </si>
  <si>
    <t>% PRIMA DELLA
CARICA</t>
  </si>
  <si>
    <t>%
DOPO
LA CARICA</t>
  </si>
  <si>
    <t>%
CARICATA</t>
  </si>
  <si>
    <t>KWh</t>
  </si>
  <si>
    <t>KWh
EFFETTIVI</t>
  </si>
  <si>
    <t>KWh/
100 KM</t>
  </si>
  <si>
    <t>PREZZO/
KWh</t>
  </si>
  <si>
    <t>COSTO</t>
  </si>
  <si>
    <t>COSTO
MENSILE</t>
  </si>
  <si>
    <t>PROGRESSIVO CASA</t>
  </si>
  <si>
    <t>MESE</t>
  </si>
  <si>
    <t>DOVE</t>
  </si>
  <si>
    <t>EVDC</t>
  </si>
  <si>
    <t>next charge</t>
  </si>
  <si>
    <t>ENEL X POMIGLIANO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</si>
</sst>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€&quot;"/>
    <numFmt numFmtId="165" formatCode="dd"/>
    <numFmt numFmtId="166" formatCode="dd\ mmm\ yyyy"/>
  </numFmts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4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e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390625" defaultRowHeight="15" customHeight="1" x14ac:dyDescent="0.2"/>
  <cols>
    <col min="1" max="1" width="16.27734375" style="16" customWidth="1"/>
    <col min="2" max="2" width="3.2265625" style="16" customWidth="1"/>
    <col min="3" max="3" width="9.14453125" style="16" customWidth="1"/>
    <col min="4" max="4" width="11.56640625" style="16" customWidth="1"/>
    <col min="5" max="5" width="19.37109375" style="16" customWidth="1"/>
    <col min="6" max="6" width="13.71875" style="16" customWidth="1"/>
    <col min="7" max="7" width="12.64453125" style="16" customWidth="1"/>
    <col min="8" max="8" width="6.3203125" style="16" customWidth="1"/>
    <col min="9" max="9" width="12.5078125" style="16" customWidth="1"/>
    <col min="10" max="10" width="9.14453125" style="16" customWidth="1"/>
    <col min="11" max="11" width="11.02734375" style="16" customWidth="1"/>
    <col min="12" max="12" width="9.28125" style="16" customWidth="1"/>
    <col min="13" max="13" width="11.296875" style="16" customWidth="1"/>
    <col min="14" max="14" width="25.15234375" style="16" customWidth="1"/>
    <col min="15" max="15" width="16.27734375" style="16" customWidth="1"/>
    <col min="16" max="16" width="16.8125" style="16" customWidth="1"/>
    <col min="17" max="26" width="25.421875" style="16" customWidth="1"/>
  </cols>
  <sheetData>
    <row r="1" spans="1:26" ht="42.75" customHeight="1" x14ac:dyDescent="0.2">
      <c r="A1" s="24" t="s">
        <v>0</v>
      </c>
      <c r="B1" s="25"/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15" t="s">
        <v>9</v>
      </c>
      <c r="L1" s="1" t="s">
        <v>10</v>
      </c>
      <c r="M1" s="1" t="s">
        <v>11</v>
      </c>
      <c r="N1" s="2" t="s">
        <v>12</v>
      </c>
      <c r="O1" s="3" t="s">
        <v>13</v>
      </c>
      <c r="P1" s="3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5" t="str">
        <f>IF(ISNUMBER(B3),CHOOSE(MONTH(B3),"GENNAIO","FEBBRAIO","MARZO","APRILE","MAGGIO","GIUGNO","LUGLIO","AGOSTO","SETTEMBRE","OTTOBRE","NOVEMBRE","DICEMBRE")&amp;" "&amp;YEAR(B3),"")</f>
        <v>FEBBRAIO 2026</v>
      </c>
      <c r="B2" s="12"/>
      <c r="C2" s="12"/>
      <c r="D2" s="12"/>
      <c r="E2" s="12"/>
      <c r="F2" s="12"/>
      <c r="G2" s="12"/>
      <c r="H2" s="12"/>
      <c r="I2" s="13"/>
      <c r="J2" s="13"/>
      <c r="K2" s="14"/>
      <c r="L2" s="13"/>
      <c r="M2" s="13"/>
      <c r="N2" s="6"/>
      <c r="O2" s="7" t="str">
        <f>IF(ISNUMBER(B3),CHOOSE(MONTH(B3),"GENNAIO","FEBBRAIO","MARZO","APRILE","MAGGIO","GIUGNO","LUGLIO","AGOSTO","SETTEMBRE","OTTOBRE","NOVEMBRE","DICEMBRE")&amp;" "&amp;YEAR(B3),"")</f>
        <v>FEBBRAIO 2026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x14ac:dyDescent="0.2">
      <c r="A3" s="8"/>
      <c r="B3" s="11">
        <v>46080</v>
      </c>
      <c r="C3" s="12">
        <v>286</v>
      </c>
      <c r="D3" s="12">
        <f>IF(C3="","",C3)</f>
        <v>286</v>
      </c>
      <c r="E3" s="9">
        <v>0.26</v>
      </c>
      <c r="F3" s="9">
        <v>0.86</v>
      </c>
      <c r="G3" s="9">
        <f>IF(AND(E3="",F3=""),"",IF(OR(E3&gt;1,F3&gt;1),(F3-E3)/100,F3-E3))</f>
        <v>0.6</v>
      </c>
      <c r="H3" s="12">
        <f>IF(G3="","",64*G3)</f>
        <v>38.4</v>
      </c>
      <c r="I3" s="13">
        <v>39.340000000000003</v>
      </c>
      <c r="J3" s="13">
        <f>IFERROR(IF(OR(D3="",D3=0),"",I3/D3*100),"")</f>
        <v>13.755244755244755</v>
      </c>
      <c r="K3" s="14">
        <v>0.2</v>
      </c>
      <c r="L3" s="13">
        <f>IF(I3="","",I3*K3)</f>
        <v>7.8680000000000012</v>
      </c>
      <c r="M3" s="13">
        <f>IF(B3="","",IFERROR(SUMPRODUCT(ISNUMBER(B$3:B3)*(MONTH(IF(ISNUMBER(B$3:B3),B$3:B3,1))=MONTH(B3))*(YEAR(IF(ISNUMBER(B$3:B3),B$3:B3,1))=YEAR(B3))*IF(ISNUMBER(L$3:L3),L$3:L3,0)),""))</f>
        <v>7.8680000000000012</v>
      </c>
      <c r="N3" s="10">
        <f>IFERROR(SUMIF(P$3:P3,"CASA",L$3:L3),"")</f>
        <v>7.8680000000000012</v>
      </c>
      <c r="O3" s="7"/>
      <c r="P3" s="12" t="str">
        <f>IF(K3=0.2,"CASA","")</f>
        <v>CASA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s="5" t="str">
        <f>IF(ISNUMBER(B5),CHOOSE(MONTH(B5),"GENNAIO","FEBBRAIO","MARZO","APRILE","MAGGIO","GIUGNO","LUGLIO","AGOSTO","SETTEMBRE","OTTOBRE","NOVEMBRE","DICEMBRE")&amp;" "&amp;YEAR(B5),"")</f>
        <v>MARZO 2026</v>
      </c>
      <c r="B4" s="12"/>
      <c r="C4" s="12"/>
      <c r="D4" s="12"/>
      <c r="E4" s="12"/>
      <c r="F4" s="12"/>
      <c r="G4" s="9"/>
      <c r="H4" s="12"/>
      <c r="I4" s="13"/>
      <c r="J4" s="13"/>
      <c r="K4" s="14"/>
      <c r="L4" s="13"/>
      <c r="M4" s="13"/>
      <c r="N4" s="6"/>
      <c r="O4" s="7" t="str">
        <f>IF(ISNUMBER(B5),CHOOSE(MONTH(B5),"GENNAIO","FEBBRAIO","MARZO","APRILE","MAGGIO","GIUGNO","LUGLIO","AGOSTO","SETTEMBRE","OTTOBRE","NOVEMBRE","DICEMBRE")&amp;" "&amp;YEAR(B5),"")</f>
        <v>MARZO 2026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 customHeight="1" x14ac:dyDescent="0.2">
      <c r="A5" s="8"/>
      <c r="B5" s="11">
        <v>46085</v>
      </c>
      <c r="C5" s="12">
        <v>533</v>
      </c>
      <c r="D5" s="12">
        <f>IF(C5="","",C5-IF(C4&lt;&gt;"",C4,IF(C3&lt;&gt;"",C3,IF(C2&lt;&gt;"",C2,0))))</f>
        <v>247</v>
      </c>
      <c r="E5" s="9">
        <v>0.14000000000000001</v>
      </c>
      <c r="F5" s="9">
        <v>0.86</v>
      </c>
      <c r="G5" s="9">
        <f>IF(AND(E5="",F5=""),"",IF(OR(E5&gt;1,F5&gt;1),(F5-E5)/100,F5-E5))</f>
        <v>0.72</v>
      </c>
      <c r="H5" s="12">
        <f>IF(G5="","",64*G5)</f>
        <v>46.08</v>
      </c>
      <c r="I5" s="13">
        <v>46.155999999999999</v>
      </c>
      <c r="J5" s="13">
        <f>IFERROR(IF(OR(D5="",D5=0),"",I5/D5*100),"")</f>
        <v>18.686639676113359</v>
      </c>
      <c r="K5" s="14">
        <v>0.2</v>
      </c>
      <c r="L5" s="13">
        <f>IF(I5="","",I5*K5)</f>
        <v>9.2311999999999994</v>
      </c>
      <c r="M5" s="13">
        <f>IF(B5="","",IFERROR(SUMPRODUCT(ISNUMBER(B$3:B5)*(MONTH(IF(ISNUMBER(B$3:B5),B$3:B5,1))=MONTH(B5))*(YEAR(IF(ISNUMBER(B$3:B5),B$3:B5,1))=YEAR(B5))*IF(ISNUMBER(L$3:L5),L$3:L5,0)),""))</f>
        <v>9.2311999999999994</v>
      </c>
      <c r="N5" s="10">
        <f>IFERROR(SUMIF(P$3:P5,"CASA",L$3:L5),"")</f>
        <v>17.0992</v>
      </c>
      <c r="O5" s="7"/>
      <c r="P5" s="12" t="str">
        <f>IF(K5=0.2,"CASA","")</f>
        <v>CASA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8"/>
      <c r="B6" s="11">
        <v>46092</v>
      </c>
      <c r="C6" s="12">
        <v>758</v>
      </c>
      <c r="D6" s="12">
        <f>IF(C6="","",C6-IF(C5&lt;&gt;"",C5,IF(C4&lt;&gt;"",C4,IF(C3&lt;&gt;"",C3,0))))</f>
        <v>225</v>
      </c>
      <c r="E6" s="9">
        <v>0.18</v>
      </c>
      <c r="F6" s="9">
        <v>0.8</v>
      </c>
      <c r="G6" s="9">
        <f>IF(AND(E6="",F6=""),"",IF(OR(E6&gt;1,F6&gt;1),(F6-E6)/100,F6-E6))</f>
        <v>0.62000000000000011</v>
      </c>
      <c r="H6" s="12">
        <f>IF(G6="","",64*G6)</f>
        <v>39.680000000000007</v>
      </c>
      <c r="I6" s="13">
        <v>40.374000000000002</v>
      </c>
      <c r="J6" s="13">
        <f>IFERROR(IF(OR(D6="",D6=0),"",I6/D6*100),"")</f>
        <v>17.944000000000003</v>
      </c>
      <c r="K6" s="14">
        <v>0.2</v>
      </c>
      <c r="L6" s="13">
        <f>IF(I6="","",I6*K6)</f>
        <v>8.0748000000000015</v>
      </c>
      <c r="M6" s="13">
        <f>IF(B6="","",IFERROR(SUMPRODUCT(ISNUMBER(B$3:B6)*(MONTH(IF(ISNUMBER(B$3:B6),B$3:B6,1))=MONTH(B6))*(YEAR(IF(ISNUMBER(B$3:B6),B$3:B6,1))=YEAR(B6))*IF(ISNUMBER(L$3:L6),L$3:L6,0)),""))</f>
        <v>17.306000000000001</v>
      </c>
      <c r="N6" s="10">
        <f>IFERROR(SUMIF(P$3:P6,"CASA",L$3:L6),"")</f>
        <v>25.173999999999999</v>
      </c>
      <c r="O6" s="7"/>
      <c r="P6" s="12" t="str">
        <f>IF(K6=0.2,"CASA","")</f>
        <v>CASA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 customHeight="1" x14ac:dyDescent="0.2">
      <c r="A7" s="8"/>
      <c r="B7" s="11">
        <v>46097</v>
      </c>
      <c r="C7" s="12">
        <v>926</v>
      </c>
      <c r="D7" s="12">
        <f>IF(C7="","",C7-IF(C6&lt;&gt;"",C6,IF(C5&lt;&gt;"",C5,IF(C4&lt;&gt;"",C4,0))))</f>
        <v>168</v>
      </c>
      <c r="E7" s="9">
        <v>0.18</v>
      </c>
      <c r="F7" s="9">
        <v>0.8</v>
      </c>
      <c r="G7" s="9">
        <f>IF(AND(E7="",F7=""),"",IF(OR(E7&gt;1,F7&gt;1),(F7-E7)/100,F7-E7))</f>
        <v>0.62000000000000011</v>
      </c>
      <c r="H7" s="12">
        <f>IF(G7="","",64*G7)</f>
        <v>39.680000000000007</v>
      </c>
      <c r="I7" s="13">
        <v>30.54</v>
      </c>
      <c r="J7" s="13">
        <f>IFERROR(IF(OR(D7="",D7=0),"",I7/D7*100),"")</f>
        <v>18.178571428571427</v>
      </c>
      <c r="K7" s="14">
        <v>0.5</v>
      </c>
      <c r="L7" s="13">
        <f>IF(I7="","",I7*K7)</f>
        <v>15.27</v>
      </c>
      <c r="M7" s="13">
        <f>IF(B7="","",IFERROR(SUMPRODUCT(ISNUMBER(B$3:B7)*(MONTH(IF(ISNUMBER(B$3:B7),B$3:B7,1))=MONTH(B7))*(YEAR(IF(ISNUMBER(B$3:B7),B$3:B7,1))=YEAR(B7))*IF(ISNUMBER(L$3:L7),L$3:L7,0)),""))</f>
        <v>32.576000000000001</v>
      </c>
      <c r="N7" s="10">
        <f>IFERROR(SUMIF(P$3:P7,"CASA",L$3:L7),"")</f>
        <v>25.173999999999999</v>
      </c>
      <c r="O7" s="7"/>
      <c r="P7" s="12" t="str">
        <f>IF(K7=0.2,"CASA","")</f>
        <v/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 customHeight="1" x14ac:dyDescent="0.2">
      <c r="A8" s="8"/>
      <c r="B8" s="11">
        <v>46101</v>
      </c>
      <c r="C8" s="12">
        <v>1130</v>
      </c>
      <c r="D8" s="12">
        <f>IF(C8="","",C8-IF(C7&lt;&gt;"",C7,IF(C6&lt;&gt;"",C6,IF(C5&lt;&gt;"",C5,0))))</f>
        <v>204</v>
      </c>
      <c r="E8" s="9">
        <v>0.3</v>
      </c>
      <c r="F8" s="9">
        <v>0.84</v>
      </c>
      <c r="G8" s="9">
        <f>IF(AND(E8="",F8=""),"",IF(OR(E8&gt;1,F8&gt;1),(F8-E8)/100,F8-E8))</f>
        <v>0.54</v>
      </c>
      <c r="H8" s="12">
        <f>IF(G8="","",64*G8)</f>
        <v>34.56</v>
      </c>
      <c r="I8" s="13">
        <v>34.08</v>
      </c>
      <c r="J8" s="13">
        <f>IFERROR(IF(OR(D8="",D8=0),"",I8/D8*100),"")</f>
        <v>16.705882352941178</v>
      </c>
      <c r="K8" s="14">
        <v>0.5</v>
      </c>
      <c r="L8" s="13">
        <f>IF(I8="","",I8*K8)</f>
        <v>17.04</v>
      </c>
      <c r="M8" s="13">
        <f>IF(B8="","",IFERROR(SUMPRODUCT(ISNUMBER(B$3:B8)*(MONTH(IF(ISNUMBER(B$3:B8),B$3:B8,1))=MONTH(B8))*(YEAR(IF(ISNUMBER(B$3:B8),B$3:B8,1))=YEAR(B8))*IF(ISNUMBER(L$3:L8),L$3:L8,0)),""))</f>
        <v>49.616</v>
      </c>
      <c r="N8" s="10">
        <f>IFERROR(SUMIF(P$3:P8,"CASA",L$3:L8),"")</f>
        <v>25.173999999999999</v>
      </c>
      <c r="O8" s="7"/>
      <c r="P8" s="12" t="str">
        <f>IF(K8=0.2,"CASA","")</f>
        <v/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 customHeight="1" x14ac:dyDescent="0.2">
      <c r="A9" s="8"/>
      <c r="B9" s="11">
        <v>46107</v>
      </c>
      <c r="C9" s="12">
        <v>1293</v>
      </c>
      <c r="D9" s="12">
        <f>IF(C9="","",C9-IF(C8&lt;&gt;"",C8,IF(C7&lt;&gt;"",C7,IF(C6&lt;&gt;"",C6,0))))</f>
        <v>163</v>
      </c>
      <c r="E9" s="9">
        <v>0.38</v>
      </c>
      <c r="F9" s="9">
        <v>0.76</v>
      </c>
      <c r="G9" s="9">
        <f>IF(AND(E9="",F9=""),"",IF(OR(E9&gt;1,F9&gt;1),(F9-E9)/100,F9-E9))</f>
        <v>0.38</v>
      </c>
      <c r="H9" s="12">
        <f>IF(G9="","",64*G9)</f>
        <v>24.32</v>
      </c>
      <c r="I9" s="13">
        <v>23.79</v>
      </c>
      <c r="J9" s="13">
        <f>IFERROR(IF(OR(D9="",D9=0),"",I9/D9*100),"")</f>
        <v>14.595092024539877</v>
      </c>
      <c r="K9" s="14">
        <v>0.2</v>
      </c>
      <c r="L9" s="13">
        <f>IF(I9="","",I9*K9)</f>
        <v>4.758</v>
      </c>
      <c r="M9" s="13">
        <f>IF(B9="","",IFERROR(SUMPRODUCT(ISNUMBER(B$3:B9)*(MONTH(IF(ISNUMBER(B$3:B9),B$3:B9,1))=MONTH(B9))*(YEAR(IF(ISNUMBER(B$3:B9),B$3:B9,1))=YEAR(B9))*IF(ISNUMBER(L$3:L9),L$3:L9,0)),""))</f>
        <v>54.374000000000002</v>
      </c>
      <c r="N9" s="10">
        <f>IFERROR(SUMIF(P$3:P9,"CASA",L$3:L9),"")</f>
        <v>29.931999999999999</v>
      </c>
      <c r="O9" s="7"/>
      <c r="P9" s="12" t="str">
        <f>IF(K9=0.2,"CASA","")</f>
        <v>CASA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 customHeight="1" x14ac:dyDescent="0.2">
      <c r="A10" s="8"/>
      <c r="B10" s="11">
        <v>46111</v>
      </c>
      <c r="C10" s="12">
        <v>1400</v>
      </c>
      <c r="D10" s="12">
        <f>IF(C10="","",C10-IF(C9&lt;&gt;"",C9,IF(C8&lt;&gt;"",C8,IF(C7&lt;&gt;"",C7,0))))</f>
        <v>107</v>
      </c>
      <c r="E10" s="9">
        <v>0.44</v>
      </c>
      <c r="F10" s="9">
        <v>0.8</v>
      </c>
      <c r="G10" s="9">
        <f>IF(AND(E10="",F10=""),"",IF(OR(E10&gt;1,F10&gt;1),(F10-E10)/100,F10-E10))</f>
        <v>0.36000000000000004</v>
      </c>
      <c r="H10" s="12">
        <f>IF(G10="","",64*G10)</f>
        <v>23.040000000000003</v>
      </c>
      <c r="I10" s="13">
        <v>24.04</v>
      </c>
      <c r="J10" s="13">
        <f>IFERROR(IF(OR(D10="",D10=0),"",I10/D10*100),"")</f>
        <v>22.467289719626169</v>
      </c>
      <c r="K10" s="14">
        <v>0.2</v>
      </c>
      <c r="L10" s="13">
        <f>IF(I10="","",I10*K10)</f>
        <v>4.8079999999999998</v>
      </c>
      <c r="M10" s="13">
        <f>IF(B10="","",IFERROR(SUMPRODUCT(ISNUMBER(B$3:B10)*(MONTH(IF(ISNUMBER(B$3:B10),B$3:B10,1))=MONTH(B10))*(YEAR(IF(ISNUMBER(B$3:B10),B$3:B10,1))=YEAR(B10))*IF(ISNUMBER(L$3:L10),L$3:L10,0)),""))</f>
        <v>59.182000000000002</v>
      </c>
      <c r="N10" s="10">
        <f>IFERROR(SUMIF(P$3:P10,"CASA",L$3:L10),"")</f>
        <v>34.739999999999995</v>
      </c>
      <c r="O10" s="7"/>
      <c r="P10" s="12" t="str">
        <f>IF(K10=0.2,"CASA","")</f>
        <v>CASA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 customHeight="1" x14ac:dyDescent="0.2">
      <c r="A11" s="5" t="str">
        <f>IF(ISNUMBER(B12),CHOOSE(MONTH(B12),"GENNAIO","FEBBRAIO","MARZO","APRILE","MAGGIO","GIUGNO","LUGLIO","AGOSTO","SETTEMBRE","OTTOBRE","NOVEMBRE","DICEMBRE")&amp;" "&amp;YEAR(B12),"")</f>
        <v>APRILE 2026</v>
      </c>
      <c r="B11" s="12"/>
      <c r="C11" s="12"/>
      <c r="D11" s="12" t="str">
        <f>IF(C11="","",C11-IF(C10&lt;&gt;"",C10,IF(C9&lt;&gt;"",C9,IF(C8&lt;&gt;"",C8,0))))</f>
        <v/>
      </c>
      <c r="E11" s="12"/>
      <c r="F11" s="12"/>
      <c r="G11" s="9"/>
      <c r="H11" s="12"/>
      <c r="I11" s="13"/>
      <c r="J11" s="13"/>
      <c r="K11" s="14"/>
      <c r="L11" s="13"/>
      <c r="M11" s="13"/>
      <c r="N11" s="6"/>
      <c r="O11" s="7" t="str">
        <f>IF(ISNUMBER(B12),CHOOSE(MONTH(B12),"GENNAIO","FEBBRAIO","MARZO","APRILE","MAGGIO","GIUGNO","LUGLIO","AGOSTO","SETTEMBRE","OTTOBRE","NOVEMBRE","DICEMBRE")&amp;" "&amp;YEAR(B12),"")</f>
        <v>APRILE 2026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 customHeight="1" x14ac:dyDescent="0.2">
      <c r="A12" s="8"/>
      <c r="B12" s="11">
        <v>46113</v>
      </c>
      <c r="C12" s="12">
        <v>1543</v>
      </c>
      <c r="D12" s="12">
        <f>IF(C12="","",C12-IF(C11&lt;&gt;"",C11,IF(C10&lt;&gt;"",C10,IF(C9&lt;&gt;"",C9,0))))</f>
        <v>143</v>
      </c>
      <c r="E12" s="9">
        <v>0.34</v>
      </c>
      <c r="F12" s="9">
        <v>0.8</v>
      </c>
      <c r="G12" s="9">
        <f>IF(AND(E12="",F12=""),"",IF(OR(E12&gt;1,F12&gt;1),(F12-E12)/100,F12-E12))</f>
        <v>0.46</v>
      </c>
      <c r="H12" s="12">
        <f>IF(G12="","",64*G12)</f>
        <v>29.44</v>
      </c>
      <c r="I12" s="13">
        <v>30.56</v>
      </c>
      <c r="J12" s="13">
        <f>IFERROR(IF(OR(D12="",D12=0),"",I12/D12*100),"")</f>
        <v>21.37062937062937</v>
      </c>
      <c r="K12" s="14">
        <v>0.2</v>
      </c>
      <c r="L12" s="13">
        <f>IF(I12="","",I12*K12)</f>
        <v>6.1120000000000001</v>
      </c>
      <c r="M12" s="13">
        <f>IF(B12="","",IFERROR(SUMPRODUCT(ISNUMBER(B$3:B12)*(MONTH(IF(ISNUMBER(B$3:B12),B$3:B12,1))=MONTH(B12))*(YEAR(IF(ISNUMBER(B$3:B12),B$3:B12,1))=YEAR(B12))*IF(ISNUMBER(L$3:L12),L$3:L12,0)),""))</f>
        <v>6.1120000000000001</v>
      </c>
      <c r="N12" s="10">
        <f>IFERROR(SUMIF(P$3:P12,"CASA",L$3:L12),"")</f>
        <v>40.851999999999997</v>
      </c>
      <c r="O12" s="7"/>
      <c r="P12" s="12" t="str">
        <f>IF(K12=0.2,"CASA","")</f>
        <v>CASA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" customHeight="1" x14ac:dyDescent="0.2">
      <c r="A13" s="8"/>
      <c r="B13" s="11">
        <v>46117</v>
      </c>
      <c r="C13" s="12">
        <v>1717</v>
      </c>
      <c r="D13" s="12">
        <f>IF(C13="","",C13-IF(C12&lt;&gt;"",C12,IF(C11&lt;&gt;"",C11,IF(C10&lt;&gt;"",C10,0))))</f>
        <v>174</v>
      </c>
      <c r="E13" s="9">
        <v>0.33</v>
      </c>
      <c r="F13" s="9">
        <v>0.67</v>
      </c>
      <c r="G13" s="9">
        <f>IF(AND(E13="",F13=""),"",IF(OR(E13&gt;1,F13&gt;1),(F13-E13)/100,F13-E13))</f>
        <v>0.34</v>
      </c>
      <c r="H13" s="12">
        <f>IF(G13="","",64*G13)</f>
        <v>21.76</v>
      </c>
      <c r="I13" s="13">
        <v>20.975999999999999</v>
      </c>
      <c r="J13" s="13">
        <f>IFERROR(IF(OR(D13="",D13=0),"",I13/D13*100),"")</f>
        <v>12.055172413793102</v>
      </c>
      <c r="K13" s="14">
        <v>0.2</v>
      </c>
      <c r="L13" s="13">
        <f>IF(I13="","",I13*K13)</f>
        <v>4.1951999999999998</v>
      </c>
      <c r="M13" s="13">
        <f>IF(B13="","",IFERROR(SUMPRODUCT(ISNUMBER(B$3:B13)*(MONTH(IF(ISNUMBER(B$3:B13),B$3:B13,1))=MONTH(B13))*(YEAR(IF(ISNUMBER(B$3:B13),B$3:B13,1))=YEAR(B13))*IF(ISNUMBER(L$3:L13),L$3:L13,0)),""))</f>
        <v>10.3072</v>
      </c>
      <c r="N13" s="10">
        <f>IFERROR(SUMIF(P$3:P13,"CASA",L$3:L13),"")</f>
        <v>45.047199999999997</v>
      </c>
      <c r="O13" s="7"/>
      <c r="P13" s="12" t="str">
        <f>IF(K13=0.2,"CASA","")</f>
        <v>CASA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 customHeight="1" x14ac:dyDescent="0.2">
      <c r="A14" s="8"/>
      <c r="B14" s="11">
        <v>46117</v>
      </c>
      <c r="C14" s="12">
        <v>1792</v>
      </c>
      <c r="D14" s="12">
        <f>IF(C14="","",C14-IF(C13&lt;&gt;"",C13,IF(C12&lt;&gt;"",C12,IF(C11&lt;&gt;"",C11,0))))</f>
        <v>75</v>
      </c>
      <c r="E14" s="9">
        <v>0.41</v>
      </c>
      <c r="F14" s="9">
        <v>0.8</v>
      </c>
      <c r="G14" s="9">
        <f>IF(AND(E14="",F14=""),"",IF(OR(E14&gt;1,F14&gt;1),(F14-E14)/100,F14-E14))</f>
        <v>0.39000000000000007</v>
      </c>
      <c r="H14" s="12">
        <f>IF(G14="","",64*G14)</f>
        <v>24.960000000000004</v>
      </c>
      <c r="I14" s="13">
        <v>25.306999999999999</v>
      </c>
      <c r="J14" s="13">
        <f>IFERROR(IF(OR(D14="",D14=0),"",I14/D14*100),"")</f>
        <v>33.742666666666665</v>
      </c>
      <c r="K14" s="14">
        <v>0.2</v>
      </c>
      <c r="L14" s="13">
        <f>IF(I14="","",I14*K14)</f>
        <v>5.0613999999999999</v>
      </c>
      <c r="M14" s="13">
        <f>IF(B14="","",IFERROR(SUMPRODUCT(ISNUMBER(B$3:B14)*(MONTH(IF(ISNUMBER(B$3:B14),B$3:B14,1))=MONTH(B14))*(YEAR(IF(ISNUMBER(B$3:B14),B$3:B14,1))=YEAR(B14))*IF(ISNUMBER(L$3:L14),L$3:L14,0)),""))</f>
        <v>15.368600000000001</v>
      </c>
      <c r="N14" s="10">
        <f>IFERROR(SUMIF(P$3:P14,"CASA",L$3:L14),"")</f>
        <v>50.108599999999996</v>
      </c>
      <c r="O14" s="7"/>
      <c r="P14" s="12" t="str">
        <f>IF(K14=0.2,"CASA","")</f>
        <v>CASA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 customHeight="1" x14ac:dyDescent="0.2">
      <c r="A15" s="8"/>
      <c r="B15" s="11">
        <v>46119</v>
      </c>
      <c r="C15" s="12">
        <v>1926</v>
      </c>
      <c r="D15" s="12">
        <f>IF(C15="","",C15-IF(C14&lt;&gt;"",C14,IF(C13&lt;&gt;"",C13,IF(C12&lt;&gt;"",C12,0))))</f>
        <v>134</v>
      </c>
      <c r="E15" s="9">
        <v>0.15</v>
      </c>
      <c r="F15" s="9">
        <v>0.8</v>
      </c>
      <c r="G15" s="9">
        <f>IF(AND(E15="",F15=""),"",IF(OR(E15&gt;1,F15&gt;1),(F15-E15)/100,F15-E15))</f>
        <v>0.65</v>
      </c>
      <c r="H15" s="12">
        <f>IF(G15="","",64*G15)</f>
        <v>41.6</v>
      </c>
      <c r="I15" s="13">
        <v>21.393000000000001</v>
      </c>
      <c r="J15" s="13">
        <f>IFERROR(IF(OR(D15="",D15=0),"",I15/D15*100),"")</f>
        <v>15.964925373134328</v>
      </c>
      <c r="K15" s="14">
        <v>0.2</v>
      </c>
      <c r="L15" s="13">
        <f>IF(I15="","",I15*K15)</f>
        <v>4.2786</v>
      </c>
      <c r="M15" s="13">
        <f>IF(B15="","",IFERROR(SUMPRODUCT(ISNUMBER(B$3:B15)*(MONTH(IF(ISNUMBER(B$3:B15),B$3:B15,1))=MONTH(B15))*(YEAR(IF(ISNUMBER(B$3:B15),B$3:B15,1))=YEAR(B15))*IF(ISNUMBER(L$3:L15),L$3:L15,0)),""))</f>
        <v>19.647200000000002</v>
      </c>
      <c r="N15" s="10">
        <f>IFERROR(SUMIF(P$3:P15,"CASA",L$3:L15),"")</f>
        <v>54.387199999999993</v>
      </c>
      <c r="O15" s="7"/>
      <c r="P15" s="12" t="str">
        <f>IF(K15=0.2,"CASA","")</f>
        <v>CASA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" customHeight="1" x14ac:dyDescent="0.2">
      <c r="A16" s="8"/>
      <c r="B16" s="11">
        <v>46122</v>
      </c>
      <c r="C16" s="12">
        <v>2075</v>
      </c>
      <c r="D16" s="12">
        <f>IF(C16="","",C16-IF(C15&lt;&gt;"",C15,IF(C14&lt;&gt;"",C14,IF(C13&lt;&gt;"",C13,0))))</f>
        <v>149</v>
      </c>
      <c r="E16" s="9">
        <v>0.37</v>
      </c>
      <c r="F16" s="9">
        <v>0.8</v>
      </c>
      <c r="G16" s="9">
        <f>IF(AND(E16="",F16=""),"",IF(OR(E16&gt;1,F16&gt;1),(F16-E16)/100,F16-E16))</f>
        <v>0.43000000000000005</v>
      </c>
      <c r="H16" s="12">
        <f>IF(G16="","",64*G16)</f>
        <v>27.520000000000003</v>
      </c>
      <c r="I16" s="13">
        <v>24.62</v>
      </c>
      <c r="J16" s="13">
        <f>IFERROR(IF(OR(D16="",D16=0),"",I16/D16*100),"")</f>
        <v>16.523489932885909</v>
      </c>
      <c r="K16" s="14">
        <v>0.2</v>
      </c>
      <c r="L16" s="13">
        <f>IF(I16="","",I16*K16)</f>
        <v>4.9240000000000004</v>
      </c>
      <c r="M16" s="13">
        <f>IF(B16="","",IFERROR(SUMPRODUCT(ISNUMBER(B$3:B16)*(MONTH(IF(ISNUMBER(B$3:B16),B$3:B16,1))=MONTH(B16))*(YEAR(IF(ISNUMBER(B$3:B16),B$3:B16,1))=YEAR(B16))*IF(ISNUMBER(L$3:L16),L$3:L16,0)),""))</f>
        <v>24.571200000000001</v>
      </c>
      <c r="N16" s="10">
        <f>IFERROR(SUMIF(P$3:P16,"CASA",L$3:L16),"")</f>
        <v>59.311199999999992</v>
      </c>
      <c r="O16" s="7"/>
      <c r="P16" s="12" t="str">
        <f>IF(K16=0.2,"CASA","")</f>
        <v>CASA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2">
      <c r="A17" s="8"/>
      <c r="B17" s="11">
        <v>46127</v>
      </c>
      <c r="C17" s="12">
        <v>2277</v>
      </c>
      <c r="D17" s="12">
        <f>IF(C17="","",C17-IF(C16&lt;&gt;"",C16,IF(C15&lt;&gt;"",C15,IF(C14&lt;&gt;"",C14,0))))</f>
        <v>202</v>
      </c>
      <c r="E17" s="9">
        <v>0.19</v>
      </c>
      <c r="F17" s="9">
        <v>0.8</v>
      </c>
      <c r="G17" s="9">
        <f>IF(AND(E17="",F17=""),"",IF(OR(E17&gt;1,F17&gt;1),(F17-E17)/100,F17-E17))</f>
        <v>0.6100000000000001</v>
      </c>
      <c r="H17" s="12">
        <f>IF(G17="","",64*G17)</f>
        <v>39.040000000000006</v>
      </c>
      <c r="I17" s="13">
        <v>26.07</v>
      </c>
      <c r="J17" s="13">
        <f>IFERROR(IF(OR(D17="",D17=0),"",I17/D17*100),"")</f>
        <v>12.905940594059405</v>
      </c>
      <c r="K17" s="14">
        <v>0.2</v>
      </c>
      <c r="L17" s="13">
        <f>IF(I17="","",I17*K17)</f>
        <v>5.2140000000000004</v>
      </c>
      <c r="M17" s="13">
        <f>IF(B17="","",IFERROR(SUMPRODUCT(ISNUMBER(B$3:B17)*(MONTH(IF(ISNUMBER(B$3:B17),B$3:B17,1))=MONTH(B17))*(YEAR(IF(ISNUMBER(B$3:B17),B$3:B17,1))=YEAR(B17))*IF(ISNUMBER(L$3:L17),L$3:L17,0)),""))</f>
        <v>29.785200000000003</v>
      </c>
      <c r="N17" s="10">
        <f>IFERROR(SUMIF(P$3:P17,"CASA",L$3:L17),"")</f>
        <v>64.525199999999998</v>
      </c>
      <c r="O17" s="7"/>
      <c r="P17" s="12" t="str">
        <f>IF(K17=0.2,"CASA","")</f>
        <v>CASA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 customHeight="1" x14ac:dyDescent="0.2">
      <c r="A18" s="8"/>
      <c r="B18" s="11">
        <v>46130</v>
      </c>
      <c r="C18" s="12">
        <v>2414</v>
      </c>
      <c r="D18" s="12">
        <f>IF(C18="","",C18-IF(C17&lt;&gt;"",C17,IF(C16&lt;&gt;"",C16,IF(C15&lt;&gt;"",C15,0))))</f>
        <v>137</v>
      </c>
      <c r="E18" s="9">
        <v>0.24</v>
      </c>
      <c r="F18" s="9">
        <v>0.8</v>
      </c>
      <c r="G18" s="9">
        <f>IF(AND(E18="",F18=""),"",IF(OR(E18&gt;1,F18&gt;1),(F18-E18)/100,F18-E18))</f>
        <v>0.56000000000000005</v>
      </c>
      <c r="H18" s="12">
        <f>IF(G18="","",64*G18)</f>
        <v>35.840000000000003</v>
      </c>
      <c r="I18" s="13">
        <v>23.29</v>
      </c>
      <c r="J18" s="13">
        <f>IFERROR(IF(OR(D18="",D18=0),"",I18/D18*100),"")</f>
        <v>17</v>
      </c>
      <c r="K18" s="14">
        <v>0.2</v>
      </c>
      <c r="L18" s="13">
        <f>IF(I18="","",I18*K18)</f>
        <v>4.6580000000000004</v>
      </c>
      <c r="M18" s="13">
        <f>IF(B18="","",IFERROR(SUMPRODUCT(ISNUMBER(B$3:B18)*(MONTH(IF(ISNUMBER(B$3:B18),B$3:B18,1))=MONTH(B18))*(YEAR(IF(ISNUMBER(B$3:B18),B$3:B18,1))=YEAR(B18))*IF(ISNUMBER(L$3:L18),L$3:L18,0)),""))</f>
        <v>34.443200000000004</v>
      </c>
      <c r="N18" s="10">
        <f>IFERROR(SUMIF(P$3:P18,"CASA",L$3:L18),"")</f>
        <v>69.183199999999999</v>
      </c>
      <c r="O18" s="7"/>
      <c r="P18" s="12" t="str">
        <f>IF(K18=0.2,"CASA","")</f>
        <v>CASA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 customHeight="1" x14ac:dyDescent="0.2">
      <c r="A19" s="8"/>
      <c r="B19" s="11">
        <v>46133</v>
      </c>
      <c r="C19" s="12">
        <v>2592</v>
      </c>
      <c r="D19" s="12">
        <f>IF(C19="","",C19-IF(C18&lt;&gt;"",C18,IF(C17&lt;&gt;"",C17,IF(C16&lt;&gt;"",C16,0))))</f>
        <v>178</v>
      </c>
      <c r="E19" s="9">
        <v>0.33</v>
      </c>
      <c r="F19" s="9">
        <v>0.8</v>
      </c>
      <c r="G19" s="9">
        <f>IF(AND(E19="",F19=""),"",IF(OR(E19&gt;1,F19&gt;1),(F19-E19)/100,F19-E19))</f>
        <v>0.47000000000000003</v>
      </c>
      <c r="H19" s="12">
        <f>IF(G19="","",64*G19)</f>
        <v>30.080000000000002</v>
      </c>
      <c r="I19" s="13">
        <v>26.32</v>
      </c>
      <c r="J19" s="13">
        <f>IFERROR(IF(OR(D19="",D19=0),"",I19/D19*100),"")</f>
        <v>14.786516853932586</v>
      </c>
      <c r="K19" s="14">
        <v>0.2</v>
      </c>
      <c r="L19" s="13">
        <f>IF(I19="","",I19*K19)</f>
        <v>5.2640000000000002</v>
      </c>
      <c r="M19" s="13">
        <f>IF(B19="","",IFERROR(SUMPRODUCT(ISNUMBER(B$3:B19)*(MONTH(IF(ISNUMBER(B$3:B19),B$3:B19,1))=MONTH(B19))*(YEAR(IF(ISNUMBER(B$3:B19),B$3:B19,1))=YEAR(B19))*IF(ISNUMBER(L$3:L19),L$3:L19,0)),""))</f>
        <v>39.707200000000007</v>
      </c>
      <c r="N19" s="10">
        <f>IFERROR(SUMIF(P$3:P19,"CASA",L$3:L19),"")</f>
        <v>74.447199999999995</v>
      </c>
      <c r="O19" s="7"/>
      <c r="P19" s="12" t="str">
        <f>IF(K19=0.2,"CASA","")</f>
        <v>CASA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 customHeight="1" x14ac:dyDescent="0.2">
      <c r="A20" s="8"/>
      <c r="B20" s="11">
        <v>46135</v>
      </c>
      <c r="C20" s="12">
        <v>2720</v>
      </c>
      <c r="D20" s="12">
        <f>IF(C20="","",C20-IF(C19&lt;&gt;"",C19,IF(C18&lt;&gt;"",C18,IF(C17&lt;&gt;"",C17,0))))</f>
        <v>128</v>
      </c>
      <c r="E20" s="9">
        <v>0.36</v>
      </c>
      <c r="F20" s="9">
        <v>0.78</v>
      </c>
      <c r="G20" s="9">
        <f>IF(AND(E20="",F20=""),"",IF(OR(E20&gt;1,F20&gt;1),(F20-E20)/100,F20-E20))</f>
        <v>0.42000000000000004</v>
      </c>
      <c r="H20" s="12">
        <f>IF(G20="","",64*G20)</f>
        <v>26.880000000000003</v>
      </c>
      <c r="I20" s="13">
        <v>22.72</v>
      </c>
      <c r="J20" s="13">
        <f>IFERROR(IF(OR(D20="",D20=0),"",I20/D20*100),"")</f>
        <v>17.75</v>
      </c>
      <c r="K20" s="14">
        <v>0.2</v>
      </c>
      <c r="L20" s="13">
        <f>IF(I20="","",I20*K20)</f>
        <v>4.5439999999999996</v>
      </c>
      <c r="M20" s="13">
        <f>IF(B20="","",IFERROR(SUMPRODUCT(ISNUMBER(B$3:B20)*(MONTH(IF(ISNUMBER(B$3:B20),B$3:B20,1))=MONTH(B20))*(YEAR(IF(ISNUMBER(B$3:B20),B$3:B20,1))=YEAR(B20))*IF(ISNUMBER(L$3:L20),L$3:L20,0)),""))</f>
        <v>44.251200000000004</v>
      </c>
      <c r="N20" s="10">
        <f>IFERROR(SUMIF(P$3:P20,"CASA",L$3:L20),"")</f>
        <v>78.991199999999992</v>
      </c>
      <c r="O20" s="7"/>
      <c r="P20" s="12" t="str">
        <f>IF(K20=0.2,"CASA","")</f>
        <v>CASA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 x14ac:dyDescent="0.2">
      <c r="A21" s="8"/>
      <c r="B21" s="11">
        <v>46137</v>
      </c>
      <c r="C21" s="12">
        <v>2782</v>
      </c>
      <c r="D21" s="12">
        <f>IF(C21="","",C21-IF(C20&lt;&gt;"",C20,IF(C19&lt;&gt;"",C19,IF(C18&lt;&gt;"",C18,0))))</f>
        <v>62</v>
      </c>
      <c r="E21" s="12"/>
      <c r="F21" s="12"/>
      <c r="G21" s="9" t="str">
        <f>IF(AND(E21="",F21=""),"",IF(OR(E21&gt;1,F21&gt;1),(F21-E21)/100,F21-E21))</f>
        <v/>
      </c>
      <c r="H21" s="12" t="str">
        <f>IF(G21="","",64*G21)</f>
        <v/>
      </c>
      <c r="I21" s="13">
        <v>13.09</v>
      </c>
      <c r="J21" s="13">
        <f>IFERROR(IF(OR(D21="",D21=0),"",I21/D21*100),"")</f>
        <v>21.112903225806452</v>
      </c>
      <c r="K21" s="14">
        <v>0.2</v>
      </c>
      <c r="L21" s="13">
        <f>IF(I21="","",I21*K21)</f>
        <v>2.6180000000000003</v>
      </c>
      <c r="M21" s="13">
        <f>IF(B21="","",IFERROR(SUMPRODUCT(ISNUMBER(B$3:B21)*(MONTH(IF(ISNUMBER(B$3:B21),B$3:B21,1))=MONTH(B21))*(YEAR(IF(ISNUMBER(B$3:B21),B$3:B21,1))=YEAR(B21))*IF(ISNUMBER(L$3:L21),L$3:L21,0)),""))</f>
        <v>46.869200000000006</v>
      </c>
      <c r="N21" s="10">
        <f>IFERROR(SUMIF(P$3:P21,"CASA",L$3:L21),"")</f>
        <v>81.609199999999987</v>
      </c>
      <c r="O21" s="7"/>
      <c r="P21" s="12" t="str">
        <f>IF(K21=0.2,"CASA","")</f>
        <v>CASA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 customHeight="1" x14ac:dyDescent="0.2">
      <c r="A22" s="8"/>
      <c r="B22" s="11">
        <v>46140</v>
      </c>
      <c r="C22" s="12">
        <v>2909</v>
      </c>
      <c r="D22" s="12">
        <f>IF(C22="","",C22-IF(C21&lt;&gt;"",C21,IF(C20&lt;&gt;"",C20,IF(C19&lt;&gt;"",C19,0))))</f>
        <v>127</v>
      </c>
      <c r="E22" s="9">
        <v>0.24</v>
      </c>
      <c r="F22" s="9">
        <v>0.8</v>
      </c>
      <c r="G22" s="9">
        <f>IF(AND(E22="",F22=""),"",IF(OR(E22&gt;1,F22&gt;1),(F22-E22)/100,F22-E22))</f>
        <v>0.56000000000000005</v>
      </c>
      <c r="H22" s="12">
        <f>IF(G22="","",64*G22)</f>
        <v>35.840000000000003</v>
      </c>
      <c r="I22" s="13">
        <v>22.74</v>
      </c>
      <c r="J22" s="13">
        <f>IFERROR(IF(OR(D22="",D22=0),"",I22/D22*100),"")</f>
        <v>17.905511811023619</v>
      </c>
      <c r="K22" s="14">
        <v>0.2</v>
      </c>
      <c r="L22" s="13">
        <f>IF(I22="","",I22*K22)</f>
        <v>4.548</v>
      </c>
      <c r="M22" s="13">
        <f>IF(B22="","",IFERROR(SUMPRODUCT(ISNUMBER(B$3:B22)*(MONTH(IF(ISNUMBER(B$3:B22),B$3:B22,1))=MONTH(B22))*(YEAR(IF(ISNUMBER(B$3:B22),B$3:B22,1))=YEAR(B22))*IF(ISNUMBER(L$3:L22),L$3:L22,0)),""))</f>
        <v>51.417200000000008</v>
      </c>
      <c r="N22" s="10">
        <f>IFERROR(SUMIF(P$3:P22,"CASA",L$3:L22),"")</f>
        <v>86.157199999999989</v>
      </c>
      <c r="O22" s="7"/>
      <c r="P22" s="12" t="str">
        <f>IF(K22=0.2,"CASA","")</f>
        <v>CASA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 customHeight="1" x14ac:dyDescent="0.2">
      <c r="A23" s="5" t="str">
        <f>IF(ISNUMBER(B24),CHOOSE(MONTH(B24),"GENNAIO","FEBBRAIO","MARZO","APRILE","MAGGIO","GIUGNO","LUGLIO","AGOSTO","SETTEMBRE","OTTOBRE","NOVEMBRE","DICEMBRE")&amp;" "&amp;YEAR(B24),"")</f>
        <v>MAGGIO 2026</v>
      </c>
      <c r="B23" s="12"/>
      <c r="C23" s="12"/>
      <c r="D23" s="12" t="str">
        <f>IF(C23="","",C23-IF(C22&lt;&gt;"",C22,IF(C21&lt;&gt;"",C21,IF(C20&lt;&gt;"",C20,0))))</f>
        <v/>
      </c>
      <c r="E23" s="12"/>
      <c r="F23" s="12"/>
      <c r="G23" s="9"/>
      <c r="H23" s="12"/>
      <c r="I23" s="13"/>
      <c r="J23" s="13"/>
      <c r="K23" s="14"/>
      <c r="L23" s="13"/>
      <c r="M23" s="13"/>
      <c r="N23" s="6"/>
      <c r="O23" s="7" t="str">
        <f>IF(ISNUMBER(B24),CHOOSE(MONTH(B24),"GENNAIO","FEBBRAIO","MARZO","APRILE","MAGGIO","GIUGNO","LUGLIO","AGOSTO","SETTEMBRE","OTTOBRE","NOVEMBRE","DICEMBRE")&amp;" "&amp;YEAR(B24),"")</f>
        <v>MAGGIO 2026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 x14ac:dyDescent="0.2">
      <c r="A24" s="8"/>
      <c r="B24" s="11">
        <v>46143</v>
      </c>
      <c r="C24" s="12">
        <v>3042</v>
      </c>
      <c r="D24" s="12">
        <f>IF(C24="","",C24-IF(C23&lt;&gt;"",C23,IF(C22&lt;&gt;"",C22,IF(C21&lt;&gt;"",C21,0))))</f>
        <v>133</v>
      </c>
      <c r="E24" s="9">
        <v>0.45</v>
      </c>
      <c r="F24" s="9">
        <v>0.8</v>
      </c>
      <c r="G24" s="9">
        <f>IF(AND(E24="",F24=""),"",IF(OR(E24&gt;1,F24&gt;1),(F24-E24)/100,F24-E24))</f>
        <v>0.35000000000000003</v>
      </c>
      <c r="H24" s="12">
        <f>IF(G24="","",64*G24)</f>
        <v>22.400000000000002</v>
      </c>
      <c r="I24" s="13">
        <v>23.36</v>
      </c>
      <c r="J24" s="13">
        <f>IFERROR(IF(OR(D24="",D24=0),"",I24/D24*100),"")</f>
        <v>17.563909774436091</v>
      </c>
      <c r="K24" s="14">
        <v>0.2</v>
      </c>
      <c r="L24" s="13">
        <f>IF(I24="","",I24*K24)</f>
        <v>4.6719999999999997</v>
      </c>
      <c r="M24" s="13">
        <f>IF(B24="","",IFERROR(SUMPRODUCT(ISNUMBER(B$3:B24)*(MONTH(IF(ISNUMBER(B$3:B24),B$3:B24,1))=MONTH(B24))*(YEAR(IF(ISNUMBER(B$3:B24),B$3:B24,1))=YEAR(B24))*IF(ISNUMBER(L$3:L24),L$3:L24,0)),""))</f>
        <v>4.6719999999999997</v>
      </c>
      <c r="N24" s="10">
        <f>IFERROR(SUMIF(P$3:P24,"CASA",L$3:L24),"")</f>
        <v>90.829199999999986</v>
      </c>
      <c r="O24" s="7"/>
      <c r="P24" s="12" t="str">
        <f>IF(K24=0.2,"CASA","")</f>
        <v>CASA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 x14ac:dyDescent="0.2">
      <c r="A25" s="5" t="str">
        <f>IF(ISNUMBER(B26),CHOOSE(MONTH(B26),"GENNAIO","FEBBRAIO","MARZO","APRILE","MAGGIO","GIUGNO","LUGLIO","AGOSTO","SETTEMBRE","OTTOBRE","NOVEMBRE","DICEMBRE")&amp;" "&amp;YEAR(B26),"")</f>
        <v>AGOSTO 2026</v>
      </c>
      <c r="B25" s="12"/>
      <c r="C25" s="12"/>
      <c r="D25" s="12" t="str">
        <f>IF(C25="","",C25-IF(C24&lt;&gt;"",C24,IF(C23&lt;&gt;"",C23,IF(C22&lt;&gt;"",C22,0))))</f>
        <v/>
      </c>
      <c r="E25" s="12"/>
      <c r="F25" s="12"/>
      <c r="G25" s="9"/>
      <c r="H25" s="12"/>
      <c r="I25" s="13"/>
      <c r="J25" s="13"/>
      <c r="K25" s="14"/>
      <c r="L25" s="13"/>
      <c r="M25" s="13"/>
      <c r="N25" s="6"/>
      <c r="O25" s="7" t="str">
        <f>IF(ISNUMBER(B26),CHOOSE(MONTH(B26),"GENNAIO","FEBBRAIO","MARZO","APRILE","MAGGIO","GIUGNO","LUGLIO","AGOSTO","SETTEMBRE","OTTOBRE","NOVEMBRE","DICEMBRE")&amp;" "&amp;YEAR(B26),"")</f>
        <v>AGOSTO 2026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 x14ac:dyDescent="0.2">
      <c r="A26" s="8"/>
      <c r="B26" s="11">
        <v>46235</v>
      </c>
      <c r="C26" s="12">
        <v>3100</v>
      </c>
      <c r="D26" s="12">
        <f>IF(C26="","",C26-IF(C25&lt;&gt;"",C25,IF(C24&lt;&gt;"",C24,IF(C23&lt;&gt;"",C23,0))))</f>
        <v>58</v>
      </c>
      <c r="E26" s="9">
        <v>0.3</v>
      </c>
      <c r="F26" s="9">
        <v>0.8</v>
      </c>
      <c r="G26" s="9">
        <f>IF(AND(E26="",F26=""),"",IF(OR(E26&gt;1,F26&gt;1),(F26-E26)/100,F26-E26))</f>
        <v>0.5</v>
      </c>
      <c r="H26" s="12">
        <f>IF(G26="","",64*G26)</f>
        <v>32</v>
      </c>
      <c r="I26" s="13">
        <v>32</v>
      </c>
      <c r="J26" s="13">
        <f>IFERROR(IF(OR(D26="",D26=0),"",I26/D26*100),"")</f>
        <v>55.172413793103445</v>
      </c>
      <c r="K26" s="14">
        <v>0.2</v>
      </c>
      <c r="L26" s="13">
        <f>IF(I26="","",I26*K26)</f>
        <v>6.4</v>
      </c>
      <c r="M26" s="13">
        <f>IF(B26="","",IFERROR(SUMPRODUCT(ISNUMBER(B$3:B26)*(MONTH(IF(ISNUMBER(B$3:B26),B$3:B26,1))=MONTH(B26))*(YEAR(IF(ISNUMBER(B$3:B26),B$3:B26,1))=YEAR(B26))*IF(ISNUMBER(L$3:L26),L$3:L26,0)),""))</f>
        <v>6.4</v>
      </c>
      <c r="N26" s="10">
        <f>IFERROR(SUMIF(P$3:P26,"CASA",L$3:L26),"")</f>
        <v>97.229199999999992</v>
      </c>
      <c r="O26" s="7"/>
      <c r="P26" s="12" t="str">
        <f>IF(K26=0.2,"CASA","")</f>
        <v>CASA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 customHeight="1" x14ac:dyDescent="0.2">
      <c r="A27" s="5" t="str">
        <f>IF(AND(B27="",ISNUMBER(B28)),CHOOSE(MONTH(B28),"GENNAIO","FEBBRAIO","MARZO","APRILE","MAGGIO","GIUGNO","LUGLIO","AGOSTO","SETTEMBRE","OTTOBRE","NOVEMBRE","DICEMBRE")&amp;" "&amp;YEAR(B28),"")</f>
        <v/>
      </c>
      <c r="B27" s="11"/>
      <c r="C27" s="12"/>
      <c r="D27" s="12" t="str">
        <f>IF(C27="","",C27-IF(C26&lt;&gt;"",C26,IF(C25&lt;&gt;"",C25,IF(C24&lt;&gt;"",C24,0))))</f>
        <v/>
      </c>
      <c r="E27" s="12"/>
      <c r="F27" s="12"/>
      <c r="G27" s="9" t="str">
        <f>IF(AND(E27="",F27=""),"",IF(OR(E27&gt;1,F27&gt;1),(F27-E27)/100,F27-E27))</f>
        <v/>
      </c>
      <c r="H27" s="12" t="str">
        <f>IF(G27="","",64*G27)</f>
        <v/>
      </c>
      <c r="I27" s="13"/>
      <c r="J27" s="13" t="str">
        <f>IFERROR(IF(OR(D27="",D27=0),"",I27/D27*100),"")</f>
        <v/>
      </c>
      <c r="K27" s="14"/>
      <c r="L27" s="13" t="str">
        <f>IF(I27="","",I27*K27)</f>
        <v/>
      </c>
      <c r="M27" s="13" t="str">
        <f>IF(B27="","",IFERROR(SUMPRODUCT(ISNUMBER(B$3:B27)*(MONTH(IF(ISNUMBER(B$3:B27),B$3:B27,1))=MONTH(B27))*(YEAR(IF(ISNUMBER(B$3:B27),B$3:B27,1))=YEAR(B27))*IF(ISNUMBER(L$3:L27),L$3:L27,0)),""))</f>
        <v/>
      </c>
      <c r="N27" s="6"/>
      <c r="O27" s="7" t="str">
        <f>IF(AND(B27="",ISNUMBER(B28)),CHOOSE(MONTH(B28),"GENNAIO","FEBBRAIO","MARZO","APRILE","MAGGIO","GIUGNO","LUGLIO","AGOSTO","SETTEMBRE","OTTOBRE","NOVEMBRE","DICEMBRE")&amp;" "&amp;YEAR(B28),"")</f>
        <v/>
      </c>
      <c r="P27" s="12" t="str">
        <f>IF(K27=0.2,"CASA","")</f>
        <v/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 customHeight="1" x14ac:dyDescent="0.2">
      <c r="A28" s="5" t="str">
        <f>IF(AND(B28="",ISNUMBER(B29)),CHOOSE(MONTH(B29),"GENNAIO","FEBBRAIO","MARZO","APRILE","MAGGIO","GIUGNO","LUGLIO","AGOSTO","SETTEMBRE","OTTOBRE","NOVEMBRE","DICEMBRE")&amp;" "&amp;YEAR(B29),"")</f>
        <v/>
      </c>
      <c r="B28" s="11"/>
      <c r="C28" s="12"/>
      <c r="D28" s="12" t="str">
        <f>IF(C28="","",C28-IF(C27&lt;&gt;"",C27,IF(C26&lt;&gt;"",C26,IF(C25&lt;&gt;"",C25,0))))</f>
        <v/>
      </c>
      <c r="E28" s="12"/>
      <c r="F28" s="12"/>
      <c r="G28" s="9" t="str">
        <f>IF(AND(E28="",F28=""),"",IF(OR(E28&gt;1,F28&gt;1),(F28-E28)/100,F28-E28))</f>
        <v/>
      </c>
      <c r="H28" s="12" t="str">
        <f>IF(G28="","",64*G28)</f>
        <v/>
      </c>
      <c r="I28" s="13"/>
      <c r="J28" s="13" t="str">
        <f>IFERROR(IF(OR(D28="",D28=0),"",I28/D28*100),"")</f>
        <v/>
      </c>
      <c r="K28" s="14"/>
      <c r="L28" s="13" t="str">
        <f>IF(I28="","",I28*K28)</f>
        <v/>
      </c>
      <c r="M28" s="13" t="str">
        <f>IF(B28="","",IFERROR(SUMPRODUCT(ISNUMBER(B$3:B28)*(MONTH(IF(ISNUMBER(B$3:B28),B$3:B28,1))=MONTH(B28))*(YEAR(IF(ISNUMBER(B$3:B28),B$3:B28,1))=YEAR(B28))*IF(ISNUMBER(L$3:L28),L$3:L28,0)),""))</f>
        <v/>
      </c>
      <c r="N28" s="6"/>
      <c r="O28" s="7" t="str">
        <f>IF(AND(B28="",ISNUMBER(B29)),CHOOSE(MONTH(B29),"GENNAIO","FEBBRAIO","MARZO","APRILE","MAGGIO","GIUGNO","LUGLIO","AGOSTO","SETTEMBRE","OTTOBRE","NOVEMBRE","DICEMBRE")&amp;" "&amp;YEAR(B29),"")</f>
        <v/>
      </c>
      <c r="P28" s="12" t="str">
        <f>IF(K28=0.2,"CASA","")</f>
        <v/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customHeight="1" x14ac:dyDescent="0.2">
      <c r="A29" s="5" t="str">
        <f>IF(AND(B29="",ISNUMBER(B30)),CHOOSE(MONTH(B30),"GENNAIO","FEBBRAIO","MARZO","APRILE","MAGGIO","GIUGNO","LUGLIO","AGOSTO","SETTEMBRE","OTTOBRE","NOVEMBRE","DICEMBRE")&amp;" "&amp;YEAR(B30),"")</f>
        <v/>
      </c>
      <c r="B29" s="11"/>
      <c r="C29" s="12">
        <v>3300</v>
      </c>
      <c r="D29" s="12">
        <f>IF(C29="","",C29-IF(C28&lt;&gt;"",C28,IF(C27&lt;&gt;"",C27,IF(C26&lt;&gt;"",C26,0))))</f>
        <v>200</v>
      </c>
      <c r="E29" s="12"/>
      <c r="F29" s="12"/>
      <c r="G29" s="9" t="str">
        <f>IF(AND(E29="",F29=""),"",IF(OR(E29&gt;1,F29&gt;1),(F29-E29)/100,F29-E29))</f>
        <v/>
      </c>
      <c r="H29" s="12" t="str">
        <f>IF(G29="","",64*G29)</f>
        <v/>
      </c>
      <c r="I29" s="13"/>
      <c r="J29" s="13">
        <f>IFERROR(IF(OR(D29="",D29=0),"",I29/D29*100),"")</f>
        <v>0</v>
      </c>
      <c r="K29" s="14"/>
      <c r="L29" s="13" t="str">
        <f>IF(I29="","",I29*K29)</f>
        <v/>
      </c>
      <c r="M29" s="13" t="str">
        <f>IF(B29="","",IFERROR(SUMPRODUCT(ISNUMBER(B$3:B29)*(MONTH(IF(ISNUMBER(B$3:B29),B$3:B29,1))=MONTH(B29))*(YEAR(IF(ISNUMBER(B$3:B29),B$3:B29,1))=YEAR(B29))*IF(ISNUMBER(L$3:L29),L$3:L29,0)),""))</f>
        <v/>
      </c>
      <c r="N29" s="6"/>
      <c r="O29" s="7" t="str">
        <f>IF(AND(B29="",ISNUMBER(B30)),CHOOSE(MONTH(B30),"GENNAIO","FEBBRAIO","MARZO","APRILE","MAGGIO","GIUGNO","LUGLIO","AGOSTO","SETTEMBRE","OTTOBRE","NOVEMBRE","DICEMBRE")&amp;" "&amp;YEAR(B30),"")</f>
        <v/>
      </c>
      <c r="P29" s="12" t="str">
        <f>IF(K29=0.2,"CASA","")</f>
        <v/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customHeight="1" x14ac:dyDescent="0.2">
      <c r="A30" s="5" t="str">
        <f>IF(AND(B30="",ISNUMBER(B31)),CHOOSE(MONTH(B31),"GENNAIO","FEBBRAIO","MARZO","APRILE","MAGGIO","GIUGNO","LUGLIO","AGOSTO","SETTEMBRE","OTTOBRE","NOVEMBRE","DICEMBRE")&amp;" "&amp;YEAR(B31),"")</f>
        <v/>
      </c>
      <c r="B30" s="11"/>
      <c r="C30" s="12"/>
      <c r="D30" s="12" t="str">
        <f>IF(C30="","",C30-IF(C29&lt;&gt;"",C29,IF(C28&lt;&gt;"",C28,IF(C27&lt;&gt;"",C27,0))))</f>
        <v/>
      </c>
      <c r="E30" s="12"/>
      <c r="F30" s="12"/>
      <c r="G30" s="9" t="str">
        <f>IF(AND(E30="",F30=""),"",IF(OR(E30&gt;1,F30&gt;1),(F30-E30)/100,F30-E30))</f>
        <v/>
      </c>
      <c r="H30" s="12" t="str">
        <f>IF(G30="","",64*G30)</f>
        <v/>
      </c>
      <c r="I30" s="13"/>
      <c r="J30" s="13" t="str">
        <f>IFERROR(IF(OR(D30="",D30=0),"",I30/D30*100),"")</f>
        <v/>
      </c>
      <c r="K30" s="14"/>
      <c r="L30" s="13" t="str">
        <f>IF(I30="","",I30*K30)</f>
        <v/>
      </c>
      <c r="M30" s="13" t="str">
        <f>IF(B30="","",IFERROR(SUMPRODUCT(ISNUMBER(B$3:B30)*(MONTH(IF(ISNUMBER(B$3:B30),B$3:B30,1))=MONTH(B30))*(YEAR(IF(ISNUMBER(B$3:B30),B$3:B30,1))=YEAR(B30))*IF(ISNUMBER(L$3:L30),L$3:L30,0)),""))</f>
        <v/>
      </c>
      <c r="N30" s="6"/>
      <c r="O30" s="7" t="str">
        <f>IF(AND(B30="",ISNUMBER(B31)),CHOOSE(MONTH(B31),"GENNAIO","FEBBRAIO","MARZO","APRILE","MAGGIO","GIUGNO","LUGLIO","AGOSTO","SETTEMBRE","OTTOBRE","NOVEMBRE","DICEMBRE")&amp;" "&amp;YEAR(B31),"")</f>
        <v/>
      </c>
      <c r="P30" s="12" t="str">
        <f>IF(K30=0.2,"CASA","")</f>
        <v/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customHeight="1" x14ac:dyDescent="0.2">
      <c r="A31" s="5" t="str">
        <f>IF(AND(B31="",ISNUMBER(B32)),CHOOSE(MONTH(B32),"GENNAIO","FEBBRAIO","MARZO","APRILE","MAGGIO","GIUGNO","LUGLIO","AGOSTO","SETTEMBRE","OTTOBRE","NOVEMBRE","DICEMBRE")&amp;" "&amp;YEAR(B32),"")</f>
        <v/>
      </c>
      <c r="B31" s="11"/>
      <c r="C31" s="12"/>
      <c r="D31" s="12" t="str">
        <f>IF(C31="","",C31-IF(C30&lt;&gt;"",C30,IF(C29&lt;&gt;"",C29,IF(C28&lt;&gt;"",C28,0))))</f>
        <v/>
      </c>
      <c r="E31" s="12"/>
      <c r="F31" s="12"/>
      <c r="G31" s="9" t="str">
        <f>IF(AND(E31="",F31=""),"",IF(OR(E31&gt;1,F31&gt;1),(F31-E31)/100,F31-E31))</f>
        <v/>
      </c>
      <c r="H31" s="12" t="str">
        <f>IF(G31="","",64*G31)</f>
        <v/>
      </c>
      <c r="I31" s="13"/>
      <c r="J31" s="13" t="str">
        <f>IFERROR(IF(OR(D31="",D31=0),"",I31/D31*100),"")</f>
        <v/>
      </c>
      <c r="K31" s="14"/>
      <c r="L31" s="13" t="str">
        <f>IF(I31="","",I31*K31)</f>
        <v/>
      </c>
      <c r="M31" s="13" t="str">
        <f>IF(B31="","",IFERROR(SUMPRODUCT(ISNUMBER(B$3:B31)*(MONTH(IF(ISNUMBER(B$3:B31),B$3:B31,1))=MONTH(B31))*(YEAR(IF(ISNUMBER(B$3:B31),B$3:B31,1))=YEAR(B31))*IF(ISNUMBER(L$3:L31),L$3:L31,0)),""))</f>
        <v/>
      </c>
      <c r="N31" s="6"/>
      <c r="O31" s="7" t="str">
        <f>IF(AND(B31="",ISNUMBER(B32)),CHOOSE(MONTH(B32),"GENNAIO","FEBBRAIO","MARZO","APRILE","MAGGIO","GIUGNO","LUGLIO","AGOSTO","SETTEMBRE","OTTOBRE","NOVEMBRE","DICEMBRE")&amp;" "&amp;YEAR(B32),"")</f>
        <v/>
      </c>
      <c r="P31" s="12" t="str">
        <f>IF(K31=0.2,"CASA","")</f>
        <v/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customHeight="1" x14ac:dyDescent="0.2">
      <c r="A32" s="5" t="str">
        <f>IF(AND(B32="",ISNUMBER(B33)),CHOOSE(MONTH(B33),"GENNAIO","FEBBRAIO","MARZO","APRILE","MAGGIO","GIUGNO","LUGLIO","AGOSTO","SETTEMBRE","OTTOBRE","NOVEMBRE","DICEMBRE")&amp;" "&amp;YEAR(B33),"")</f>
        <v/>
      </c>
      <c r="B32" s="11"/>
      <c r="C32" s="12">
        <v>3300</v>
      </c>
      <c r="D32" s="12">
        <f>IF(C32="","",C32-IF(C31&lt;&gt;"",C31,IF(C30&lt;&gt;"",C30,IF(C29&lt;&gt;"",C29,0))))</f>
        <v>0</v>
      </c>
      <c r="E32" s="12"/>
      <c r="F32" s="12"/>
      <c r="G32" s="9" t="str">
        <f>IF(AND(E32="",F32=""),"",IF(OR(E32&gt;1,F32&gt;1),(F32-E32)/100,F32-E32))</f>
        <v/>
      </c>
      <c r="H32" s="12" t="str">
        <f>IF(G32="","",64*G32)</f>
        <v/>
      </c>
      <c r="I32" s="13"/>
      <c r="J32" s="13" t="str">
        <f>IFERROR(IF(OR(D32="",D32=0),"",I32/D32*100),"")</f>
        <v/>
      </c>
      <c r="K32" s="14"/>
      <c r="L32" s="13" t="str">
        <f>IF(I32="","",I32*K32)</f>
        <v/>
      </c>
      <c r="M32" s="13" t="str">
        <f>IF(B32="","",IFERROR(SUMPRODUCT(ISNUMBER(B$3:B32)*(MONTH(IF(ISNUMBER(B$3:B32),B$3:B32,1))=MONTH(B32))*(YEAR(IF(ISNUMBER(B$3:B32),B$3:B32,1))=YEAR(B32))*IF(ISNUMBER(L$3:L32),L$3:L32,0)),""))</f>
        <v/>
      </c>
      <c r="N32" s="6"/>
      <c r="O32" s="7" t="str">
        <f>IF(AND(B32="",ISNUMBER(B33)),CHOOSE(MONTH(B33),"GENNAIO","FEBBRAIO","MARZO","APRILE","MAGGIO","GIUGNO","LUGLIO","AGOSTO","SETTEMBRE","OTTOBRE","NOVEMBRE","DICEMBRE")&amp;" "&amp;YEAR(B33),"")</f>
        <v/>
      </c>
      <c r="P32" s="12" t="str">
        <f>IF(K32=0.2,"CASA","")</f>
        <v/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customHeight="1" x14ac:dyDescent="0.2">
      <c r="A33" s="5" t="str">
        <f>IF(AND(B33="",ISNUMBER(B34)),CHOOSE(MONTH(B34),"GENNAIO","FEBBRAIO","MARZO","APRILE","MAGGIO","GIUGNO","LUGLIO","AGOSTO","SETTEMBRE","OTTOBRE","NOVEMBRE","DICEMBRE")&amp;" "&amp;YEAR(B34),"")</f>
        <v>DICEMBRE 2026</v>
      </c>
      <c r="B33" s="11"/>
      <c r="C33" s="12"/>
      <c r="D33" s="12" t="str">
        <f>IF(C33="","",C33-IF(C32&lt;&gt;"",C32,IF(C31&lt;&gt;"",C31,IF(C30&lt;&gt;"",C30,0))))</f>
        <v/>
      </c>
      <c r="E33" s="12"/>
      <c r="F33" s="12"/>
      <c r="G33" s="9" t="str">
        <f>IF(AND(E33="",F33=""),"",IF(OR(E33&gt;1,F33&gt;1),(F33-E33)/100,F33-E33))</f>
        <v/>
      </c>
      <c r="H33" s="12" t="str">
        <f>IF(G33="","",64*G33)</f>
        <v/>
      </c>
      <c r="I33" s="13"/>
      <c r="J33" s="13" t="str">
        <f>IFERROR(IF(OR(D33="",D33=0),"",I33/D33*100),"")</f>
        <v/>
      </c>
      <c r="K33" s="14"/>
      <c r="L33" s="13" t="str">
        <f>IF(I33="","",I33*K33)</f>
        <v/>
      </c>
      <c r="M33" s="13" t="str">
        <f>IF(B33="","",IFERROR(SUMPRODUCT(ISNUMBER(B$3:B33)*(MONTH(IF(ISNUMBER(B$3:B33),B$3:B33,1))=MONTH(B33))*(YEAR(IF(ISNUMBER(B$3:B33),B$3:B33,1))=YEAR(B33))*IF(ISNUMBER(L$3:L33),L$3:L33,0)),""))</f>
        <v/>
      </c>
      <c r="N33" s="6"/>
      <c r="O33" s="7" t="str">
        <f>IF(AND(B33="",ISNUMBER(B34)),CHOOSE(MONTH(B34),"GENNAIO","FEBBRAIO","MARZO","APRILE","MAGGIO","GIUGNO","LUGLIO","AGOSTO","SETTEMBRE","OTTOBRE","NOVEMBRE","DICEMBRE")&amp;" "&amp;YEAR(B34),"")</f>
        <v>DICEMBRE 2026</v>
      </c>
      <c r="P33" s="12" t="str">
        <f>IF(K33=0.2,"CASA","")</f>
        <v/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customHeight="1" x14ac:dyDescent="0.2">
      <c r="A34" s="5" t="str">
        <f>IF(AND(B34="",ISNUMBER(B35)),CHOOSE(MONTH(B35),"GENNAIO","FEBBRAIO","MARZO","APRILE","MAGGIO","GIUGNO","LUGLIO","AGOSTO","SETTEMBRE","OTTOBRE","NOVEMBRE","DICEMBRE")&amp;" "&amp;YEAR(B35),"")</f>
        <v/>
      </c>
      <c r="B34" s="11">
        <v>46366</v>
      </c>
      <c r="C34" s="12">
        <v>3300</v>
      </c>
      <c r="D34" s="12">
        <f>IF(C34="","",C34-IF(C33&lt;&gt;"",C33,IF(C32&lt;&gt;"",C32,IF(C31&lt;&gt;"",C31,0))))</f>
        <v>0</v>
      </c>
      <c r="E34" s="12">
        <v>20</v>
      </c>
      <c r="F34" s="12">
        <v>40</v>
      </c>
      <c r="G34" s="9">
        <f>IF(AND(E34="",F34=""),"",IF(OR(E34&gt;1,F34&gt;1),(F34-E34)/100,F34-E34))</f>
        <v>0.2</v>
      </c>
      <c r="H34" s="12">
        <f>IF(G34="","",64*G34)</f>
        <v>12.8</v>
      </c>
      <c r="I34" s="13">
        <v>12</v>
      </c>
      <c r="J34" s="13" t="str">
        <f>IFERROR(IF(OR(D34="",D34=0),"",I34/D34*100),"")</f>
        <v/>
      </c>
      <c r="K34" s="14">
        <v>0.2</v>
      </c>
      <c r="L34" s="13">
        <f>IF(I34="","",I34*K34)</f>
        <v>2.4000000000000004</v>
      </c>
      <c r="M34" s="13" t="str">
        <f>IF(B34="","",IFERROR(SUMPRODUCT(ISNUMBER(B$3:B34)*(MONTH(IF(ISNUMBER(B$3:B34),B$3:B34,1))=MONTH(B34))*(YEAR(IF(ISNUMBER(B$3:B34),B$3:B34,1))=YEAR(B34))*IF(ISNUMBER(L$3:L34),L$3:L34,0)),""))</f>
        <v/>
      </c>
      <c r="N34" s="10">
        <f>IFERROR(SUMIF(P$3:P34,"CASA",L$3:L34),"")</f>
        <v>99.629199999999997</v>
      </c>
      <c r="O34" s="7" t="str">
        <f>IF(AND(B34="",ISNUMBER(B35)),CHOOSE(MONTH(B35),"GENNAIO","FEBBRAIO","MARZO","APRILE","MAGGIO","GIUGNO","LUGLIO","AGOSTO","SETTEMBRE","OTTOBRE","NOVEMBRE","DICEMBRE")&amp;" "&amp;YEAR(B35),"")</f>
        <v/>
      </c>
      <c r="P34" s="12" t="str">
        <f>IF(K34=0.2,"CASA","")</f>
        <v>CASA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customHeight="1" x14ac:dyDescent="0.2">
      <c r="A35" s="5" t="str">
        <f>IF(AND(B35="",ISNUMBER(B36)),CHOOSE(MONTH(B36),"GENNAIO","FEBBRAIO","MARZO","APRILE","MAGGIO","GIUGNO","LUGLIO","AGOSTO","SETTEMBRE","OTTOBRE","NOVEMBRE","DICEMBRE")&amp;" "&amp;YEAR(B36),"")</f>
        <v/>
      </c>
      <c r="B35" s="11"/>
      <c r="C35" s="12"/>
      <c r="D35" s="12" t="str">
        <f>IF(C35="","",C35-IF(C34&lt;&gt;"",C34,IF(C33&lt;&gt;"",C33,IF(C32&lt;&gt;"",C32,0))))</f>
        <v/>
      </c>
      <c r="E35" s="12"/>
      <c r="F35" s="12"/>
      <c r="G35" s="9" t="str">
        <f>IF(AND(E35="",F35=""),"",IF(OR(E35&gt;1,F35&gt;1),(F35-E35)/100,F35-E35))</f>
        <v/>
      </c>
      <c r="H35" s="12" t="str">
        <f>IF(G35="","",64*G35)</f>
        <v/>
      </c>
      <c r="I35" s="13"/>
      <c r="J35" s="13" t="str">
        <f>IFERROR(IF(OR(D35="",D35=0),"",I35/D35*100),"")</f>
        <v/>
      </c>
      <c r="K35" s="14"/>
      <c r="L35" s="13" t="str">
        <f>IF(I35="","",I35*K35)</f>
        <v/>
      </c>
      <c r="M35" s="13" t="str">
        <f>IF(B35="","",IFERROR(SUMPRODUCT(ISNUMBER(B$3:B35)*(MONTH(IF(ISNUMBER(B$3:B35),B$3:B35,1))=MONTH(B35))*(YEAR(IF(ISNUMBER(B$3:B35),B$3:B35,1))=YEAR(B35))*IF(ISNUMBER(L$3:L35),L$3:L35,0)),""))</f>
        <v/>
      </c>
      <c r="N35" s="6"/>
      <c r="O35" s="7" t="str">
        <f>IF(AND(B35="",ISNUMBER(B36)),CHOOSE(MONTH(B36),"GENNAIO","FEBBRAIO","MARZO","APRILE","MAGGIO","GIUGNO","LUGLIO","AGOSTO","SETTEMBRE","OTTOBRE","NOVEMBRE","DICEMBRE")&amp;" "&amp;YEAR(B36),"")</f>
        <v/>
      </c>
      <c r="P35" s="12" t="str">
        <f>IF(K35=0.2,"CASA","")</f>
        <v/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customHeight="1" x14ac:dyDescent="0.2">
      <c r="A36" s="5" t="str">
        <f>IF(AND(B36="",ISNUMBER(B37)),CHOOSE(MONTH(B37),"GENNAIO","FEBBRAIO","MARZO","APRILE","MAGGIO","GIUGNO","LUGLIO","AGOSTO","SETTEMBRE","OTTOBRE","NOVEMBRE","DICEMBRE")&amp;" "&amp;YEAR(B37),"")</f>
        <v>AGOSTO 2026</v>
      </c>
      <c r="B36" s="11"/>
      <c r="C36" s="12"/>
      <c r="D36" s="12" t="str">
        <f>IF(C36="","",C36-IF(C35&lt;&gt;"",C35,IF(C34&lt;&gt;"",C34,IF(C33&lt;&gt;"",C33,0))))</f>
        <v/>
      </c>
      <c r="E36" s="12"/>
      <c r="F36" s="12"/>
      <c r="G36" s="9" t="str">
        <f>IF(AND(E36="",F36=""),"",IF(OR(E36&gt;1,F36&gt;1),(F36-E36)/100,F36-E36))</f>
        <v/>
      </c>
      <c r="H36" s="12" t="str">
        <f>IF(G36="","",64*G36)</f>
        <v/>
      </c>
      <c r="I36" s="13"/>
      <c r="J36" s="13" t="str">
        <f>IFERROR(IF(OR(D36="",D36=0),"",I36/D36*100),"")</f>
        <v/>
      </c>
      <c r="K36" s="14"/>
      <c r="L36" s="13" t="str">
        <f>IF(I36="","",I36*K36)</f>
        <v/>
      </c>
      <c r="M36" s="13" t="str">
        <f>IF(B36="","",IFERROR(SUMPRODUCT(ISNUMBER(B$3:B36)*(MONTH(IF(ISNUMBER(B$3:B36),B$3:B36,1))=MONTH(B36))*(YEAR(IF(ISNUMBER(B$3:B36),B$3:B36,1))=YEAR(B36))*IF(ISNUMBER(L$3:L36),L$3:L36,0)),""))</f>
        <v/>
      </c>
      <c r="N36" s="6"/>
      <c r="O36" s="7" t="str">
        <f>IF(AND(B36="",ISNUMBER(B37)),CHOOSE(MONTH(B37),"GENNAIO","FEBBRAIO","MARZO","APRILE","MAGGIO","GIUGNO","LUGLIO","AGOSTO","SETTEMBRE","OTTOBRE","NOVEMBRE","DICEMBRE")&amp;" "&amp;YEAR(B37),"")</f>
        <v>AGOSTO 2026</v>
      </c>
      <c r="P36" s="12" t="str">
        <f>IF(K36=0.2,"CASA","")</f>
        <v/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customHeight="1" x14ac:dyDescent="0.2">
      <c r="A37" s="5" t="str">
        <f>IF(AND(B37="",ISNUMBER(B38)),CHOOSE(MONTH(B38),"GENNAIO","FEBBRAIO","MARZO","APRILE","MAGGIO","GIUGNO","LUGLIO","AGOSTO","SETTEMBRE","OTTOBRE","NOVEMBRE","DICEMBRE")&amp;" "&amp;YEAR(B38),"")</f>
        <v/>
      </c>
      <c r="B37" s="11">
        <v>46246</v>
      </c>
      <c r="C37" s="12">
        <v>4000</v>
      </c>
      <c r="D37" s="12">
        <f>IF(C37="","",C37-IF(C36&lt;&gt;"",C36,IF(C35&lt;&gt;"",C35,IF(C34&lt;&gt;"",C34,0))))</f>
        <v>700</v>
      </c>
      <c r="E37" s="12">
        <v>20</v>
      </c>
      <c r="F37" s="12">
        <v>40</v>
      </c>
      <c r="G37" s="9">
        <f>IF(AND(E37="",F37=""),"",IF(OR(E37&gt;1,F37&gt;1),(F37-E37)/100,F37-E37))</f>
        <v>0.2</v>
      </c>
      <c r="H37" s="12">
        <f>IF(G37="","",64*G37)</f>
        <v>12.8</v>
      </c>
      <c r="I37" s="13">
        <v>12</v>
      </c>
      <c r="J37" s="13">
        <f>IFERROR(IF(OR(D37="",D37=0),"",I37/D37*100),"")</f>
        <v>1.7142857142857144</v>
      </c>
      <c r="K37" s="14">
        <v>0.2</v>
      </c>
      <c r="L37" s="13">
        <f>IF(I37="","",I37*K37)</f>
        <v>2.4000000000000004</v>
      </c>
      <c r="M37" s="13" t="str">
        <f>IF(B37="","",IFERROR(SUMPRODUCT(ISNUMBER(B$3:B37)*(MONTH(IF(ISNUMBER(B$3:B37),B$3:B37,1))=MONTH(B37))*(YEAR(IF(ISNUMBER(B$3:B37),B$3:B37,1))=YEAR(B37))*IF(ISNUMBER(L$3:L37),L$3:L37,0)),""))</f>
        <v/>
      </c>
      <c r="N37" s="6"/>
      <c r="O37" s="7" t="str">
        <f>IF(AND(B37="",ISNUMBER(B38)),CHOOSE(MONTH(B38),"GENNAIO","FEBBRAIO","MARZO","APRILE","MAGGIO","GIUGNO","LUGLIO","AGOSTO","SETTEMBRE","OTTOBRE","NOVEMBRE","DICEMBRE")&amp;" "&amp;YEAR(B38),"")</f>
        <v/>
      </c>
      <c r="P37" s="12" t="str">
        <f>IF(K37=0.2,"CASA","")</f>
        <v>CASA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customHeight="1" x14ac:dyDescent="0.2">
      <c r="A38" s="5" t="str">
        <f>IF(AND(B38="",ISNUMBER(B39)),CHOOSE(MONTH(B39),"GENNAIO","FEBBRAIO","MARZO","APRILE","MAGGIO","GIUGNO","LUGLIO","AGOSTO","SETTEMBRE","OTTOBRE","NOVEMBRE","DICEMBRE")&amp;" "&amp;YEAR(B39),"")</f>
        <v/>
      </c>
      <c r="B38" s="11"/>
      <c r="C38" s="12"/>
      <c r="D38" s="12" t="str">
        <f>IF(C38="","",C38-IF(C37&lt;&gt;"",C37,IF(C36&lt;&gt;"",C36,IF(C35&lt;&gt;"",C35,0))))</f>
        <v/>
      </c>
      <c r="E38" s="12"/>
      <c r="F38" s="12"/>
      <c r="G38" s="9" t="str">
        <f>IF(AND(E38="",F38=""),"",IF(OR(E38&gt;1,F38&gt;1),(F38-E38)/100,F38-E38))</f>
        <v/>
      </c>
      <c r="H38" s="12" t="str">
        <f>IF(G38="","",64*G38)</f>
        <v/>
      </c>
      <c r="I38" s="13"/>
      <c r="J38" s="13" t="str">
        <f>IFERROR(IF(OR(D38="",D38=0),"",I38/D38*100),"")</f>
        <v/>
      </c>
      <c r="K38" s="14"/>
      <c r="L38" s="13" t="str">
        <f>IF(I38="","",I38*K38)</f>
        <v/>
      </c>
      <c r="M38" s="13" t="str">
        <f>IF(B38="","",IFERROR(SUMPRODUCT(ISNUMBER(B$3:B38)*(MONTH(IF(ISNUMBER(B$3:B38),B$3:B38,1))=MONTH(B38))*(YEAR(IF(ISNUMBER(B$3:B38),B$3:B38,1))=YEAR(B38))*IF(ISNUMBER(L$3:L38),L$3:L38,0)),""))</f>
        <v/>
      </c>
      <c r="N38" s="6"/>
      <c r="O38" s="7" t="str">
        <f>IF(AND(B38="",ISNUMBER(B39)),CHOOSE(MONTH(B39),"GENNAIO","FEBBRAIO","MARZO","APRILE","MAGGIO","GIUGNO","LUGLIO","AGOSTO","SETTEMBRE","OTTOBRE","NOVEMBRE","DICEMBRE")&amp;" "&amp;YEAR(B39),"")</f>
        <v/>
      </c>
      <c r="P38" s="12" t="str">
        <f>IF(K38=0.2,"CASA","")</f>
        <v/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customHeight="1" x14ac:dyDescent="0.2">
      <c r="A39" s="5" t="str">
        <f>IF(AND(B39="",ISNUMBER(B40)),CHOOSE(MONTH(B40),"GENNAIO","FEBBRAIO","MARZO","APRILE","MAGGIO","GIUGNO","LUGLIO","AGOSTO","SETTEMBRE","OTTOBRE","NOVEMBRE","DICEMBRE")&amp;" "&amp;YEAR(B40),"")</f>
        <v/>
      </c>
      <c r="B39" s="11"/>
      <c r="C39" s="12"/>
      <c r="D39" s="12" t="str">
        <f>IF(C39="","",C39-IF(C38&lt;&gt;"",C38,IF(C37&lt;&gt;"",C37,IF(C36&lt;&gt;"",C36,0))))</f>
        <v/>
      </c>
      <c r="E39" s="12"/>
      <c r="F39" s="12"/>
      <c r="G39" s="9" t="str">
        <f>IF(AND(E39="",F39=""),"",IF(OR(E39&gt;1,F39&gt;1),(F39-E39)/100,F39-E39))</f>
        <v/>
      </c>
      <c r="H39" s="12" t="str">
        <f>IF(G39="","",64*G39)</f>
        <v/>
      </c>
      <c r="I39" s="13"/>
      <c r="J39" s="13" t="str">
        <f>IFERROR(IF(OR(D39="",D39=0),"",I39/D39*100),"")</f>
        <v/>
      </c>
      <c r="K39" s="14"/>
      <c r="L39" s="13" t="str">
        <f>IF(I39="","",I39*K39)</f>
        <v/>
      </c>
      <c r="M39" s="13" t="str">
        <f>IF(B39="","",IFERROR(SUMPRODUCT(ISNUMBER(B$3:B39)*(MONTH(IF(ISNUMBER(B$3:B39),B$3:B39,1))=MONTH(B39))*(YEAR(IF(ISNUMBER(B$3:B39),B$3:B39,1))=YEAR(B39))*IF(ISNUMBER(L$3:L39),L$3:L39,0)),""))</f>
        <v/>
      </c>
      <c r="N39" s="6"/>
      <c r="O39" s="7" t="str">
        <f>IF(AND(B39="",ISNUMBER(B40)),CHOOSE(MONTH(B40),"GENNAIO","FEBBRAIO","MARZO","APRILE","MAGGIO","GIUGNO","LUGLIO","AGOSTO","SETTEMBRE","OTTOBRE","NOVEMBRE","DICEMBRE")&amp;" "&amp;YEAR(B40),"")</f>
        <v/>
      </c>
      <c r="P39" s="12" t="str">
        <f>IF(K39=0.2,"CASA","")</f>
        <v/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customHeight="1" x14ac:dyDescent="0.2">
      <c r="A40" s="5" t="str">
        <f>IF(AND(B40="",ISNUMBER(B41)),CHOOSE(MONTH(B41),"GENNAIO","FEBBRAIO","MARZO","APRILE","MAGGIO","GIUGNO","LUGLIO","AGOSTO","SETTEMBRE","OTTOBRE","NOVEMBRE","DICEMBRE")&amp;" "&amp;YEAR(B41),"")</f>
        <v/>
      </c>
      <c r="B40" s="11"/>
      <c r="C40" s="12"/>
      <c r="D40" s="12" t="str">
        <f>IF(C40="","",C40-IF(C39&lt;&gt;"",C39,IF(C38&lt;&gt;"",C38,IF(C37&lt;&gt;"",C37,0))))</f>
        <v/>
      </c>
      <c r="E40" s="12"/>
      <c r="F40" s="12"/>
      <c r="G40" s="9" t="str">
        <f>IF(AND(E40="",F40=""),"",IF(OR(E40&gt;1,F40&gt;1),(F40-E40)/100,F40-E40))</f>
        <v/>
      </c>
      <c r="H40" s="12" t="str">
        <f>IF(G40="","",64*G40)</f>
        <v/>
      </c>
      <c r="I40" s="13"/>
      <c r="J40" s="13" t="str">
        <f>IFERROR(IF(OR(D40="",D40=0),"",I40/D40*100),"")</f>
        <v/>
      </c>
      <c r="K40" s="14"/>
      <c r="L40" s="13" t="str">
        <f>IF(I40="","",I40*K40)</f>
        <v/>
      </c>
      <c r="M40" s="13" t="str">
        <f>IF(B40="","",IFERROR(SUMPRODUCT(ISNUMBER(B$3:B40)*(MONTH(IF(ISNUMBER(B$3:B40),B$3:B40,1))=MONTH(B40))*(YEAR(IF(ISNUMBER(B$3:B40),B$3:B40,1))=YEAR(B40))*IF(ISNUMBER(L$3:L40),L$3:L40,0)),""))</f>
        <v/>
      </c>
      <c r="N40" s="6"/>
      <c r="O40" s="7" t="str">
        <f>IF(AND(B40="",ISNUMBER(B41)),CHOOSE(MONTH(B41),"GENNAIO","FEBBRAIO","MARZO","APRILE","MAGGIO","GIUGNO","LUGLIO","AGOSTO","SETTEMBRE","OTTOBRE","NOVEMBRE","DICEMBRE")&amp;" "&amp;YEAR(B41),"")</f>
        <v/>
      </c>
      <c r="P40" s="12" t="str">
        <f>IF(K40=0.2,"CASA","")</f>
        <v/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customHeight="1" x14ac:dyDescent="0.2">
      <c r="A41" s="5" t="str">
        <f>IF(AND(B41="",ISNUMBER(B42)),CHOOSE(MONTH(B42),"GENNAIO","FEBBRAIO","MARZO","APRILE","MAGGIO","GIUGNO","LUGLIO","AGOSTO","SETTEMBRE","OTTOBRE","NOVEMBRE","DICEMBRE")&amp;" "&amp;YEAR(B42),"")</f>
        <v/>
      </c>
      <c r="B41" s="11"/>
      <c r="C41" s="12"/>
      <c r="D41" s="12" t="str">
        <f>IF(C41="","",C41-IF(C40&lt;&gt;"",C40,IF(C39&lt;&gt;"",C39,IF(C38&lt;&gt;"",C38,0))))</f>
        <v/>
      </c>
      <c r="E41" s="12"/>
      <c r="F41" s="12"/>
      <c r="G41" s="9" t="str">
        <f>IF(AND(E41="",F41=""),"",IF(OR(E41&gt;1,F41&gt;1),(F41-E41)/100,F41-E41))</f>
        <v/>
      </c>
      <c r="H41" s="12" t="str">
        <f>IF(G41="","",64*G41)</f>
        <v/>
      </c>
      <c r="I41" s="13"/>
      <c r="J41" s="13" t="str">
        <f>IFERROR(IF(OR(D41="",D41=0),"",I41/D41*100),"")</f>
        <v/>
      </c>
      <c r="K41" s="14"/>
      <c r="L41" s="13" t="str">
        <f>IF(I41="","",I41*K41)</f>
        <v/>
      </c>
      <c r="M41" s="13" t="str">
        <f>IF(B41="","",IFERROR(SUMPRODUCT(ISNUMBER(B$3:B41)*(MONTH(IF(ISNUMBER(B$3:B41),B$3:B41,1))=MONTH(B41))*(YEAR(IF(ISNUMBER(B$3:B41),B$3:B41,1))=YEAR(B41))*IF(ISNUMBER(L$3:L41),L$3:L41,0)),""))</f>
        <v/>
      </c>
      <c r="N41" s="6"/>
      <c r="O41" s="7" t="str">
        <f>IF(AND(B41="",ISNUMBER(B42)),CHOOSE(MONTH(B42),"GENNAIO","FEBBRAIO","MARZO","APRILE","MAGGIO","GIUGNO","LUGLIO","AGOSTO","SETTEMBRE","OTTOBRE","NOVEMBRE","DICEMBRE")&amp;" "&amp;YEAR(B42),"")</f>
        <v/>
      </c>
      <c r="P41" s="12" t="str">
        <f>IF(K41=0.2,"CASA","")</f>
        <v/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customHeight="1" x14ac:dyDescent="0.2">
      <c r="A42" s="5" t="str">
        <f>IF(AND(B42="",ISNUMBER(B43)),CHOOSE(MONTH(B43),"GENNAIO","FEBBRAIO","MARZO","APRILE","MAGGIO","GIUGNO","LUGLIO","AGOSTO","SETTEMBRE","OTTOBRE","NOVEMBRE","DICEMBRE")&amp;" "&amp;YEAR(B43),"")</f>
        <v/>
      </c>
      <c r="B42" s="11"/>
      <c r="C42" s="12"/>
      <c r="D42" s="12" t="str">
        <f>IF(C42="","",C42-IF(C41&lt;&gt;"",C41,IF(C40&lt;&gt;"",C40,IF(C39&lt;&gt;"",C39,0))))</f>
        <v/>
      </c>
      <c r="E42" s="12"/>
      <c r="F42" s="12"/>
      <c r="G42" s="9" t="str">
        <f>IF(AND(E42="",F42=""),"",IF(OR(E42&gt;1,F42&gt;1),(F42-E42)/100,F42-E42))</f>
        <v/>
      </c>
      <c r="H42" s="12" t="str">
        <f>IF(G42="","",64*G42)</f>
        <v/>
      </c>
      <c r="I42" s="13"/>
      <c r="J42" s="13" t="str">
        <f>IFERROR(IF(OR(D42="",D42=0),"",I42/D42*100),"")</f>
        <v/>
      </c>
      <c r="K42" s="14"/>
      <c r="L42" s="13" t="str">
        <f>IF(I42="","",I42*K42)</f>
        <v/>
      </c>
      <c r="M42" s="13" t="str">
        <f>IF(B42="","",IFERROR(SUMPRODUCT(ISNUMBER(B$3:B42)*(MONTH(IF(ISNUMBER(B$3:B42),B$3:B42,1))=MONTH(B42))*(YEAR(IF(ISNUMBER(B$3:B42),B$3:B42,1))=YEAR(B42))*IF(ISNUMBER(L$3:L42),L$3:L42,0)),""))</f>
        <v/>
      </c>
      <c r="N42" s="6"/>
      <c r="O42" s="7" t="str">
        <f>IF(AND(B42="",ISNUMBER(B43)),CHOOSE(MONTH(B43),"GENNAIO","FEBBRAIO","MARZO","APRILE","MAGGIO","GIUGNO","LUGLIO","AGOSTO","SETTEMBRE","OTTOBRE","NOVEMBRE","DICEMBRE")&amp;" "&amp;YEAR(B43),"")</f>
        <v/>
      </c>
      <c r="P42" s="12" t="str">
        <f>IF(K42=0.2,"CASA","")</f>
        <v/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customHeight="1" x14ac:dyDescent="0.2">
      <c r="A43" s="5" t="str">
        <f>IF(AND(B43="",ISNUMBER(B44)),CHOOSE(MONTH(B44),"GENNAIO","FEBBRAIO","MARZO","APRILE","MAGGIO","GIUGNO","LUGLIO","AGOSTO","SETTEMBRE","OTTOBRE","NOVEMBRE","DICEMBRE")&amp;" "&amp;YEAR(B44),"")</f>
        <v/>
      </c>
      <c r="B43" s="11"/>
      <c r="C43" s="12"/>
      <c r="D43" s="12" t="str">
        <f>IF(C43="","",C43-IF(C42&lt;&gt;"",C42,IF(C41&lt;&gt;"",C41,IF(C40&lt;&gt;"",C40,0))))</f>
        <v/>
      </c>
      <c r="E43" s="12"/>
      <c r="F43" s="12"/>
      <c r="G43" s="9" t="str">
        <f>IF(AND(E43="",F43=""),"",IF(OR(E43&gt;1,F43&gt;1),(F43-E43)/100,F43-E43))</f>
        <v/>
      </c>
      <c r="H43" s="12" t="str">
        <f>IF(G43="","",64*G43)</f>
        <v/>
      </c>
      <c r="I43" s="13"/>
      <c r="J43" s="13" t="str">
        <f>IFERROR(IF(OR(D43="",D43=0),"",I43/D43*100),"")</f>
        <v/>
      </c>
      <c r="K43" s="14"/>
      <c r="L43" s="13" t="str">
        <f>IF(I43="","",I43*K43)</f>
        <v/>
      </c>
      <c r="M43" s="13" t="str">
        <f>IF(B43="","",IFERROR(SUMPRODUCT(ISNUMBER(B$3:B43)*(MONTH(IF(ISNUMBER(B$3:B43),B$3:B43,1))=MONTH(B43))*(YEAR(IF(ISNUMBER(B$3:B43),B$3:B43,1))=YEAR(B43))*IF(ISNUMBER(L$3:L43),L$3:L43,0)),""))</f>
        <v/>
      </c>
      <c r="N43" s="6"/>
      <c r="O43" s="7" t="str">
        <f>IF(AND(B43="",ISNUMBER(B44)),CHOOSE(MONTH(B44),"GENNAIO","FEBBRAIO","MARZO","APRILE","MAGGIO","GIUGNO","LUGLIO","AGOSTO","SETTEMBRE","OTTOBRE","NOVEMBRE","DICEMBRE")&amp;" "&amp;YEAR(B44),"")</f>
        <v/>
      </c>
      <c r="P43" s="12" t="str">
        <f>IF(K43=0.2,"CASA","")</f>
        <v/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customHeight="1" x14ac:dyDescent="0.2">
      <c r="A44" s="5" t="str">
        <f>IF(AND(B44="",ISNUMBER(B45)),CHOOSE(MONTH(B45),"GENNAIO","FEBBRAIO","MARZO","APRILE","MAGGIO","GIUGNO","LUGLIO","AGOSTO","SETTEMBRE","OTTOBRE","NOVEMBRE","DICEMBRE")&amp;" "&amp;YEAR(B45),"")</f>
        <v/>
      </c>
      <c r="B44" s="11"/>
      <c r="C44" s="12"/>
      <c r="D44" s="12" t="str">
        <f>IF(C44="","",C44-IF(C43&lt;&gt;"",C43,IF(C42&lt;&gt;"",C42,IF(C41&lt;&gt;"",C41,0))))</f>
        <v/>
      </c>
      <c r="E44" s="12"/>
      <c r="F44" s="12"/>
      <c r="G44" s="9" t="str">
        <f>IF(AND(E44="",F44=""),"",IF(OR(E44&gt;1,F44&gt;1),(F44-E44)/100,F44-E44))</f>
        <v/>
      </c>
      <c r="H44" s="12" t="str">
        <f>IF(G44="","",64*G44)</f>
        <v/>
      </c>
      <c r="I44" s="13"/>
      <c r="J44" s="13" t="str">
        <f>IFERROR(IF(OR(D44="",D44=0),"",I44/D44*100),"")</f>
        <v/>
      </c>
      <c r="K44" s="14"/>
      <c r="L44" s="13" t="str">
        <f>IF(I44="","",I44*K44)</f>
        <v/>
      </c>
      <c r="M44" s="13" t="str">
        <f>IF(B44="","",IFERROR(SUMPRODUCT(ISNUMBER(B$3:B44)*(MONTH(IF(ISNUMBER(B$3:B44),B$3:B44,1))=MONTH(B44))*(YEAR(IF(ISNUMBER(B$3:B44),B$3:B44,1))=YEAR(B44))*IF(ISNUMBER(L$3:L44),L$3:L44,0)),""))</f>
        <v/>
      </c>
      <c r="N44" s="6"/>
      <c r="O44" s="7" t="str">
        <f>IF(AND(B44="",ISNUMBER(B45)),CHOOSE(MONTH(B45),"GENNAIO","FEBBRAIO","MARZO","APRILE","MAGGIO","GIUGNO","LUGLIO","AGOSTO","SETTEMBRE","OTTOBRE","NOVEMBRE","DICEMBRE")&amp;" "&amp;YEAR(B45),"")</f>
        <v/>
      </c>
      <c r="P44" s="12" t="str">
        <f>IF(K44=0.2,"CASA","")</f>
        <v/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customHeight="1" x14ac:dyDescent="0.2">
      <c r="A45" s="5" t="str">
        <f>IF(AND(B45="",ISNUMBER(B46)),CHOOSE(MONTH(B46),"GENNAIO","FEBBRAIO","MARZO","APRILE","MAGGIO","GIUGNO","LUGLIO","AGOSTO","SETTEMBRE","OTTOBRE","NOVEMBRE","DICEMBRE")&amp;" "&amp;YEAR(B46),"")</f>
        <v/>
      </c>
      <c r="B45" s="11"/>
      <c r="C45" s="12"/>
      <c r="D45" s="12" t="str">
        <f>IF(C45="","",C45-IF(C44&lt;&gt;"",C44,IF(C43&lt;&gt;"",C43,IF(C42&lt;&gt;"",C42,0))))</f>
        <v/>
      </c>
      <c r="E45" s="12"/>
      <c r="F45" s="12"/>
      <c r="G45" s="9" t="str">
        <f>IF(AND(E45="",F45=""),"",IF(OR(E45&gt;1,F45&gt;1),(F45-E45)/100,F45-E45))</f>
        <v/>
      </c>
      <c r="H45" s="12" t="str">
        <f>IF(G45="","",64*G45)</f>
        <v/>
      </c>
      <c r="I45" s="13"/>
      <c r="J45" s="13" t="str">
        <f>IFERROR(IF(OR(D45="",D45=0),"",I45/D45*100),"")</f>
        <v/>
      </c>
      <c r="K45" s="14"/>
      <c r="L45" s="13" t="str">
        <f>IF(I45="","",I45*K45)</f>
        <v/>
      </c>
      <c r="M45" s="13" t="str">
        <f>IF(B45="","",IFERROR(SUMPRODUCT(ISNUMBER(B$3:B45)*(MONTH(IF(ISNUMBER(B$3:B45),B$3:B45,1))=MONTH(B45))*(YEAR(IF(ISNUMBER(B$3:B45),B$3:B45,1))=YEAR(B45))*IF(ISNUMBER(L$3:L45),L$3:L45,0)),""))</f>
        <v/>
      </c>
      <c r="N45" s="6"/>
      <c r="O45" s="7" t="str">
        <f>IF(AND(B45="",ISNUMBER(B46)),CHOOSE(MONTH(B46),"GENNAIO","FEBBRAIO","MARZO","APRILE","MAGGIO","GIUGNO","LUGLIO","AGOSTO","SETTEMBRE","OTTOBRE","NOVEMBRE","DICEMBRE")&amp;" "&amp;YEAR(B46),"")</f>
        <v/>
      </c>
      <c r="P45" s="12" t="str">
        <f>IF(K45=0.2,"CASA","")</f>
        <v/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customHeight="1" x14ac:dyDescent="0.2">
      <c r="A46" s="5" t="str">
        <f>IF(AND(B46="",ISNUMBER(B47)),CHOOSE(MONTH(B47),"GENNAIO","FEBBRAIO","MARZO","APRILE","MAGGIO","GIUGNO","LUGLIO","AGOSTO","SETTEMBRE","OTTOBRE","NOVEMBRE","DICEMBRE")&amp;" "&amp;YEAR(B47),"")</f>
        <v/>
      </c>
      <c r="B46" s="11"/>
      <c r="C46" s="12"/>
      <c r="D46" s="12" t="str">
        <f>IF(C46="","",C46-IF(C45&lt;&gt;"",C45,IF(C44&lt;&gt;"",C44,IF(C43&lt;&gt;"",C43,0))))</f>
        <v/>
      </c>
      <c r="E46" s="12"/>
      <c r="F46" s="12"/>
      <c r="G46" s="9" t="str">
        <f>IF(AND(E46="",F46=""),"",IF(OR(E46&gt;1,F46&gt;1),(F46-E46)/100,F46-E46))</f>
        <v/>
      </c>
      <c r="H46" s="12" t="str">
        <f>IF(G46="","",64*G46)</f>
        <v/>
      </c>
      <c r="I46" s="13"/>
      <c r="J46" s="13" t="str">
        <f>IFERROR(IF(OR(D46="",D46=0),"",I46/D46*100),"")</f>
        <v/>
      </c>
      <c r="K46" s="14"/>
      <c r="L46" s="13" t="str">
        <f>IF(I46="","",I46*K46)</f>
        <v/>
      </c>
      <c r="M46" s="13" t="str">
        <f>IF(B46="","",IFERROR(SUMPRODUCT(ISNUMBER(B$3:B46)*(MONTH(IF(ISNUMBER(B$3:B46),B$3:B46,1))=MONTH(B46))*(YEAR(IF(ISNUMBER(B$3:B46),B$3:B46,1))=YEAR(B46))*IF(ISNUMBER(L$3:L46),L$3:L46,0)),""))</f>
        <v/>
      </c>
      <c r="N46" s="6"/>
      <c r="O46" s="7" t="str">
        <f>IF(AND(B46="",ISNUMBER(B47)),CHOOSE(MONTH(B47),"GENNAIO","FEBBRAIO","MARZO","APRILE","MAGGIO","GIUGNO","LUGLIO","AGOSTO","SETTEMBRE","OTTOBRE","NOVEMBRE","DICEMBRE")&amp;" "&amp;YEAR(B47),"")</f>
        <v/>
      </c>
      <c r="P46" s="12" t="str">
        <f>IF(K46=0.2,"CASA","")</f>
        <v/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customHeight="1" x14ac:dyDescent="0.2">
      <c r="A47" s="5" t="str">
        <f>IF(AND(B47="",ISNUMBER(B48)),CHOOSE(MONTH(B48),"GENNAIO","FEBBRAIO","MARZO","APRILE","MAGGIO","GIUGNO","LUGLIO","AGOSTO","SETTEMBRE","OTTOBRE","NOVEMBRE","DICEMBRE")&amp;" "&amp;YEAR(B48),"")</f>
        <v/>
      </c>
      <c r="B47" s="11"/>
      <c r="C47" s="12"/>
      <c r="D47" s="12" t="str">
        <f>IF(C47="","",C47-IF(C46&lt;&gt;"",C46,IF(C45&lt;&gt;"",C45,IF(C44&lt;&gt;"",C44,0))))</f>
        <v/>
      </c>
      <c r="E47" s="12"/>
      <c r="F47" s="12"/>
      <c r="G47" s="9" t="str">
        <f>IF(AND(E47="",F47=""),"",IF(OR(E47&gt;1,F47&gt;1),(F47-E47)/100,F47-E47))</f>
        <v/>
      </c>
      <c r="H47" s="12" t="str">
        <f>IF(G47="","",64*G47)</f>
        <v/>
      </c>
      <c r="I47" s="13"/>
      <c r="J47" s="13" t="str">
        <f>IFERROR(IF(OR(D47="",D47=0),"",I47/D47*100),"")</f>
        <v/>
      </c>
      <c r="K47" s="14"/>
      <c r="L47" s="13" t="str">
        <f>IF(I47="","",I47*K47)</f>
        <v/>
      </c>
      <c r="M47" s="13" t="str">
        <f>IF(B47="","",IFERROR(SUMPRODUCT(ISNUMBER(B$3:B47)*(MONTH(IF(ISNUMBER(B$3:B47),B$3:B47,1))=MONTH(B47))*(YEAR(IF(ISNUMBER(B$3:B47),B$3:B47,1))=YEAR(B47))*IF(ISNUMBER(L$3:L47),L$3:L47,0)),""))</f>
        <v/>
      </c>
      <c r="N47" s="6"/>
      <c r="O47" s="7" t="str">
        <f>IF(AND(B47="",ISNUMBER(B48)),CHOOSE(MONTH(B48),"GENNAIO","FEBBRAIO","MARZO","APRILE","MAGGIO","GIUGNO","LUGLIO","AGOSTO","SETTEMBRE","OTTOBRE","NOVEMBRE","DICEMBRE")&amp;" "&amp;YEAR(B48),"")</f>
        <v/>
      </c>
      <c r="P47" s="12" t="str">
        <f>IF(K47=0.2,"CASA","")</f>
        <v/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customHeight="1" x14ac:dyDescent="0.2">
      <c r="A48" s="5" t="str">
        <f>IF(AND(B48="",ISNUMBER(B49)),CHOOSE(MONTH(B49),"GENNAIO","FEBBRAIO","MARZO","APRILE","MAGGIO","GIUGNO","LUGLIO","AGOSTO","SETTEMBRE","OTTOBRE","NOVEMBRE","DICEMBRE")&amp;" "&amp;YEAR(B49),"")</f>
        <v/>
      </c>
      <c r="B48" s="11"/>
      <c r="C48" s="12"/>
      <c r="D48" s="12" t="str">
        <f>IF(C48="","",C48-IF(C47&lt;&gt;"",C47,IF(C46&lt;&gt;"",C46,IF(C45&lt;&gt;"",C45,0))))</f>
        <v/>
      </c>
      <c r="E48" s="12"/>
      <c r="F48" s="12"/>
      <c r="G48" s="9" t="str">
        <f>IF(AND(E48="",F48=""),"",IF(OR(E48&gt;1,F48&gt;1),(F48-E48)/100,F48-E48))</f>
        <v/>
      </c>
      <c r="H48" s="12" t="str">
        <f>IF(G48="","",64*G48)</f>
        <v/>
      </c>
      <c r="I48" s="13"/>
      <c r="J48" s="13" t="str">
        <f>IFERROR(IF(OR(D48="",D48=0),"",I48/D48*100),"")</f>
        <v/>
      </c>
      <c r="K48" s="14"/>
      <c r="L48" s="13" t="str">
        <f>IF(I48="","",I48*K48)</f>
        <v/>
      </c>
      <c r="M48" s="13" t="str">
        <f>IF(B48="","",IFERROR(SUMPRODUCT(ISNUMBER(B$3:B48)*(MONTH(IF(ISNUMBER(B$3:B48),B$3:B48,1))=MONTH(B48))*(YEAR(IF(ISNUMBER(B$3:B48),B$3:B48,1))=YEAR(B48))*IF(ISNUMBER(L$3:L48),L$3:L48,0)),""))</f>
        <v/>
      </c>
      <c r="N48" s="6"/>
      <c r="O48" s="7" t="str">
        <f>IF(AND(B48="",ISNUMBER(B49)),CHOOSE(MONTH(B49),"GENNAIO","FEBBRAIO","MARZO","APRILE","MAGGIO","GIUGNO","LUGLIO","AGOSTO","SETTEMBRE","OTTOBRE","NOVEMBRE","DICEMBRE")&amp;" "&amp;YEAR(B49),"")</f>
        <v/>
      </c>
      <c r="P48" s="12" t="str">
        <f>IF(K48=0.2,"CASA","")</f>
        <v/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 customHeight="1" x14ac:dyDescent="0.2">
      <c r="A49" s="5" t="str">
        <f>IF(AND(B49="",ISNUMBER(B50)),CHOOSE(MONTH(B50),"GENNAIO","FEBBRAIO","MARZO","APRILE","MAGGIO","GIUGNO","LUGLIO","AGOSTO","SETTEMBRE","OTTOBRE","NOVEMBRE","DICEMBRE")&amp;" "&amp;YEAR(B50),"")</f>
        <v/>
      </c>
      <c r="B49" s="11"/>
      <c r="C49" s="12"/>
      <c r="D49" s="12" t="str">
        <f>IF(C49="","",C49-IF(C48&lt;&gt;"",C48,IF(C47&lt;&gt;"",C47,IF(C46&lt;&gt;"",C46,0))))</f>
        <v/>
      </c>
      <c r="E49" s="12"/>
      <c r="F49" s="12"/>
      <c r="G49" s="9" t="str">
        <f>IF(AND(E49="",F49=""),"",IF(OR(E49&gt;1,F49&gt;1),(F49-E49)/100,F49-E49))</f>
        <v/>
      </c>
      <c r="H49" s="12" t="str">
        <f>IF(G49="","",64*G49)</f>
        <v/>
      </c>
      <c r="I49" s="13"/>
      <c r="J49" s="13" t="str">
        <f>IFERROR(IF(OR(D49="",D49=0),"",I49/D49*100),"")</f>
        <v/>
      </c>
      <c r="K49" s="14"/>
      <c r="L49" s="13" t="str">
        <f>IF(I49="","",I49*K49)</f>
        <v/>
      </c>
      <c r="M49" s="13" t="str">
        <f>IF(B49="","",IFERROR(SUMPRODUCT(ISNUMBER(B$3:B49)*(MONTH(IF(ISNUMBER(B$3:B49),B$3:B49,1))=MONTH(B49))*(YEAR(IF(ISNUMBER(B$3:B49),B$3:B49,1))=YEAR(B49))*IF(ISNUMBER(L$3:L49),L$3:L49,0)),""))</f>
        <v/>
      </c>
      <c r="N49" s="6"/>
      <c r="O49" s="7" t="str">
        <f>IF(AND(B49="",ISNUMBER(B50)),CHOOSE(MONTH(B50),"GENNAIO","FEBBRAIO","MARZO","APRILE","MAGGIO","GIUGNO","LUGLIO","AGOSTO","SETTEMBRE","OTTOBRE","NOVEMBRE","DICEMBRE")&amp;" "&amp;YEAR(B50),"")</f>
        <v/>
      </c>
      <c r="P49" s="12" t="str">
        <f>IF(K49=0.2,"CASA","")</f>
        <v/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" customHeight="1" x14ac:dyDescent="0.2">
      <c r="A50" s="5" t="str">
        <f>IF(AND(B50="",ISNUMBER(B51)),CHOOSE(MONTH(B51),"GENNAIO","FEBBRAIO","MARZO","APRILE","MAGGIO","GIUGNO","LUGLIO","AGOSTO","SETTEMBRE","OTTOBRE","NOVEMBRE","DICEMBRE")&amp;" "&amp;YEAR(B51),"")</f>
        <v/>
      </c>
      <c r="B50" s="11"/>
      <c r="C50" s="12"/>
      <c r="D50" s="12" t="str">
        <f>IF(C50="","",C50-IF(C49&lt;&gt;"",C49,IF(C48&lt;&gt;"",C48,IF(C47&lt;&gt;"",C47,0))))</f>
        <v/>
      </c>
      <c r="E50" s="12"/>
      <c r="F50" s="12"/>
      <c r="G50" s="9" t="str">
        <f>IF(AND(E50="",F50=""),"",IF(OR(E50&gt;1,F50&gt;1),(F50-E50)/100,F50-E50))</f>
        <v/>
      </c>
      <c r="H50" s="12" t="str">
        <f>IF(G50="","",64*G50)</f>
        <v/>
      </c>
      <c r="I50" s="13"/>
      <c r="J50" s="13" t="str">
        <f>IFERROR(IF(OR(D50="",D50=0),"",I50/D50*100),"")</f>
        <v/>
      </c>
      <c r="K50" s="14"/>
      <c r="L50" s="13" t="str">
        <f>IF(I50="","",I50*K50)</f>
        <v/>
      </c>
      <c r="M50" s="13" t="str">
        <f>IF(B50="","",IFERROR(SUMPRODUCT(ISNUMBER(B$3:B50)*(MONTH(IF(ISNUMBER(B$3:B50),B$3:B50,1))=MONTH(B50))*(YEAR(IF(ISNUMBER(B$3:B50),B$3:B50,1))=YEAR(B50))*IF(ISNUMBER(L$3:L50),L$3:L50,0)),""))</f>
        <v/>
      </c>
      <c r="N50" s="6"/>
      <c r="O50" s="7" t="str">
        <f>IF(AND(B50="",ISNUMBER(B51)),CHOOSE(MONTH(B51),"GENNAIO","FEBBRAIO","MARZO","APRILE","MAGGIO","GIUGNO","LUGLIO","AGOSTO","SETTEMBRE","OTTOBRE","NOVEMBRE","DICEMBRE")&amp;" "&amp;YEAR(B51),"")</f>
        <v/>
      </c>
      <c r="P50" s="12" t="str">
        <f>IF(K50=0.2,"CASA","")</f>
        <v/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" customHeight="1" x14ac:dyDescent="0.2">
      <c r="A51" s="5" t="str">
        <f>IF(AND(B51="",ISNUMBER(B52)),CHOOSE(MONTH(B52),"GENNAIO","FEBBRAIO","MARZO","APRILE","MAGGIO","GIUGNO","LUGLIO","AGOSTO","SETTEMBRE","OTTOBRE","NOVEMBRE","DICEMBRE")&amp;" "&amp;YEAR(B52),"")</f>
        <v/>
      </c>
      <c r="B51" s="11"/>
      <c r="C51" s="12"/>
      <c r="D51" s="12" t="str">
        <f>IF(C51="","",C51-IF(C50&lt;&gt;"",C50,IF(C49&lt;&gt;"",C49,IF(C48&lt;&gt;"",C48,0))))</f>
        <v/>
      </c>
      <c r="E51" s="12"/>
      <c r="F51" s="12"/>
      <c r="G51" s="9" t="str">
        <f>IF(AND(E51="",F51=""),"",IF(OR(E51&gt;1,F51&gt;1),(F51-E51)/100,F51-E51))</f>
        <v/>
      </c>
      <c r="H51" s="12" t="str">
        <f>IF(G51="","",64*G51)</f>
        <v/>
      </c>
      <c r="I51" s="13"/>
      <c r="J51" s="13" t="str">
        <f>IFERROR(IF(OR(D51="",D51=0),"",I51/D51*100),"")</f>
        <v/>
      </c>
      <c r="K51" s="14"/>
      <c r="L51" s="13" t="str">
        <f>IF(I51="","",I51*K51)</f>
        <v/>
      </c>
      <c r="M51" s="13" t="str">
        <f>IF(B51="","",IFERROR(SUMPRODUCT(ISNUMBER(B$3:B51)*(MONTH(IF(ISNUMBER(B$3:B51),B$3:B51,1))=MONTH(B51))*(YEAR(IF(ISNUMBER(B$3:B51),B$3:B51,1))=YEAR(B51))*IF(ISNUMBER(L$3:L51),L$3:L51,0)),""))</f>
        <v/>
      </c>
      <c r="N51" s="6"/>
      <c r="O51" s="7" t="str">
        <f>IF(AND(B51="",ISNUMBER(B52)),CHOOSE(MONTH(B52),"GENNAIO","FEBBRAIO","MARZO","APRILE","MAGGIO","GIUGNO","LUGLIO","AGOSTO","SETTEMBRE","OTTOBRE","NOVEMBRE","DICEMBRE")&amp;" "&amp;YEAR(B52),"")</f>
        <v/>
      </c>
      <c r="P51" s="12" t="str">
        <f>IF(K51=0.2,"CASA","")</f>
        <v/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" customHeight="1" x14ac:dyDescent="0.2">
      <c r="A52" s="5" t="str">
        <f>IF(AND(B52="",ISNUMBER(B53)),CHOOSE(MONTH(B53),"GENNAIO","FEBBRAIO","MARZO","APRILE","MAGGIO","GIUGNO","LUGLIO","AGOSTO","SETTEMBRE","OTTOBRE","NOVEMBRE","DICEMBRE")&amp;" "&amp;YEAR(B53),"")</f>
        <v/>
      </c>
      <c r="B52" s="11"/>
      <c r="C52" s="12"/>
      <c r="D52" s="12" t="str">
        <f>IF(C52="","",C52-IF(C51&lt;&gt;"",C51,IF(C50&lt;&gt;"",C50,IF(C49&lt;&gt;"",C49,0))))</f>
        <v/>
      </c>
      <c r="E52" s="12"/>
      <c r="F52" s="12"/>
      <c r="G52" s="9" t="str">
        <f>IF(AND(E52="",F52=""),"",IF(OR(E52&gt;1,F52&gt;1),(F52-E52)/100,F52-E52))</f>
        <v/>
      </c>
      <c r="H52" s="12" t="str">
        <f>IF(G52="","",64*G52)</f>
        <v/>
      </c>
      <c r="I52" s="13"/>
      <c r="J52" s="13" t="str">
        <f>IFERROR(IF(OR(D52="",D52=0),"",I52/D52*100),"")</f>
        <v/>
      </c>
      <c r="K52" s="14"/>
      <c r="L52" s="13" t="str">
        <f>IF(I52="","",I52*K52)</f>
        <v/>
      </c>
      <c r="M52" s="13" t="str">
        <f>IF(B52="","",IFERROR(SUMPRODUCT(ISNUMBER(B$3:B52)*(MONTH(IF(ISNUMBER(B$3:B52),B$3:B52,1))=MONTH(B52))*(YEAR(IF(ISNUMBER(B$3:B52),B$3:B52,1))=YEAR(B52))*IF(ISNUMBER(L$3:L52),L$3:L52,0)),""))</f>
        <v/>
      </c>
      <c r="N52" s="6"/>
      <c r="O52" s="7" t="str">
        <f>IF(AND(B52="",ISNUMBER(B53)),CHOOSE(MONTH(B53),"GENNAIO","FEBBRAIO","MARZO","APRILE","MAGGIO","GIUGNO","LUGLIO","AGOSTO","SETTEMBRE","OTTOBRE","NOVEMBRE","DICEMBRE")&amp;" "&amp;YEAR(B53),"")</f>
        <v/>
      </c>
      <c r="P52" s="12" t="str">
        <f>IF(K52=0.2,"CASA","")</f>
        <v/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 customHeight="1" x14ac:dyDescent="0.2">
      <c r="A53" s="5" t="str">
        <f>IF(AND(B53="",ISNUMBER(B54)),CHOOSE(MONTH(B54),"GENNAIO","FEBBRAIO","MARZO","APRILE","MAGGIO","GIUGNO","LUGLIO","AGOSTO","SETTEMBRE","OTTOBRE","NOVEMBRE","DICEMBRE")&amp;" "&amp;YEAR(B54),"")</f>
        <v/>
      </c>
      <c r="B53" s="11"/>
      <c r="C53" s="12"/>
      <c r="D53" s="12" t="str">
        <f>IF(C53="","",C53-IF(C52&lt;&gt;"",C52,IF(C51&lt;&gt;"",C51,IF(C50&lt;&gt;"",C50,0))))</f>
        <v/>
      </c>
      <c r="E53" s="12"/>
      <c r="F53" s="12"/>
      <c r="G53" s="9" t="str">
        <f>IF(AND(E53="",F53=""),"",IF(OR(E53&gt;1,F53&gt;1),(F53-E53)/100,F53-E53))</f>
        <v/>
      </c>
      <c r="H53" s="12" t="str">
        <f>IF(G53="","",64*G53)</f>
        <v/>
      </c>
      <c r="I53" s="13"/>
      <c r="J53" s="13" t="str">
        <f>IFERROR(IF(OR(D53="",D53=0),"",I53/D53*100),"")</f>
        <v/>
      </c>
      <c r="K53" s="14"/>
      <c r="L53" s="13" t="str">
        <f>IF(I53="","",I53*K53)</f>
        <v/>
      </c>
      <c r="M53" s="13" t="str">
        <f>IF(B53="","",IFERROR(SUMPRODUCT(ISNUMBER(B$3:B53)*(MONTH(IF(ISNUMBER(B$3:B53),B$3:B53,1))=MONTH(B53))*(YEAR(IF(ISNUMBER(B$3:B53),B$3:B53,1))=YEAR(B53))*IF(ISNUMBER(L$3:L53),L$3:L53,0)),""))</f>
        <v/>
      </c>
      <c r="N53" s="6"/>
      <c r="O53" s="7" t="str">
        <f>IF(AND(B53="",ISNUMBER(B54)),CHOOSE(MONTH(B54),"GENNAIO","FEBBRAIO","MARZO","APRILE","MAGGIO","GIUGNO","LUGLIO","AGOSTO","SETTEMBRE","OTTOBRE","NOVEMBRE","DICEMBRE")&amp;" "&amp;YEAR(B54),"")</f>
        <v/>
      </c>
      <c r="P53" s="12" t="str">
        <f>IF(K53=0.2,"CASA","")</f>
        <v/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 customHeight="1" x14ac:dyDescent="0.2">
      <c r="A54" s="5" t="str">
        <f>IF(AND(B54="",ISNUMBER(B55)),CHOOSE(MONTH(B55),"GENNAIO","FEBBRAIO","MARZO","APRILE","MAGGIO","GIUGNO","LUGLIO","AGOSTO","SETTEMBRE","OTTOBRE","NOVEMBRE","DICEMBRE")&amp;" "&amp;YEAR(B55),"")</f>
        <v/>
      </c>
      <c r="B54" s="11"/>
      <c r="C54" s="12"/>
      <c r="D54" s="12" t="str">
        <f>IF(C54="","",C54-IF(C53&lt;&gt;"",C53,IF(C52&lt;&gt;"",C52,IF(C51&lt;&gt;"",C51,0))))</f>
        <v/>
      </c>
      <c r="E54" s="12"/>
      <c r="F54" s="12"/>
      <c r="G54" s="9" t="str">
        <f>IF(AND(E54="",F54=""),"",IF(OR(E54&gt;1,F54&gt;1),(F54-E54)/100,F54-E54))</f>
        <v/>
      </c>
      <c r="H54" s="12" t="str">
        <f>IF(G54="","",64*G54)</f>
        <v/>
      </c>
      <c r="I54" s="13"/>
      <c r="J54" s="13" t="str">
        <f>IFERROR(IF(OR(D54="",D54=0),"",I54/D54*100),"")</f>
        <v/>
      </c>
      <c r="K54" s="14"/>
      <c r="L54" s="13" t="str">
        <f>IF(I54="","",I54*K54)</f>
        <v/>
      </c>
      <c r="M54" s="13" t="str">
        <f>IF(B54="","",IFERROR(SUMPRODUCT(ISNUMBER(B$3:B54)*(MONTH(IF(ISNUMBER(B$3:B54),B$3:B54,1))=MONTH(B54))*(YEAR(IF(ISNUMBER(B$3:B54),B$3:B54,1))=YEAR(B54))*IF(ISNUMBER(L$3:L54),L$3:L54,0)),""))</f>
        <v/>
      </c>
      <c r="N54" s="6"/>
      <c r="O54" s="7" t="str">
        <f>IF(AND(B54="",ISNUMBER(B55)),CHOOSE(MONTH(B55),"GENNAIO","FEBBRAIO","MARZO","APRILE","MAGGIO","GIUGNO","LUGLIO","AGOSTO","SETTEMBRE","OTTOBRE","NOVEMBRE","DICEMBRE")&amp;" "&amp;YEAR(B55),"")</f>
        <v/>
      </c>
      <c r="P54" s="12" t="str">
        <f>IF(K54=0.2,"CASA","")</f>
        <v/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 customHeight="1" x14ac:dyDescent="0.2">
      <c r="A55" s="5" t="str">
        <f>IF(AND(B55="",ISNUMBER(B56)),CHOOSE(MONTH(B56),"GENNAIO","FEBBRAIO","MARZO","APRILE","MAGGIO","GIUGNO","LUGLIO","AGOSTO","SETTEMBRE","OTTOBRE","NOVEMBRE","DICEMBRE")&amp;" "&amp;YEAR(B56),"")</f>
        <v/>
      </c>
      <c r="B55" s="11"/>
      <c r="C55" s="12"/>
      <c r="D55" s="12" t="str">
        <f>IF(C55="","",C55-IF(C54&lt;&gt;"",C54,IF(C53&lt;&gt;"",C53,IF(C52&lt;&gt;"",C52,0))))</f>
        <v/>
      </c>
      <c r="E55" s="12"/>
      <c r="F55" s="12"/>
      <c r="G55" s="9" t="str">
        <f>IF(AND(E55="",F55=""),"",IF(OR(E55&gt;1,F55&gt;1),(F55-E55)/100,F55-E55))</f>
        <v/>
      </c>
      <c r="H55" s="12" t="str">
        <f>IF(G55="","",64*G55)</f>
        <v/>
      </c>
      <c r="I55" s="13"/>
      <c r="J55" s="13" t="str">
        <f>IFERROR(IF(OR(D55="",D55=0),"",I55/D55*100),"")</f>
        <v/>
      </c>
      <c r="K55" s="14"/>
      <c r="L55" s="13" t="str">
        <f>IF(I55="","",I55*K55)</f>
        <v/>
      </c>
      <c r="M55" s="13" t="str">
        <f>IF(B55="","",IFERROR(SUMPRODUCT(ISNUMBER(B$3:B55)*(MONTH(IF(ISNUMBER(B$3:B55),B$3:B55,1))=MONTH(B55))*(YEAR(IF(ISNUMBER(B$3:B55),B$3:B55,1))=YEAR(B55))*IF(ISNUMBER(L$3:L55),L$3:L55,0)),""))</f>
        <v/>
      </c>
      <c r="N55" s="6"/>
      <c r="O55" s="7" t="str">
        <f>IF(AND(B55="",ISNUMBER(B56)),CHOOSE(MONTH(B56),"GENNAIO","FEBBRAIO","MARZO","APRILE","MAGGIO","GIUGNO","LUGLIO","AGOSTO","SETTEMBRE","OTTOBRE","NOVEMBRE","DICEMBRE")&amp;" "&amp;YEAR(B56),"")</f>
        <v/>
      </c>
      <c r="P55" s="12" t="str">
        <f>IF(K55=0.2,"CASA","")</f>
        <v/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 customHeight="1" x14ac:dyDescent="0.2">
      <c r="A56" s="5" t="str">
        <f>IF(AND(B56="",ISNUMBER(B57)),CHOOSE(MONTH(B57),"GENNAIO","FEBBRAIO","MARZO","APRILE","MAGGIO","GIUGNO","LUGLIO","AGOSTO","SETTEMBRE","OTTOBRE","NOVEMBRE","DICEMBRE")&amp;" "&amp;YEAR(B57),"")</f>
        <v/>
      </c>
      <c r="B56" s="11"/>
      <c r="C56" s="12"/>
      <c r="D56" s="12" t="str">
        <f>IF(C56="","",C56-IF(C55&lt;&gt;"",C55,IF(C54&lt;&gt;"",C54,IF(C53&lt;&gt;"",C53,0))))</f>
        <v/>
      </c>
      <c r="E56" s="12"/>
      <c r="F56" s="12"/>
      <c r="G56" s="9" t="str">
        <f>IF(AND(E56="",F56=""),"",IF(OR(E56&gt;1,F56&gt;1),(F56-E56)/100,F56-E56))</f>
        <v/>
      </c>
      <c r="H56" s="12" t="str">
        <f>IF(G56="","",64*G56)</f>
        <v/>
      </c>
      <c r="I56" s="13"/>
      <c r="J56" s="13" t="str">
        <f>IFERROR(IF(OR(D56="",D56=0),"",I56/D56*100),"")</f>
        <v/>
      </c>
      <c r="K56" s="14"/>
      <c r="L56" s="13" t="str">
        <f>IF(I56="","",I56*K56)</f>
        <v/>
      </c>
      <c r="M56" s="13" t="str">
        <f>IF(B56="","",IFERROR(SUMPRODUCT(ISNUMBER(B$3:B56)*(MONTH(IF(ISNUMBER(B$3:B56),B$3:B56,1))=MONTH(B56))*(YEAR(IF(ISNUMBER(B$3:B56),B$3:B56,1))=YEAR(B56))*IF(ISNUMBER(L$3:L56),L$3:L56,0)),""))</f>
        <v/>
      </c>
      <c r="N56" s="6"/>
      <c r="O56" s="7" t="str">
        <f>IF(AND(B56="",ISNUMBER(B57)),CHOOSE(MONTH(B57),"GENNAIO","FEBBRAIO","MARZO","APRILE","MAGGIO","GIUGNO","LUGLIO","AGOSTO","SETTEMBRE","OTTOBRE","NOVEMBRE","DICEMBRE")&amp;" "&amp;YEAR(B57),"")</f>
        <v/>
      </c>
      <c r="P56" s="12" t="str">
        <f>IF(K56=0.2,"CASA","")</f>
        <v/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 customHeight="1" x14ac:dyDescent="0.2">
      <c r="A57" s="5" t="str">
        <f>IF(AND(B57="",ISNUMBER(B58)),CHOOSE(MONTH(B58),"GENNAIO","FEBBRAIO","MARZO","APRILE","MAGGIO","GIUGNO","LUGLIO","AGOSTO","SETTEMBRE","OTTOBRE","NOVEMBRE","DICEMBRE")&amp;" "&amp;YEAR(B58),"")</f>
        <v/>
      </c>
      <c r="B57" s="11"/>
      <c r="C57" s="12"/>
      <c r="D57" s="12" t="str">
        <f>IF(C57="","",C57-IF(C56&lt;&gt;"",C56,IF(C55&lt;&gt;"",C55,IF(C54&lt;&gt;"",C54,0))))</f>
        <v/>
      </c>
      <c r="E57" s="12"/>
      <c r="F57" s="12"/>
      <c r="G57" s="9" t="str">
        <f>IF(AND(E57="",F57=""),"",IF(OR(E57&gt;1,F57&gt;1),(F57-E57)/100,F57-E57))</f>
        <v/>
      </c>
      <c r="H57" s="12" t="str">
        <f>IF(G57="","",64*G57)</f>
        <v/>
      </c>
      <c r="I57" s="13"/>
      <c r="J57" s="13" t="str">
        <f>IFERROR(IF(OR(D57="",D57=0),"",I57/D57*100),"")</f>
        <v/>
      </c>
      <c r="K57" s="14"/>
      <c r="L57" s="13" t="str">
        <f>IF(I57="","",I57*K57)</f>
        <v/>
      </c>
      <c r="M57" s="13" t="str">
        <f>IF(B57="","",IFERROR(SUMPRODUCT(ISNUMBER(B$3:B57)*(MONTH(IF(ISNUMBER(B$3:B57),B$3:B57,1))=MONTH(B57))*(YEAR(IF(ISNUMBER(B$3:B57),B$3:B57,1))=YEAR(B57))*IF(ISNUMBER(L$3:L57),L$3:L57,0)),""))</f>
        <v/>
      </c>
      <c r="N57" s="6"/>
      <c r="O57" s="7" t="str">
        <f>IF(AND(B57="",ISNUMBER(B58)),CHOOSE(MONTH(B58),"GENNAIO","FEBBRAIO","MARZO","APRILE","MAGGIO","GIUGNO","LUGLIO","AGOSTO","SETTEMBRE","OTTOBRE","NOVEMBRE","DICEMBRE")&amp;" "&amp;YEAR(B58),"")</f>
        <v/>
      </c>
      <c r="P57" s="12" t="str">
        <f>IF(K57=0.2,"CASA","")</f>
        <v/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" customHeight="1" x14ac:dyDescent="0.2">
      <c r="A58" s="5" t="str">
        <f>IF(AND(B58="",ISNUMBER(B59)),CHOOSE(MONTH(B59),"GENNAIO","FEBBRAIO","MARZO","APRILE","MAGGIO","GIUGNO","LUGLIO","AGOSTO","SETTEMBRE","OTTOBRE","NOVEMBRE","DICEMBRE")&amp;" "&amp;YEAR(B59),"")</f>
        <v/>
      </c>
      <c r="B58" s="11"/>
      <c r="C58" s="12"/>
      <c r="D58" s="12" t="str">
        <f>IF(C58="","",C58-IF(C57&lt;&gt;"",C57,IF(C56&lt;&gt;"",C56,IF(C55&lt;&gt;"",C55,0))))</f>
        <v/>
      </c>
      <c r="E58" s="12"/>
      <c r="F58" s="12"/>
      <c r="G58" s="9" t="str">
        <f>IF(AND(E58="",F58=""),"",IF(OR(E58&gt;1,F58&gt;1),(F58-E58)/100,F58-E58))</f>
        <v/>
      </c>
      <c r="H58" s="12" t="str">
        <f>IF(G58="","",64*G58)</f>
        <v/>
      </c>
      <c r="I58" s="13"/>
      <c r="J58" s="13" t="str">
        <f>IFERROR(IF(OR(D58="",D58=0),"",I58/D58*100),"")</f>
        <v/>
      </c>
      <c r="K58" s="14"/>
      <c r="L58" s="13" t="str">
        <f>IF(I58="","",I58*K58)</f>
        <v/>
      </c>
      <c r="M58" s="13" t="str">
        <f>IF(B58="","",IFERROR(SUMPRODUCT(ISNUMBER(B$3:B58)*(MONTH(IF(ISNUMBER(B$3:B58),B$3:B58,1))=MONTH(B58))*(YEAR(IF(ISNUMBER(B$3:B58),B$3:B58,1))=YEAR(B58))*IF(ISNUMBER(L$3:L58),L$3:L58,0)),""))</f>
        <v/>
      </c>
      <c r="N58" s="6"/>
      <c r="O58" s="7" t="str">
        <f>IF(AND(B58="",ISNUMBER(B59)),CHOOSE(MONTH(B59),"GENNAIO","FEBBRAIO","MARZO","APRILE","MAGGIO","GIUGNO","LUGLIO","AGOSTO","SETTEMBRE","OTTOBRE","NOVEMBRE","DICEMBRE")&amp;" "&amp;YEAR(B59),"")</f>
        <v/>
      </c>
      <c r="P58" s="12" t="str">
        <f>IF(K58=0.2,"CASA","")</f>
        <v/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 customHeight="1" x14ac:dyDescent="0.2">
      <c r="A59" s="5" t="str">
        <f>IF(AND(B59="",ISNUMBER(B60)),CHOOSE(MONTH(B60),"GENNAIO","FEBBRAIO","MARZO","APRILE","MAGGIO","GIUGNO","LUGLIO","AGOSTO","SETTEMBRE","OTTOBRE","NOVEMBRE","DICEMBRE")&amp;" "&amp;YEAR(B60),"")</f>
        <v/>
      </c>
      <c r="B59" s="11"/>
      <c r="C59" s="12"/>
      <c r="D59" s="12" t="str">
        <f>IF(C59="","",C59-IF(C58&lt;&gt;"",C58,IF(C57&lt;&gt;"",C57,IF(C56&lt;&gt;"",C56,0))))</f>
        <v/>
      </c>
      <c r="E59" s="12"/>
      <c r="F59" s="12"/>
      <c r="G59" s="9" t="str">
        <f>IF(AND(E59="",F59=""),"",IF(OR(E59&gt;1,F59&gt;1),(F59-E59)/100,F59-E59))</f>
        <v/>
      </c>
      <c r="H59" s="12" t="str">
        <f>IF(G59="","",64*G59)</f>
        <v/>
      </c>
      <c r="I59" s="13"/>
      <c r="J59" s="13" t="str">
        <f>IFERROR(IF(OR(D59="",D59=0),"",I59/D59*100),"")</f>
        <v/>
      </c>
      <c r="K59" s="14"/>
      <c r="L59" s="13" t="str">
        <f>IF(I59="","",I59*K59)</f>
        <v/>
      </c>
      <c r="M59" s="13" t="str">
        <f>IF(B59="","",IFERROR(SUMPRODUCT(ISNUMBER(B$3:B59)*(MONTH(IF(ISNUMBER(B$3:B59),B$3:B59,1))=MONTH(B59))*(YEAR(IF(ISNUMBER(B$3:B59),B$3:B59,1))=YEAR(B59))*IF(ISNUMBER(L$3:L59),L$3:L59,0)),""))</f>
        <v/>
      </c>
      <c r="N59" s="6"/>
      <c r="O59" s="7" t="str">
        <f>IF(AND(B59="",ISNUMBER(B60)),CHOOSE(MONTH(B60),"GENNAIO","FEBBRAIO","MARZO","APRILE","MAGGIO","GIUGNO","LUGLIO","AGOSTO","SETTEMBRE","OTTOBRE","NOVEMBRE","DICEMBRE")&amp;" "&amp;YEAR(B60),"")</f>
        <v/>
      </c>
      <c r="P59" s="12" t="str">
        <f>IF(K59=0.2,"CASA","")</f>
        <v/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 customHeight="1" x14ac:dyDescent="0.2">
      <c r="A60" s="5" t="str">
        <f>IF(AND(B60="",ISNUMBER(B61)),CHOOSE(MONTH(B61),"GENNAIO","FEBBRAIO","MARZO","APRILE","MAGGIO","GIUGNO","LUGLIO","AGOSTO","SETTEMBRE","OTTOBRE","NOVEMBRE","DICEMBRE")&amp;" "&amp;YEAR(B61),"")</f>
        <v/>
      </c>
      <c r="B60" s="11"/>
      <c r="C60" s="12"/>
      <c r="D60" s="12" t="str">
        <f>IF(C60="","",C60-IF(C59&lt;&gt;"",C59,IF(C58&lt;&gt;"",C58,IF(C57&lt;&gt;"",C57,0))))</f>
        <v/>
      </c>
      <c r="E60" s="12"/>
      <c r="F60" s="12"/>
      <c r="G60" s="9" t="str">
        <f>IF(AND(E60="",F60=""),"",IF(OR(E60&gt;1,F60&gt;1),(F60-E60)/100,F60-E60))</f>
        <v/>
      </c>
      <c r="H60" s="12" t="str">
        <f>IF(G60="","",64*G60)</f>
        <v/>
      </c>
      <c r="I60" s="13"/>
      <c r="J60" s="13" t="str">
        <f>IFERROR(IF(OR(D60="",D60=0),"",I60/D60*100),"")</f>
        <v/>
      </c>
      <c r="K60" s="14"/>
      <c r="L60" s="13" t="str">
        <f>IF(I60="","",I60*K60)</f>
        <v/>
      </c>
      <c r="M60" s="13" t="str">
        <f>IF(B60="","",IFERROR(SUMPRODUCT(ISNUMBER(B$3:B60)*(MONTH(IF(ISNUMBER(B$3:B60),B$3:B60,1))=MONTH(B60))*(YEAR(IF(ISNUMBER(B$3:B60),B$3:B60,1))=YEAR(B60))*IF(ISNUMBER(L$3:L60),L$3:L60,0)),""))</f>
        <v/>
      </c>
      <c r="N60" s="6"/>
      <c r="O60" s="7" t="str">
        <f>IF(AND(B60="",ISNUMBER(B61)),CHOOSE(MONTH(B61),"GENNAIO","FEBBRAIO","MARZO","APRILE","MAGGIO","GIUGNO","LUGLIO","AGOSTO","SETTEMBRE","OTTOBRE","NOVEMBRE","DICEMBRE")&amp;" "&amp;YEAR(B61),"")</f>
        <v/>
      </c>
      <c r="P60" s="12" t="str">
        <f>IF(K60=0.2,"CASA","")</f>
        <v/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 customHeight="1" x14ac:dyDescent="0.2">
      <c r="A61" s="5" t="str">
        <f>IF(AND(B61="",ISNUMBER(B62)),CHOOSE(MONTH(B62),"GENNAIO","FEBBRAIO","MARZO","APRILE","MAGGIO","GIUGNO","LUGLIO","AGOSTO","SETTEMBRE","OTTOBRE","NOVEMBRE","DICEMBRE")&amp;" "&amp;YEAR(B62),"")</f>
        <v/>
      </c>
      <c r="B61" s="11"/>
      <c r="C61" s="12"/>
      <c r="D61" s="12" t="str">
        <f>IF(C61="","",C61-IF(C60&lt;&gt;"",C60,IF(C59&lt;&gt;"",C59,IF(C58&lt;&gt;"",C58,0))))</f>
        <v/>
      </c>
      <c r="E61" s="12"/>
      <c r="F61" s="12"/>
      <c r="G61" s="9" t="str">
        <f>IF(AND(E61="",F61=""),"",IF(OR(E61&gt;1,F61&gt;1),(F61-E61)/100,F61-E61))</f>
        <v/>
      </c>
      <c r="H61" s="12" t="str">
        <f>IF(G61="","",64*G61)</f>
        <v/>
      </c>
      <c r="I61" s="13"/>
      <c r="J61" s="13" t="str">
        <f>IFERROR(IF(OR(D61="",D61=0),"",I61/D61*100),"")</f>
        <v/>
      </c>
      <c r="K61" s="14"/>
      <c r="L61" s="13" t="str">
        <f>IF(I61="","",I61*K61)</f>
        <v/>
      </c>
      <c r="M61" s="13" t="str">
        <f>IF(B61="","",IFERROR(SUMPRODUCT(ISNUMBER(B$3:B61)*(MONTH(IF(ISNUMBER(B$3:B61),B$3:B61,1))=MONTH(B61))*(YEAR(IF(ISNUMBER(B$3:B61),B$3:B61,1))=YEAR(B61))*IF(ISNUMBER(L$3:L61),L$3:L61,0)),""))</f>
        <v/>
      </c>
      <c r="N61" s="6"/>
      <c r="O61" s="7" t="str">
        <f>IF(AND(B61="",ISNUMBER(B62)),CHOOSE(MONTH(B62),"GENNAIO","FEBBRAIO","MARZO","APRILE","MAGGIO","GIUGNO","LUGLIO","AGOSTO","SETTEMBRE","OTTOBRE","NOVEMBRE","DICEMBRE")&amp;" "&amp;YEAR(B62),"")</f>
        <v/>
      </c>
      <c r="P61" s="12" t="str">
        <f>IF(K61=0.2,"CASA","")</f>
        <v/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 customHeight="1" x14ac:dyDescent="0.2">
      <c r="A62" s="5" t="str">
        <f>IF(AND(B62="",ISNUMBER(B63)),CHOOSE(MONTH(B63),"GENNAIO","FEBBRAIO","MARZO","APRILE","MAGGIO","GIUGNO","LUGLIO","AGOSTO","SETTEMBRE","OTTOBRE","NOVEMBRE","DICEMBRE")&amp;" "&amp;YEAR(B63),"")</f>
        <v/>
      </c>
      <c r="B62" s="11"/>
      <c r="C62" s="12"/>
      <c r="D62" s="12" t="str">
        <f>IF(C62="","",C62-IF(C61&lt;&gt;"",C61,IF(C60&lt;&gt;"",C60,IF(C59&lt;&gt;"",C59,0))))</f>
        <v/>
      </c>
      <c r="E62" s="12"/>
      <c r="F62" s="12"/>
      <c r="G62" s="9" t="str">
        <f>IF(AND(E62="",F62=""),"",IF(OR(E62&gt;1,F62&gt;1),(F62-E62)/100,F62-E62))</f>
        <v/>
      </c>
      <c r="H62" s="12" t="str">
        <f>IF(G62="","",64*G62)</f>
        <v/>
      </c>
      <c r="I62" s="13"/>
      <c r="J62" s="13" t="str">
        <f>IFERROR(IF(OR(D62="",D62=0),"",I62/D62*100),"")</f>
        <v/>
      </c>
      <c r="K62" s="14"/>
      <c r="L62" s="13" t="str">
        <f>IF(I62="","",I62*K62)</f>
        <v/>
      </c>
      <c r="M62" s="13" t="str">
        <f>IF(B62="","",IFERROR(SUMPRODUCT(ISNUMBER(B$3:B62)*(MONTH(IF(ISNUMBER(B$3:B62),B$3:B62,1))=MONTH(B62))*(YEAR(IF(ISNUMBER(B$3:B62),B$3:B62,1))=YEAR(B62))*IF(ISNUMBER(L$3:L62),L$3:L62,0)),""))</f>
        <v/>
      </c>
      <c r="N62" s="6"/>
      <c r="O62" s="7" t="str">
        <f>IF(AND(B62="",ISNUMBER(B63)),CHOOSE(MONTH(B63),"GENNAIO","FEBBRAIO","MARZO","APRILE","MAGGIO","GIUGNO","LUGLIO","AGOSTO","SETTEMBRE","OTTOBRE","NOVEMBRE","DICEMBRE")&amp;" "&amp;YEAR(B63),"")</f>
        <v/>
      </c>
      <c r="P62" s="12" t="str">
        <f>IF(K62=0.2,"CASA","")</f>
        <v/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 customHeight="1" x14ac:dyDescent="0.2">
      <c r="A63" s="5" t="str">
        <f>IF(AND(B63="",ISNUMBER(B64)),CHOOSE(MONTH(B64),"GENNAIO","FEBBRAIO","MARZO","APRILE","MAGGIO","GIUGNO","LUGLIO","AGOSTO","SETTEMBRE","OTTOBRE","NOVEMBRE","DICEMBRE")&amp;" "&amp;YEAR(B64),"")</f>
        <v/>
      </c>
      <c r="B63" s="11"/>
      <c r="C63" s="12"/>
      <c r="D63" s="12" t="str">
        <f>IF(C63="","",C63-IF(C62&lt;&gt;"",C62,IF(C61&lt;&gt;"",C61,IF(C60&lt;&gt;"",C60,0))))</f>
        <v/>
      </c>
      <c r="E63" s="12"/>
      <c r="F63" s="12"/>
      <c r="G63" s="9" t="str">
        <f>IF(AND(E63="",F63=""),"",IF(OR(E63&gt;1,F63&gt;1),(F63-E63)/100,F63-E63))</f>
        <v/>
      </c>
      <c r="H63" s="12" t="str">
        <f>IF(G63="","",64*G63)</f>
        <v/>
      </c>
      <c r="I63" s="13"/>
      <c r="J63" s="13" t="str">
        <f>IFERROR(IF(OR(D63="",D63=0),"",I63/D63*100),"")</f>
        <v/>
      </c>
      <c r="K63" s="14"/>
      <c r="L63" s="13" t="str">
        <f>IF(I63="","",I63*K63)</f>
        <v/>
      </c>
      <c r="M63" s="13" t="str">
        <f>IF(B63="","",IFERROR(SUMPRODUCT(ISNUMBER(B$3:B63)*(MONTH(IF(ISNUMBER(B$3:B63),B$3:B63,1))=MONTH(B63))*(YEAR(IF(ISNUMBER(B$3:B63),B$3:B63,1))=YEAR(B63))*IF(ISNUMBER(L$3:L63),L$3:L63,0)),""))</f>
        <v/>
      </c>
      <c r="N63" s="6"/>
      <c r="O63" s="7" t="str">
        <f>IF(AND(B63="",ISNUMBER(B64)),CHOOSE(MONTH(B64),"GENNAIO","FEBBRAIO","MARZO","APRILE","MAGGIO","GIUGNO","LUGLIO","AGOSTO","SETTEMBRE","OTTOBRE","NOVEMBRE","DICEMBRE")&amp;" "&amp;YEAR(B64),"")</f>
        <v/>
      </c>
      <c r="P63" s="12" t="str">
        <f>IF(K63=0.2,"CASA","")</f>
        <v/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 customHeight="1" x14ac:dyDescent="0.2">
      <c r="A64" s="5" t="str">
        <f>IF(AND(B64="",ISNUMBER(B65)),CHOOSE(MONTH(B65),"GENNAIO","FEBBRAIO","MARZO","APRILE","MAGGIO","GIUGNO","LUGLIO","AGOSTO","SETTEMBRE","OTTOBRE","NOVEMBRE","DICEMBRE")&amp;" "&amp;YEAR(B65),"")</f>
        <v/>
      </c>
      <c r="B64" s="11"/>
      <c r="C64" s="12"/>
      <c r="D64" s="12" t="str">
        <f>IF(C64="","",C64-IF(C63&lt;&gt;"",C63,IF(C62&lt;&gt;"",C62,IF(C61&lt;&gt;"",C61,0))))</f>
        <v/>
      </c>
      <c r="E64" s="12"/>
      <c r="F64" s="12"/>
      <c r="G64" s="9" t="str">
        <f>IF(AND(E64="",F64=""),"",IF(OR(E64&gt;1,F64&gt;1),(F64-E64)/100,F64-E64))</f>
        <v/>
      </c>
      <c r="H64" s="12" t="str">
        <f>IF(G64="","",64*G64)</f>
        <v/>
      </c>
      <c r="I64" s="13"/>
      <c r="J64" s="13" t="str">
        <f>IFERROR(IF(OR(D64="",D64=0),"",I64/D64*100),"")</f>
        <v/>
      </c>
      <c r="K64" s="14"/>
      <c r="L64" s="13" t="str">
        <f>IF(I64="","",I64*K64)</f>
        <v/>
      </c>
      <c r="M64" s="13" t="str">
        <f>IF(B64="","",IFERROR(SUMPRODUCT(ISNUMBER(B$3:B64)*(MONTH(IF(ISNUMBER(B$3:B64),B$3:B64,1))=MONTH(B64))*(YEAR(IF(ISNUMBER(B$3:B64),B$3:B64,1))=YEAR(B64))*IF(ISNUMBER(L$3:L64),L$3:L64,0)),""))</f>
        <v/>
      </c>
      <c r="N64" s="6"/>
      <c r="O64" s="7" t="str">
        <f>IF(AND(B64="",ISNUMBER(B65)),CHOOSE(MONTH(B65),"GENNAIO","FEBBRAIO","MARZO","APRILE","MAGGIO","GIUGNO","LUGLIO","AGOSTO","SETTEMBRE","OTTOBRE","NOVEMBRE","DICEMBRE")&amp;" "&amp;YEAR(B65),"")</f>
        <v/>
      </c>
      <c r="P64" s="12" t="str">
        <f>IF(K64=0.2,"CASA","")</f>
        <v/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 customHeight="1" x14ac:dyDescent="0.2">
      <c r="A65" s="5" t="str">
        <f>IF(AND(B65="",ISNUMBER(B66)),CHOOSE(MONTH(B66),"GENNAIO","FEBBRAIO","MARZO","APRILE","MAGGIO","GIUGNO","LUGLIO","AGOSTO","SETTEMBRE","OTTOBRE","NOVEMBRE","DICEMBRE")&amp;" "&amp;YEAR(B66),"")</f>
        <v/>
      </c>
      <c r="B65" s="11"/>
      <c r="C65" s="12"/>
      <c r="D65" s="12" t="str">
        <f>IF(C65="","",C65-IF(C64&lt;&gt;"",C64,IF(C63&lt;&gt;"",C63,IF(C62&lt;&gt;"",C62,0))))</f>
        <v/>
      </c>
      <c r="E65" s="12"/>
      <c r="F65" s="12"/>
      <c r="G65" s="9" t="str">
        <f>IF(AND(E65="",F65=""),"",IF(OR(E65&gt;1,F65&gt;1),(F65-E65)/100,F65-E65))</f>
        <v/>
      </c>
      <c r="H65" s="12" t="str">
        <f>IF(G65="","",64*G65)</f>
        <v/>
      </c>
      <c r="I65" s="13"/>
      <c r="J65" s="13" t="str">
        <f>IFERROR(IF(OR(D65="",D65=0),"",I65/D65*100),"")</f>
        <v/>
      </c>
      <c r="K65" s="14"/>
      <c r="L65" s="13" t="str">
        <f>IF(I65="","",I65*K65)</f>
        <v/>
      </c>
      <c r="M65" s="13" t="str">
        <f>IF(B65="","",IFERROR(SUMPRODUCT(ISNUMBER(B$3:B65)*(MONTH(IF(ISNUMBER(B$3:B65),B$3:B65,1))=MONTH(B65))*(YEAR(IF(ISNUMBER(B$3:B65),B$3:B65,1))=YEAR(B65))*IF(ISNUMBER(L$3:L65),L$3:L65,0)),""))</f>
        <v/>
      </c>
      <c r="N65" s="6"/>
      <c r="O65" s="7" t="str">
        <f>IF(AND(B65="",ISNUMBER(B66)),CHOOSE(MONTH(B66),"GENNAIO","FEBBRAIO","MARZO","APRILE","MAGGIO","GIUGNO","LUGLIO","AGOSTO","SETTEMBRE","OTTOBRE","NOVEMBRE","DICEMBRE")&amp;" "&amp;YEAR(B66),"")</f>
        <v/>
      </c>
      <c r="P65" s="12" t="str">
        <f>IF(K65=0.2,"CASA","")</f>
        <v/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 customHeight="1" x14ac:dyDescent="0.2">
      <c r="A66" s="5" t="str">
        <f>IF(AND(B66="",ISNUMBER(B67)),CHOOSE(MONTH(B67),"GENNAIO","FEBBRAIO","MARZO","APRILE","MAGGIO","GIUGNO","LUGLIO","AGOSTO","SETTEMBRE","OTTOBRE","NOVEMBRE","DICEMBRE")&amp;" "&amp;YEAR(B67),"")</f>
        <v/>
      </c>
      <c r="B66" s="11"/>
      <c r="C66" s="12"/>
      <c r="D66" s="12" t="str">
        <f>IF(C66="","",C66-IF(C65&lt;&gt;"",C65,IF(C64&lt;&gt;"",C64,IF(C63&lt;&gt;"",C63,0))))</f>
        <v/>
      </c>
      <c r="E66" s="12"/>
      <c r="F66" s="12"/>
      <c r="G66" s="9" t="str">
        <f>IF(AND(E66="",F66=""),"",IF(OR(E66&gt;1,F66&gt;1),(F66-E66)/100,F66-E66))</f>
        <v/>
      </c>
      <c r="H66" s="12" t="str">
        <f>IF(G66="","",64*G66)</f>
        <v/>
      </c>
      <c r="I66" s="13"/>
      <c r="J66" s="13" t="str">
        <f>IFERROR(IF(OR(D66="",D66=0),"",I66/D66*100),"")</f>
        <v/>
      </c>
      <c r="K66" s="14"/>
      <c r="L66" s="13" t="str">
        <f>IF(I66="","",I66*K66)</f>
        <v/>
      </c>
      <c r="M66" s="13" t="str">
        <f>IF(B66="","",IFERROR(SUMPRODUCT(ISNUMBER(B$3:B66)*(MONTH(IF(ISNUMBER(B$3:B66),B$3:B66,1))=MONTH(B66))*(YEAR(IF(ISNUMBER(B$3:B66),B$3:B66,1))=YEAR(B66))*IF(ISNUMBER(L$3:L66),L$3:L66,0)),""))</f>
        <v/>
      </c>
      <c r="N66" s="6"/>
      <c r="O66" s="7" t="str">
        <f>IF(AND(B66="",ISNUMBER(B67)),CHOOSE(MONTH(B67),"GENNAIO","FEBBRAIO","MARZO","APRILE","MAGGIO","GIUGNO","LUGLIO","AGOSTO","SETTEMBRE","OTTOBRE","NOVEMBRE","DICEMBRE")&amp;" "&amp;YEAR(B67),"")</f>
        <v/>
      </c>
      <c r="P66" s="12" t="str">
        <f>IF(K66=0.2,"CASA","")</f>
        <v/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" customHeight="1" x14ac:dyDescent="0.2">
      <c r="A67" s="5" t="str">
        <f>IF(AND(B67="",ISNUMBER(B68)),CHOOSE(MONTH(B68),"GENNAIO","FEBBRAIO","MARZO","APRILE","MAGGIO","GIUGNO","LUGLIO","AGOSTO","SETTEMBRE","OTTOBRE","NOVEMBRE","DICEMBRE")&amp;" "&amp;YEAR(B68),"")</f>
        <v/>
      </c>
      <c r="B67" s="11"/>
      <c r="C67" s="12"/>
      <c r="D67" s="12" t="str">
        <f>IF(C67="","",C67-IF(C66&lt;&gt;"",C66,IF(C65&lt;&gt;"",C65,IF(C64&lt;&gt;"",C64,0))))</f>
        <v/>
      </c>
      <c r="E67" s="12"/>
      <c r="F67" s="12"/>
      <c r="G67" s="9" t="str">
        <f>IF(AND(E67="",F67=""),"",IF(OR(E67&gt;1,F67&gt;1),(F67-E67)/100,F67-E67))</f>
        <v/>
      </c>
      <c r="H67" s="12" t="str">
        <f>IF(G67="","",64*G67)</f>
        <v/>
      </c>
      <c r="I67" s="13"/>
      <c r="J67" s="13" t="str">
        <f>IFERROR(IF(OR(D67="",D67=0),"",I67/D67*100),"")</f>
        <v/>
      </c>
      <c r="K67" s="14"/>
      <c r="L67" s="13" t="str">
        <f>IF(I67="","",I67*K67)</f>
        <v/>
      </c>
      <c r="M67" s="13" t="str">
        <f>IF(B67="","",IFERROR(SUMPRODUCT(ISNUMBER(B$3:B67)*(MONTH(IF(ISNUMBER(B$3:B67),B$3:B67,1))=MONTH(B67))*(YEAR(IF(ISNUMBER(B$3:B67),B$3:B67,1))=YEAR(B67))*IF(ISNUMBER(L$3:L67),L$3:L67,0)),""))</f>
        <v/>
      </c>
      <c r="N67" s="6"/>
      <c r="O67" s="7" t="str">
        <f>IF(AND(B67="",ISNUMBER(B68)),CHOOSE(MONTH(B68),"GENNAIO","FEBBRAIO","MARZO","APRILE","MAGGIO","GIUGNO","LUGLIO","AGOSTO","SETTEMBRE","OTTOBRE","NOVEMBRE","DICEMBRE")&amp;" "&amp;YEAR(B68),"")</f>
        <v/>
      </c>
      <c r="P67" s="12" t="str">
        <f>IF(K67=0.2,"CASA","")</f>
        <v/>
      </c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" customHeight="1" x14ac:dyDescent="0.2">
      <c r="A68" s="5" t="str">
        <f>IF(AND(B68="",ISNUMBER(B69)),CHOOSE(MONTH(B69),"GENNAIO","FEBBRAIO","MARZO","APRILE","MAGGIO","GIUGNO","LUGLIO","AGOSTO","SETTEMBRE","OTTOBRE","NOVEMBRE","DICEMBRE")&amp;" "&amp;YEAR(B69),"")</f>
        <v/>
      </c>
      <c r="B68" s="11"/>
      <c r="C68" s="12"/>
      <c r="D68" s="12" t="str">
        <f>IF(C68="","",C68-IF(C67&lt;&gt;"",C67,IF(C66&lt;&gt;"",C66,IF(C65&lt;&gt;"",C65,0))))</f>
        <v/>
      </c>
      <c r="E68" s="12"/>
      <c r="F68" s="12"/>
      <c r="G68" s="9" t="str">
        <f>IF(AND(E68="",F68=""),"",IF(OR(E68&gt;1,F68&gt;1),(F68-E68)/100,F68-E68))</f>
        <v/>
      </c>
      <c r="H68" s="12" t="str">
        <f>IF(G68="","",64*G68)</f>
        <v/>
      </c>
      <c r="I68" s="13"/>
      <c r="J68" s="13" t="str">
        <f>IFERROR(IF(OR(D68="",D68=0),"",I68/D68*100),"")</f>
        <v/>
      </c>
      <c r="K68" s="14"/>
      <c r="L68" s="13" t="str">
        <f>IF(I68="","",I68*K68)</f>
        <v/>
      </c>
      <c r="M68" s="13" t="str">
        <f>IF(B68="","",IFERROR(SUMPRODUCT(ISNUMBER(B$3:B68)*(MONTH(IF(ISNUMBER(B$3:B68),B$3:B68,1))=MONTH(B68))*(YEAR(IF(ISNUMBER(B$3:B68),B$3:B68,1))=YEAR(B68))*IF(ISNUMBER(L$3:L68),L$3:L68,0)),""))</f>
        <v/>
      </c>
      <c r="N68" s="6"/>
      <c r="O68" s="7" t="str">
        <f>IF(AND(B68="",ISNUMBER(B69)),CHOOSE(MONTH(B69),"GENNAIO","FEBBRAIO","MARZO","APRILE","MAGGIO","GIUGNO","LUGLIO","AGOSTO","SETTEMBRE","OTTOBRE","NOVEMBRE","DICEMBRE")&amp;" "&amp;YEAR(B69),"")</f>
        <v/>
      </c>
      <c r="P68" s="12" t="str">
        <f>IF(K68=0.2,"CASA","")</f>
        <v/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" customHeight="1" x14ac:dyDescent="0.2">
      <c r="A69" s="5" t="str">
        <f>IF(AND(B69="",ISNUMBER(B70)),CHOOSE(MONTH(B70),"GENNAIO","FEBBRAIO","MARZO","APRILE","MAGGIO","GIUGNO","LUGLIO","AGOSTO","SETTEMBRE","OTTOBRE","NOVEMBRE","DICEMBRE")&amp;" "&amp;YEAR(B70),"")</f>
        <v/>
      </c>
      <c r="B69" s="11"/>
      <c r="C69" s="12"/>
      <c r="D69" s="12" t="str">
        <f>IF(C69="","",C69-IF(C68&lt;&gt;"",C68,IF(C67&lt;&gt;"",C67,IF(C66&lt;&gt;"",C66,0))))</f>
        <v/>
      </c>
      <c r="E69" s="12"/>
      <c r="F69" s="12"/>
      <c r="G69" s="9" t="str">
        <f>IF(AND(E69="",F69=""),"",IF(OR(E69&gt;1,F69&gt;1),(F69-E69)/100,F69-E69))</f>
        <v/>
      </c>
      <c r="H69" s="12" t="str">
        <f>IF(G69="","",64*G69)</f>
        <v/>
      </c>
      <c r="I69" s="13"/>
      <c r="J69" s="13" t="str">
        <f>IFERROR(IF(OR(D69="",D69=0),"",I69/D69*100),"")</f>
        <v/>
      </c>
      <c r="K69" s="14"/>
      <c r="L69" s="13" t="str">
        <f>IF(I69="","",I69*K69)</f>
        <v/>
      </c>
      <c r="M69" s="13" t="str">
        <f>IF(B69="","",IFERROR(SUMPRODUCT(ISNUMBER(B$3:B69)*(MONTH(IF(ISNUMBER(B$3:B69),B$3:B69,1))=MONTH(B69))*(YEAR(IF(ISNUMBER(B$3:B69),B$3:B69,1))=YEAR(B69))*IF(ISNUMBER(L$3:L69),L$3:L69,0)),""))</f>
        <v/>
      </c>
      <c r="N69" s="6"/>
      <c r="O69" s="7" t="str">
        <f>IF(AND(B69="",ISNUMBER(B70)),CHOOSE(MONTH(B70),"GENNAIO","FEBBRAIO","MARZO","APRILE","MAGGIO","GIUGNO","LUGLIO","AGOSTO","SETTEMBRE","OTTOBRE","NOVEMBRE","DICEMBRE")&amp;" "&amp;YEAR(B70),"")</f>
        <v/>
      </c>
      <c r="P69" s="12" t="str">
        <f>IF(K69=0.2,"CASA","")</f>
        <v/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" customHeight="1" x14ac:dyDescent="0.2">
      <c r="A70" s="5" t="str">
        <f>IF(AND(B70="",ISNUMBER(B71)),CHOOSE(MONTH(B71),"GENNAIO","FEBBRAIO","MARZO","APRILE","MAGGIO","GIUGNO","LUGLIO","AGOSTO","SETTEMBRE","OTTOBRE","NOVEMBRE","DICEMBRE")&amp;" "&amp;YEAR(B71),"")</f>
        <v/>
      </c>
      <c r="B70" s="11"/>
      <c r="C70" s="12"/>
      <c r="D70" s="12" t="str">
        <f>IF(C70="","",C70-IF(C69&lt;&gt;"",C69,IF(C68&lt;&gt;"",C68,IF(C67&lt;&gt;"",C67,0))))</f>
        <v/>
      </c>
      <c r="E70" s="12"/>
      <c r="F70" s="12"/>
      <c r="G70" s="9" t="str">
        <f>IF(AND(E70="",F70=""),"",IF(OR(E70&gt;1,F70&gt;1),(F70-E70)/100,F70-E70))</f>
        <v/>
      </c>
      <c r="H70" s="12" t="str">
        <f>IF(G70="","",64*G70)</f>
        <v/>
      </c>
      <c r="I70" s="13"/>
      <c r="J70" s="13" t="str">
        <f>IFERROR(IF(OR(D70="",D70=0),"",I70/D70*100),"")</f>
        <v/>
      </c>
      <c r="K70" s="14"/>
      <c r="L70" s="13" t="str">
        <f>IF(I70="","",I70*K70)</f>
        <v/>
      </c>
      <c r="M70" s="13" t="str">
        <f>IF(B70="","",IFERROR(SUMPRODUCT(ISNUMBER(B$3:B70)*(MONTH(IF(ISNUMBER(B$3:B70),B$3:B70,1))=MONTH(B70))*(YEAR(IF(ISNUMBER(B$3:B70),B$3:B70,1))=YEAR(B70))*IF(ISNUMBER(L$3:L70),L$3:L70,0)),""))</f>
        <v/>
      </c>
      <c r="N70" s="6"/>
      <c r="O70" s="7" t="str">
        <f>IF(AND(B70="",ISNUMBER(B71)),CHOOSE(MONTH(B71),"GENNAIO","FEBBRAIO","MARZO","APRILE","MAGGIO","GIUGNO","LUGLIO","AGOSTO","SETTEMBRE","OTTOBRE","NOVEMBRE","DICEMBRE")&amp;" "&amp;YEAR(B71),"")</f>
        <v/>
      </c>
      <c r="P70" s="12" t="str">
        <f>IF(K70=0.2,"CASA","")</f>
        <v/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 customHeight="1" x14ac:dyDescent="0.2">
      <c r="A71" s="5" t="str">
        <f>IF(AND(B71="",ISNUMBER(B72)),CHOOSE(MONTH(B72),"GENNAIO","FEBBRAIO","MARZO","APRILE","MAGGIO","GIUGNO","LUGLIO","AGOSTO","SETTEMBRE","OTTOBRE","NOVEMBRE","DICEMBRE")&amp;" "&amp;YEAR(B72),"")</f>
        <v/>
      </c>
      <c r="B71" s="11"/>
      <c r="C71" s="12"/>
      <c r="D71" s="12" t="str">
        <f>IF(C71="","",C71-IF(C70&lt;&gt;"",C70,IF(C69&lt;&gt;"",C69,IF(C68&lt;&gt;"",C68,0))))</f>
        <v/>
      </c>
      <c r="E71" s="12"/>
      <c r="F71" s="12"/>
      <c r="G71" s="9" t="str">
        <f>IF(AND(E71="",F71=""),"",IF(OR(E71&gt;1,F71&gt;1),(F71-E71)/100,F71-E71))</f>
        <v/>
      </c>
      <c r="H71" s="12" t="str">
        <f>IF(G71="","",64*G71)</f>
        <v/>
      </c>
      <c r="I71" s="13"/>
      <c r="J71" s="13" t="str">
        <f>IFERROR(IF(OR(D71="",D71=0),"",I71/D71*100),"")</f>
        <v/>
      </c>
      <c r="K71" s="14"/>
      <c r="L71" s="13" t="str">
        <f>IF(I71="","",I71*K71)</f>
        <v/>
      </c>
      <c r="M71" s="13" t="str">
        <f>IF(B71="","",IFERROR(SUMPRODUCT(ISNUMBER(B$3:B71)*(MONTH(IF(ISNUMBER(B$3:B71),B$3:B71,1))=MONTH(B71))*(YEAR(IF(ISNUMBER(B$3:B71),B$3:B71,1))=YEAR(B71))*IF(ISNUMBER(L$3:L71),L$3:L71,0)),""))</f>
        <v/>
      </c>
      <c r="N71" s="6"/>
      <c r="O71" s="7" t="str">
        <f>IF(AND(B71="",ISNUMBER(B72)),CHOOSE(MONTH(B72),"GENNAIO","FEBBRAIO","MARZO","APRILE","MAGGIO","GIUGNO","LUGLIO","AGOSTO","SETTEMBRE","OTTOBRE","NOVEMBRE","DICEMBRE")&amp;" "&amp;YEAR(B72),"")</f>
        <v/>
      </c>
      <c r="P71" s="12" t="str">
        <f>IF(K71=0.2,"CASA","")</f>
        <v/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" customHeight="1" x14ac:dyDescent="0.2">
      <c r="A72" s="5" t="str">
        <f>IF(AND(B72="",ISNUMBER(B73)),CHOOSE(MONTH(B73),"GENNAIO","FEBBRAIO","MARZO","APRILE","MAGGIO","GIUGNO","LUGLIO","AGOSTO","SETTEMBRE","OTTOBRE","NOVEMBRE","DICEMBRE")&amp;" "&amp;YEAR(B73),"")</f>
        <v/>
      </c>
      <c r="B72" s="11"/>
      <c r="C72" s="12"/>
      <c r="D72" s="12" t="str">
        <f>IF(C72="","",C72-IF(C71&lt;&gt;"",C71,IF(C70&lt;&gt;"",C70,IF(C69&lt;&gt;"",C69,0))))</f>
        <v/>
      </c>
      <c r="E72" s="12"/>
      <c r="F72" s="12"/>
      <c r="G72" s="9" t="str">
        <f>IF(AND(E72="",F72=""),"",IF(OR(E72&gt;1,F72&gt;1),(F72-E72)/100,F72-E72))</f>
        <v/>
      </c>
      <c r="H72" s="12" t="str">
        <f>IF(G72="","",64*G72)</f>
        <v/>
      </c>
      <c r="I72" s="13"/>
      <c r="J72" s="13" t="str">
        <f>IFERROR(IF(OR(D72="",D72=0),"",I72/D72*100),"")</f>
        <v/>
      </c>
      <c r="K72" s="14"/>
      <c r="L72" s="13" t="str">
        <f>IF(I72="","",I72*K72)</f>
        <v/>
      </c>
      <c r="M72" s="13" t="str">
        <f>IF(B72="","",IFERROR(SUMPRODUCT(ISNUMBER(B$3:B72)*(MONTH(IF(ISNUMBER(B$3:B72),B$3:B72,1))=MONTH(B72))*(YEAR(IF(ISNUMBER(B$3:B72),B$3:B72,1))=YEAR(B72))*IF(ISNUMBER(L$3:L72),L$3:L72,0)),""))</f>
        <v/>
      </c>
      <c r="N72" s="6"/>
      <c r="O72" s="7" t="str">
        <f>IF(AND(B72="",ISNUMBER(B73)),CHOOSE(MONTH(B73),"GENNAIO","FEBBRAIO","MARZO","APRILE","MAGGIO","GIUGNO","LUGLIO","AGOSTO","SETTEMBRE","OTTOBRE","NOVEMBRE","DICEMBRE")&amp;" "&amp;YEAR(B73),"")</f>
        <v/>
      </c>
      <c r="P72" s="12" t="str">
        <f>IF(K72=0.2,"CASA","")</f>
        <v/>
      </c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" customHeight="1" x14ac:dyDescent="0.2">
      <c r="A73" s="5" t="str">
        <f>IF(AND(B73="",ISNUMBER(B74)),CHOOSE(MONTH(B74),"GENNAIO","FEBBRAIO","MARZO","APRILE","MAGGIO","GIUGNO","LUGLIO","AGOSTO","SETTEMBRE","OTTOBRE","NOVEMBRE","DICEMBRE")&amp;" "&amp;YEAR(B74),"")</f>
        <v/>
      </c>
      <c r="B73" s="11"/>
      <c r="C73" s="12"/>
      <c r="D73" s="12" t="str">
        <f>IF(C73="","",C73-IF(C72&lt;&gt;"",C72,IF(C71&lt;&gt;"",C71,IF(C70&lt;&gt;"",C70,0))))</f>
        <v/>
      </c>
      <c r="E73" s="12"/>
      <c r="F73" s="12"/>
      <c r="G73" s="9" t="str">
        <f>IF(AND(E73="",F73=""),"",IF(OR(E73&gt;1,F73&gt;1),(F73-E73)/100,F73-E73))</f>
        <v/>
      </c>
      <c r="H73" s="12" t="str">
        <f>IF(G73="","",64*G73)</f>
        <v/>
      </c>
      <c r="I73" s="13"/>
      <c r="J73" s="13" t="str">
        <f>IFERROR(IF(OR(D73="",D73=0),"",I73/D73*100),"")</f>
        <v/>
      </c>
      <c r="K73" s="14"/>
      <c r="L73" s="13" t="str">
        <f>IF(I73="","",I73*K73)</f>
        <v/>
      </c>
      <c r="M73" s="13" t="str">
        <f>IF(B73="","",IFERROR(SUMPRODUCT(ISNUMBER(B$3:B73)*(MONTH(IF(ISNUMBER(B$3:B73),B$3:B73,1))=MONTH(B73))*(YEAR(IF(ISNUMBER(B$3:B73),B$3:B73,1))=YEAR(B73))*IF(ISNUMBER(L$3:L73),L$3:L73,0)),""))</f>
        <v/>
      </c>
      <c r="N73" s="6"/>
      <c r="O73" s="7" t="str">
        <f>IF(AND(B73="",ISNUMBER(B74)),CHOOSE(MONTH(B74),"GENNAIO","FEBBRAIO","MARZO","APRILE","MAGGIO","GIUGNO","LUGLIO","AGOSTO","SETTEMBRE","OTTOBRE","NOVEMBRE","DICEMBRE")&amp;" "&amp;YEAR(B74),"")</f>
        <v/>
      </c>
      <c r="P73" s="12" t="str">
        <f>IF(K73=0.2,"CASA","")</f>
        <v/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" customHeight="1" x14ac:dyDescent="0.2">
      <c r="A74" s="5" t="str">
        <f>IF(AND(B74="",ISNUMBER(B75)),CHOOSE(MONTH(B75),"GENNAIO","FEBBRAIO","MARZO","APRILE","MAGGIO","GIUGNO","LUGLIO","AGOSTO","SETTEMBRE","OTTOBRE","NOVEMBRE","DICEMBRE")&amp;" "&amp;YEAR(B75),"")</f>
        <v/>
      </c>
      <c r="B74" s="11"/>
      <c r="C74" s="12"/>
      <c r="D74" s="12" t="str">
        <f>IF(C74="","",C74-IF(C73&lt;&gt;"",C73,IF(C72&lt;&gt;"",C72,IF(C71&lt;&gt;"",C71,0))))</f>
        <v/>
      </c>
      <c r="E74" s="12"/>
      <c r="F74" s="12"/>
      <c r="G74" s="9" t="str">
        <f>IF(AND(E74="",F74=""),"",IF(OR(E74&gt;1,F74&gt;1),(F74-E74)/100,F74-E74))</f>
        <v/>
      </c>
      <c r="H74" s="12" t="str">
        <f>IF(G74="","",64*G74)</f>
        <v/>
      </c>
      <c r="I74" s="13"/>
      <c r="J74" s="13" t="str">
        <f>IFERROR(IF(OR(D74="",D74=0),"",I74/D74*100),"")</f>
        <v/>
      </c>
      <c r="K74" s="14"/>
      <c r="L74" s="13" t="str">
        <f>IF(I74="","",I74*K74)</f>
        <v/>
      </c>
      <c r="M74" s="13" t="str">
        <f>IF(B74="","",IFERROR(SUMPRODUCT(ISNUMBER(B$3:B74)*(MONTH(IF(ISNUMBER(B$3:B74),B$3:B74,1))=MONTH(B74))*(YEAR(IF(ISNUMBER(B$3:B74),B$3:B74,1))=YEAR(B74))*IF(ISNUMBER(L$3:L74),L$3:L74,0)),""))</f>
        <v/>
      </c>
      <c r="N74" s="6"/>
      <c r="O74" s="7" t="str">
        <f>IF(AND(B74="",ISNUMBER(B75)),CHOOSE(MONTH(B75),"GENNAIO","FEBBRAIO","MARZO","APRILE","MAGGIO","GIUGNO","LUGLIO","AGOSTO","SETTEMBRE","OTTOBRE","NOVEMBRE","DICEMBRE")&amp;" "&amp;YEAR(B75),"")</f>
        <v/>
      </c>
      <c r="P74" s="12" t="str">
        <f>IF(K74=0.2,"CASA","")</f>
        <v/>
      </c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" customHeight="1" x14ac:dyDescent="0.2">
      <c r="A75" s="5" t="str">
        <f>IF(AND(B75="",ISNUMBER(B76)),CHOOSE(MONTH(B76),"GENNAIO","FEBBRAIO","MARZO","APRILE","MAGGIO","GIUGNO","LUGLIO","AGOSTO","SETTEMBRE","OTTOBRE","NOVEMBRE","DICEMBRE")&amp;" "&amp;YEAR(B76),"")</f>
        <v/>
      </c>
      <c r="B75" s="11"/>
      <c r="C75" s="12"/>
      <c r="D75" s="12" t="str">
        <f>IF(C75="","",C75-IF(C74&lt;&gt;"",C74,IF(C73&lt;&gt;"",C73,IF(C72&lt;&gt;"",C72,0))))</f>
        <v/>
      </c>
      <c r="E75" s="12"/>
      <c r="F75" s="12"/>
      <c r="G75" s="9" t="str">
        <f>IF(AND(E75="",F75=""),"",IF(OR(E75&gt;1,F75&gt;1),(F75-E75)/100,F75-E75))</f>
        <v/>
      </c>
      <c r="H75" s="12" t="str">
        <f>IF(G75="","",64*G75)</f>
        <v/>
      </c>
      <c r="I75" s="13"/>
      <c r="J75" s="13" t="str">
        <f>IFERROR(IF(OR(D75="",D75=0),"",I75/D75*100),"")</f>
        <v/>
      </c>
      <c r="K75" s="14"/>
      <c r="L75" s="13" t="str">
        <f>IF(I75="","",I75*K75)</f>
        <v/>
      </c>
      <c r="M75" s="13" t="str">
        <f>IF(B75="","",IFERROR(SUMPRODUCT(ISNUMBER(B$3:B75)*(MONTH(IF(ISNUMBER(B$3:B75),B$3:B75,1))=MONTH(B75))*(YEAR(IF(ISNUMBER(B$3:B75),B$3:B75,1))=YEAR(B75))*IF(ISNUMBER(L$3:L75),L$3:L75,0)),""))</f>
        <v/>
      </c>
      <c r="N75" s="6"/>
      <c r="O75" s="7" t="str">
        <f>IF(AND(B75="",ISNUMBER(B76)),CHOOSE(MONTH(B76),"GENNAIO","FEBBRAIO","MARZO","APRILE","MAGGIO","GIUGNO","LUGLIO","AGOSTO","SETTEMBRE","OTTOBRE","NOVEMBRE","DICEMBRE")&amp;" "&amp;YEAR(B76),"")</f>
        <v/>
      </c>
      <c r="P75" s="12" t="str">
        <f>IF(K75=0.2,"CASA","")</f>
        <v/>
      </c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" customHeight="1" x14ac:dyDescent="0.2">
      <c r="A76" s="5" t="str">
        <f>IF(AND(B76="",ISNUMBER(B77)),CHOOSE(MONTH(B77),"GENNAIO","FEBBRAIO","MARZO","APRILE","MAGGIO","GIUGNO","LUGLIO","AGOSTO","SETTEMBRE","OTTOBRE","NOVEMBRE","DICEMBRE")&amp;" "&amp;YEAR(B77),"")</f>
        <v/>
      </c>
      <c r="B76" s="11"/>
      <c r="C76" s="12"/>
      <c r="D76" s="12" t="str">
        <f>IF(C76="","",C76-IF(C75&lt;&gt;"",C75,IF(C74&lt;&gt;"",C74,IF(C73&lt;&gt;"",C73,0))))</f>
        <v/>
      </c>
      <c r="E76" s="12"/>
      <c r="F76" s="12"/>
      <c r="G76" s="9" t="str">
        <f>IF(AND(E76="",F76=""),"",IF(OR(E76&gt;1,F76&gt;1),(F76-E76)/100,F76-E76))</f>
        <v/>
      </c>
      <c r="H76" s="12" t="str">
        <f>IF(G76="","",64*G76)</f>
        <v/>
      </c>
      <c r="I76" s="13"/>
      <c r="J76" s="13" t="str">
        <f>IFERROR(IF(OR(D76="",D76=0),"",I76/D76*100),"")</f>
        <v/>
      </c>
      <c r="K76" s="14"/>
      <c r="L76" s="13" t="str">
        <f>IF(I76="","",I76*K76)</f>
        <v/>
      </c>
      <c r="M76" s="13" t="str">
        <f>IF(B76="","",IFERROR(SUMPRODUCT(ISNUMBER(B$3:B76)*(MONTH(IF(ISNUMBER(B$3:B76),B$3:B76,1))=MONTH(B76))*(YEAR(IF(ISNUMBER(B$3:B76),B$3:B76,1))=YEAR(B76))*IF(ISNUMBER(L$3:L76),L$3:L76,0)),""))</f>
        <v/>
      </c>
      <c r="N76" s="6"/>
      <c r="O76" s="7" t="str">
        <f>IF(AND(B76="",ISNUMBER(B77)),CHOOSE(MONTH(B77),"GENNAIO","FEBBRAIO","MARZO","APRILE","MAGGIO","GIUGNO","LUGLIO","AGOSTO","SETTEMBRE","OTTOBRE","NOVEMBRE","DICEMBRE")&amp;" "&amp;YEAR(B77),"")</f>
        <v/>
      </c>
      <c r="P76" s="12" t="str">
        <f>IF(K76=0.2,"CASA","")</f>
        <v/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" customHeight="1" x14ac:dyDescent="0.2">
      <c r="A77" s="5" t="str">
        <f>IF(AND(B77="",ISNUMBER(B78)),CHOOSE(MONTH(B78),"GENNAIO","FEBBRAIO","MARZO","APRILE","MAGGIO","GIUGNO","LUGLIO","AGOSTO","SETTEMBRE","OTTOBRE","NOVEMBRE","DICEMBRE")&amp;" "&amp;YEAR(B78),"")</f>
        <v/>
      </c>
      <c r="B77" s="11"/>
      <c r="C77" s="12"/>
      <c r="D77" s="12" t="str">
        <f>IF(C77="","",C77-IF(C76&lt;&gt;"",C76,IF(C75&lt;&gt;"",C75,IF(C74&lt;&gt;"",C74,0))))</f>
        <v/>
      </c>
      <c r="E77" s="12"/>
      <c r="F77" s="12"/>
      <c r="G77" s="9" t="str">
        <f>IF(AND(E77="",F77=""),"",IF(OR(E77&gt;1,F77&gt;1),(F77-E77)/100,F77-E77))</f>
        <v/>
      </c>
      <c r="H77" s="12" t="str">
        <f>IF(G77="","",64*G77)</f>
        <v/>
      </c>
      <c r="I77" s="13"/>
      <c r="J77" s="13" t="str">
        <f>IFERROR(IF(OR(D77="",D77=0),"",I77/D77*100),"")</f>
        <v/>
      </c>
      <c r="K77" s="14"/>
      <c r="L77" s="13" t="str">
        <f>IF(I77="","",I77*K77)</f>
        <v/>
      </c>
      <c r="M77" s="13" t="str">
        <f>IF(B77="","",IFERROR(SUMPRODUCT(ISNUMBER(B$3:B77)*(MONTH(IF(ISNUMBER(B$3:B77),B$3:B77,1))=MONTH(B77))*(YEAR(IF(ISNUMBER(B$3:B77),B$3:B77,1))=YEAR(B77))*IF(ISNUMBER(L$3:L77),L$3:L77,0)),""))</f>
        <v/>
      </c>
      <c r="N77" s="6"/>
      <c r="O77" s="7" t="str">
        <f>IF(AND(B77="",ISNUMBER(B78)),CHOOSE(MONTH(B78),"GENNAIO","FEBBRAIO","MARZO","APRILE","MAGGIO","GIUGNO","LUGLIO","AGOSTO","SETTEMBRE","OTTOBRE","NOVEMBRE","DICEMBRE")&amp;" "&amp;YEAR(B78),"")</f>
        <v/>
      </c>
      <c r="P77" s="12" t="str">
        <f>IF(K77=0.2,"CASA","")</f>
        <v/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" customHeight="1" x14ac:dyDescent="0.2">
      <c r="A78" s="5" t="str">
        <f>IF(AND(B78="",ISNUMBER(B79)),CHOOSE(MONTH(B79),"GENNAIO","FEBBRAIO","MARZO","APRILE","MAGGIO","GIUGNO","LUGLIO","AGOSTO","SETTEMBRE","OTTOBRE","NOVEMBRE","DICEMBRE")&amp;" "&amp;YEAR(B79),"")</f>
        <v/>
      </c>
      <c r="B78" s="11"/>
      <c r="C78" s="12"/>
      <c r="D78" s="12" t="str">
        <f>IF(C78="","",C78-IF(C77&lt;&gt;"",C77,IF(C76&lt;&gt;"",C76,IF(C75&lt;&gt;"",C75,0))))</f>
        <v/>
      </c>
      <c r="E78" s="12"/>
      <c r="F78" s="12"/>
      <c r="G78" s="9" t="str">
        <f>IF(AND(E78="",F78=""),"",IF(OR(E78&gt;1,F78&gt;1),(F78-E78)/100,F78-E78))</f>
        <v/>
      </c>
      <c r="H78" s="12" t="str">
        <f>IF(G78="","",64*G78)</f>
        <v/>
      </c>
      <c r="I78" s="13"/>
      <c r="J78" s="13" t="str">
        <f>IFERROR(IF(OR(D78="",D78=0),"",I78/D78*100),"")</f>
        <v/>
      </c>
      <c r="K78" s="14"/>
      <c r="L78" s="13" t="str">
        <f>IF(I78="","",I78*K78)</f>
        <v/>
      </c>
      <c r="M78" s="13" t="str">
        <f>IF(B78="","",IFERROR(SUMPRODUCT(ISNUMBER(B$3:B78)*(MONTH(IF(ISNUMBER(B$3:B78),B$3:B78,1))=MONTH(B78))*(YEAR(IF(ISNUMBER(B$3:B78),B$3:B78,1))=YEAR(B78))*IF(ISNUMBER(L$3:L78),L$3:L78,0)),""))</f>
        <v/>
      </c>
      <c r="N78" s="6"/>
      <c r="O78" s="7" t="str">
        <f>IF(AND(B78="",ISNUMBER(B79)),CHOOSE(MONTH(B79),"GENNAIO","FEBBRAIO","MARZO","APRILE","MAGGIO","GIUGNO","LUGLIO","AGOSTO","SETTEMBRE","OTTOBRE","NOVEMBRE","DICEMBRE")&amp;" "&amp;YEAR(B79),"")</f>
        <v/>
      </c>
      <c r="P78" s="12" t="str">
        <f>IF(K78=0.2,"CASA","")</f>
        <v/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" customHeight="1" x14ac:dyDescent="0.2">
      <c r="A79" s="5" t="str">
        <f>IF(AND(B79="",ISNUMBER(B80)),CHOOSE(MONTH(B80),"GENNAIO","FEBBRAIO","MARZO","APRILE","MAGGIO","GIUGNO","LUGLIO","AGOSTO","SETTEMBRE","OTTOBRE","NOVEMBRE","DICEMBRE")&amp;" "&amp;YEAR(B80),"")</f>
        <v/>
      </c>
      <c r="B79" s="11"/>
      <c r="C79" s="12"/>
      <c r="D79" s="12" t="str">
        <f>IF(C79="","",C79-IF(C78&lt;&gt;"",C78,IF(C77&lt;&gt;"",C77,IF(C76&lt;&gt;"",C76,0))))</f>
        <v/>
      </c>
      <c r="E79" s="12"/>
      <c r="F79" s="12"/>
      <c r="G79" s="9" t="str">
        <f>IF(AND(E79="",F79=""),"",IF(OR(E79&gt;1,F79&gt;1),(F79-E79)/100,F79-E79))</f>
        <v/>
      </c>
      <c r="H79" s="12" t="str">
        <f>IF(G79="","",64*G79)</f>
        <v/>
      </c>
      <c r="I79" s="13"/>
      <c r="J79" s="13" t="str">
        <f>IFERROR(IF(OR(D79="",D79=0),"",I79/D79*100),"")</f>
        <v/>
      </c>
      <c r="K79" s="14"/>
      <c r="L79" s="13" t="str">
        <f>IF(I79="","",I79*K79)</f>
        <v/>
      </c>
      <c r="M79" s="13" t="str">
        <f>IF(B79="","",IFERROR(SUMPRODUCT(ISNUMBER(B$3:B79)*(MONTH(IF(ISNUMBER(B$3:B79),B$3:B79,1))=MONTH(B79))*(YEAR(IF(ISNUMBER(B$3:B79),B$3:B79,1))=YEAR(B79))*IF(ISNUMBER(L$3:L79),L$3:L79,0)),""))</f>
        <v/>
      </c>
      <c r="N79" s="6"/>
      <c r="O79" s="7" t="str">
        <f>IF(AND(B79="",ISNUMBER(B80)),CHOOSE(MONTH(B80),"GENNAIO","FEBBRAIO","MARZO","APRILE","MAGGIO","GIUGNO","LUGLIO","AGOSTO","SETTEMBRE","OTTOBRE","NOVEMBRE","DICEMBRE")&amp;" "&amp;YEAR(B80),"")</f>
        <v/>
      </c>
      <c r="P79" s="12" t="str">
        <f>IF(K79=0.2,"CASA","")</f>
        <v/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" customHeight="1" x14ac:dyDescent="0.2">
      <c r="A80" s="5" t="str">
        <f>IF(AND(B80="",ISNUMBER(B81)),CHOOSE(MONTH(B81),"GENNAIO","FEBBRAIO","MARZO","APRILE","MAGGIO","GIUGNO","LUGLIO","AGOSTO","SETTEMBRE","OTTOBRE","NOVEMBRE","DICEMBRE")&amp;" "&amp;YEAR(B81),"")</f>
        <v/>
      </c>
      <c r="B80" s="11"/>
      <c r="C80" s="12"/>
      <c r="D80" s="12" t="str">
        <f>IF(C80="","",C80-IF(C79&lt;&gt;"",C79,IF(C78&lt;&gt;"",C78,IF(C77&lt;&gt;"",C77,0))))</f>
        <v/>
      </c>
      <c r="E80" s="12"/>
      <c r="F80" s="12"/>
      <c r="G80" s="9" t="str">
        <f>IF(AND(E80="",F80=""),"",IF(OR(E80&gt;1,F80&gt;1),(F80-E80)/100,F80-E80))</f>
        <v/>
      </c>
      <c r="H80" s="12" t="str">
        <f>IF(G80="","",64*G80)</f>
        <v/>
      </c>
      <c r="I80" s="13"/>
      <c r="J80" s="13" t="str">
        <f>IFERROR(IF(OR(D80="",D80=0),"",I80/D80*100),"")</f>
        <v/>
      </c>
      <c r="K80" s="14"/>
      <c r="L80" s="13" t="str">
        <f>IF(I80="","",I80*K80)</f>
        <v/>
      </c>
      <c r="M80" s="13" t="str">
        <f>IF(B80="","",IFERROR(SUMPRODUCT(ISNUMBER(B$3:B80)*(MONTH(IF(ISNUMBER(B$3:B80),B$3:B80,1))=MONTH(B80))*(YEAR(IF(ISNUMBER(B$3:B80),B$3:B80,1))=YEAR(B80))*IF(ISNUMBER(L$3:L80),L$3:L80,0)),""))</f>
        <v/>
      </c>
      <c r="N80" s="6"/>
      <c r="O80" s="7" t="str">
        <f>IF(AND(B80="",ISNUMBER(B81)),CHOOSE(MONTH(B81),"GENNAIO","FEBBRAIO","MARZO","APRILE","MAGGIO","GIUGNO","LUGLIO","AGOSTO","SETTEMBRE","OTTOBRE","NOVEMBRE","DICEMBRE")&amp;" "&amp;YEAR(B81),"")</f>
        <v/>
      </c>
      <c r="P80" s="12" t="str">
        <f>IF(K80=0.2,"CASA","")</f>
        <v/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" customHeight="1" x14ac:dyDescent="0.2">
      <c r="A81" s="5" t="str">
        <f>IF(AND(B81="",ISNUMBER(B82)),CHOOSE(MONTH(B82),"GENNAIO","FEBBRAIO","MARZO","APRILE","MAGGIO","GIUGNO","LUGLIO","AGOSTO","SETTEMBRE","OTTOBRE","NOVEMBRE","DICEMBRE")&amp;" "&amp;YEAR(B82),"")</f>
        <v/>
      </c>
      <c r="B81" s="11"/>
      <c r="C81" s="12"/>
      <c r="D81" s="12" t="str">
        <f>IF(C81="","",C81-IF(C80&lt;&gt;"",C80,IF(C79&lt;&gt;"",C79,IF(C78&lt;&gt;"",C78,0))))</f>
        <v/>
      </c>
      <c r="E81" s="12"/>
      <c r="F81" s="12"/>
      <c r="G81" s="9" t="str">
        <f>IF(AND(E81="",F81=""),"",IF(OR(E81&gt;1,F81&gt;1),(F81-E81)/100,F81-E81))</f>
        <v/>
      </c>
      <c r="H81" s="12" t="str">
        <f>IF(G81="","",64*G81)</f>
        <v/>
      </c>
      <c r="I81" s="13"/>
      <c r="J81" s="13" t="str">
        <f>IFERROR(IF(OR(D81="",D81=0),"",I81/D81*100),"")</f>
        <v/>
      </c>
      <c r="K81" s="14"/>
      <c r="L81" s="13" t="str">
        <f>IF(I81="","",I81*K81)</f>
        <v/>
      </c>
      <c r="M81" s="13" t="str">
        <f>IF(B81="","",IFERROR(SUMPRODUCT(ISNUMBER(B$3:B81)*(MONTH(IF(ISNUMBER(B$3:B81),B$3:B81,1))=MONTH(B81))*(YEAR(IF(ISNUMBER(B$3:B81),B$3:B81,1))=YEAR(B81))*IF(ISNUMBER(L$3:L81),L$3:L81,0)),""))</f>
        <v/>
      </c>
      <c r="N81" s="6"/>
      <c r="O81" s="7" t="str">
        <f>IF(AND(B81="",ISNUMBER(B82)),CHOOSE(MONTH(B82),"GENNAIO","FEBBRAIO","MARZO","APRILE","MAGGIO","GIUGNO","LUGLIO","AGOSTO","SETTEMBRE","OTTOBRE","NOVEMBRE","DICEMBRE")&amp;" "&amp;YEAR(B82),"")</f>
        <v/>
      </c>
      <c r="P81" s="12" t="str">
        <f>IF(K81=0.2,"CASA","")</f>
        <v/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" customHeight="1" x14ac:dyDescent="0.2">
      <c r="A82" s="5" t="str">
        <f>IF(AND(B82="",ISNUMBER(B83)),CHOOSE(MONTH(B83),"GENNAIO","FEBBRAIO","MARZO","APRILE","MAGGIO","GIUGNO","LUGLIO","AGOSTO","SETTEMBRE","OTTOBRE","NOVEMBRE","DICEMBRE")&amp;" "&amp;YEAR(B83),"")</f>
        <v/>
      </c>
      <c r="B82" s="11"/>
      <c r="C82" s="12"/>
      <c r="D82" s="12" t="str">
        <f>IF(C82="","",C82-IF(C81&lt;&gt;"",C81,IF(C80&lt;&gt;"",C80,IF(C79&lt;&gt;"",C79,0))))</f>
        <v/>
      </c>
      <c r="E82" s="12"/>
      <c r="F82" s="12"/>
      <c r="G82" s="9" t="str">
        <f>IF(AND(E82="",F82=""),"",IF(OR(E82&gt;1,F82&gt;1),(F82-E82)/100,F82-E82))</f>
        <v/>
      </c>
      <c r="H82" s="12" t="str">
        <f>IF(G82="","",64*G82)</f>
        <v/>
      </c>
      <c r="I82" s="13"/>
      <c r="J82" s="13" t="str">
        <f>IFERROR(IF(OR(D82="",D82=0),"",I82/D82*100),"")</f>
        <v/>
      </c>
      <c r="K82" s="14"/>
      <c r="L82" s="13" t="str">
        <f>IF(I82="","",I82*K82)</f>
        <v/>
      </c>
      <c r="M82" s="13" t="str">
        <f>IF(B82="","",IFERROR(SUMPRODUCT(ISNUMBER(B$3:B82)*(MONTH(IF(ISNUMBER(B$3:B82),B$3:B82,1))=MONTH(B82))*(YEAR(IF(ISNUMBER(B$3:B82),B$3:B82,1))=YEAR(B82))*IF(ISNUMBER(L$3:L82),L$3:L82,0)),""))</f>
        <v/>
      </c>
      <c r="N82" s="6"/>
      <c r="O82" s="7" t="str">
        <f>IF(AND(B82="",ISNUMBER(B83)),CHOOSE(MONTH(B83),"GENNAIO","FEBBRAIO","MARZO","APRILE","MAGGIO","GIUGNO","LUGLIO","AGOSTO","SETTEMBRE","OTTOBRE","NOVEMBRE","DICEMBRE")&amp;" "&amp;YEAR(B83),"")</f>
        <v/>
      </c>
      <c r="P82" s="12" t="str">
        <f>IF(K82=0.2,"CASA","")</f>
        <v/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" customHeight="1" x14ac:dyDescent="0.2">
      <c r="A83" s="5" t="str">
        <f>IF(AND(B83="",ISNUMBER(B84)),CHOOSE(MONTH(B84),"GENNAIO","FEBBRAIO","MARZO","APRILE","MAGGIO","GIUGNO","LUGLIO","AGOSTO","SETTEMBRE","OTTOBRE","NOVEMBRE","DICEMBRE")&amp;" "&amp;YEAR(B84),"")</f>
        <v/>
      </c>
      <c r="B83" s="11"/>
      <c r="C83" s="12"/>
      <c r="D83" s="12" t="str">
        <f>IF(C83="","",C83-IF(C82&lt;&gt;"",C82,IF(C81&lt;&gt;"",C81,IF(C80&lt;&gt;"",C80,0))))</f>
        <v/>
      </c>
      <c r="E83" s="12"/>
      <c r="F83" s="12"/>
      <c r="G83" s="9" t="str">
        <f>IF(AND(E83="",F83=""),"",IF(OR(E83&gt;1,F83&gt;1),(F83-E83)/100,F83-E83))</f>
        <v/>
      </c>
      <c r="H83" s="12" t="str">
        <f>IF(G83="","",64*G83)</f>
        <v/>
      </c>
      <c r="I83" s="13"/>
      <c r="J83" s="13" t="str">
        <f>IFERROR(IF(OR(D83="",D83=0),"",I83/D83*100),"")</f>
        <v/>
      </c>
      <c r="K83" s="14"/>
      <c r="L83" s="13" t="str">
        <f>IF(I83="","",I83*K83)</f>
        <v/>
      </c>
      <c r="M83" s="13" t="str">
        <f>IF(B83="","",IFERROR(SUMPRODUCT(ISNUMBER(B$3:B83)*(MONTH(IF(ISNUMBER(B$3:B83),B$3:B83,1))=MONTH(B83))*(YEAR(IF(ISNUMBER(B$3:B83),B$3:B83,1))=YEAR(B83))*IF(ISNUMBER(L$3:L83),L$3:L83,0)),""))</f>
        <v/>
      </c>
      <c r="N83" s="6"/>
      <c r="O83" s="7" t="str">
        <f>IF(AND(B83="",ISNUMBER(B84)),CHOOSE(MONTH(B84),"GENNAIO","FEBBRAIO","MARZO","APRILE","MAGGIO","GIUGNO","LUGLIO","AGOSTO","SETTEMBRE","OTTOBRE","NOVEMBRE","DICEMBRE")&amp;" "&amp;YEAR(B84),"")</f>
        <v/>
      </c>
      <c r="P83" s="12" t="str">
        <f>IF(K83=0.2,"CASA","")</f>
        <v/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" customHeight="1" x14ac:dyDescent="0.2">
      <c r="A84" s="5" t="str">
        <f>IF(AND(B84="",ISNUMBER(B85)),CHOOSE(MONTH(B85),"GENNAIO","FEBBRAIO","MARZO","APRILE","MAGGIO","GIUGNO","LUGLIO","AGOSTO","SETTEMBRE","OTTOBRE","NOVEMBRE","DICEMBRE")&amp;" "&amp;YEAR(B85),"")</f>
        <v/>
      </c>
      <c r="B84" s="11"/>
      <c r="C84" s="12"/>
      <c r="D84" s="12" t="str">
        <f>IF(C84="","",C84-IF(C83&lt;&gt;"",C83,IF(C82&lt;&gt;"",C82,IF(C81&lt;&gt;"",C81,0))))</f>
        <v/>
      </c>
      <c r="E84" s="12"/>
      <c r="F84" s="12"/>
      <c r="G84" s="9" t="str">
        <f>IF(AND(E84="",F84=""),"",IF(OR(E84&gt;1,F84&gt;1),(F84-E84)/100,F84-E84))</f>
        <v/>
      </c>
      <c r="H84" s="12" t="str">
        <f>IF(G84="","",64*G84)</f>
        <v/>
      </c>
      <c r="I84" s="13"/>
      <c r="J84" s="13" t="str">
        <f>IFERROR(IF(OR(D84="",D84=0),"",I84/D84*100),"")</f>
        <v/>
      </c>
      <c r="K84" s="14"/>
      <c r="L84" s="13" t="str">
        <f>IF(I84="","",I84*K84)</f>
        <v/>
      </c>
      <c r="M84" s="13" t="str">
        <f>IF(B84="","",IFERROR(SUMPRODUCT(ISNUMBER(B$3:B84)*(MONTH(IF(ISNUMBER(B$3:B84),B$3:B84,1))=MONTH(B84))*(YEAR(IF(ISNUMBER(B$3:B84),B$3:B84,1))=YEAR(B84))*IF(ISNUMBER(L$3:L84),L$3:L84,0)),""))</f>
        <v/>
      </c>
      <c r="N84" s="6"/>
      <c r="O84" s="7" t="str">
        <f>IF(AND(B84="",ISNUMBER(B85)),CHOOSE(MONTH(B85),"GENNAIO","FEBBRAIO","MARZO","APRILE","MAGGIO","GIUGNO","LUGLIO","AGOSTO","SETTEMBRE","OTTOBRE","NOVEMBRE","DICEMBRE")&amp;" "&amp;YEAR(B85),"")</f>
        <v/>
      </c>
      <c r="P84" s="12" t="str">
        <f>IF(K84=0.2,"CASA","")</f>
        <v/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" customHeight="1" x14ac:dyDescent="0.2">
      <c r="A85" s="5" t="str">
        <f>IF(AND(B85="",ISNUMBER(B86)),CHOOSE(MONTH(B86),"GENNAIO","FEBBRAIO","MARZO","APRILE","MAGGIO","GIUGNO","LUGLIO","AGOSTO","SETTEMBRE","OTTOBRE","NOVEMBRE","DICEMBRE")&amp;" "&amp;YEAR(B86),"")</f>
        <v/>
      </c>
      <c r="B85" s="11"/>
      <c r="C85" s="12"/>
      <c r="D85" s="12" t="str">
        <f>IF(C85="","",C85-IF(C84&lt;&gt;"",C84,IF(C83&lt;&gt;"",C83,IF(C82&lt;&gt;"",C82,0))))</f>
        <v/>
      </c>
      <c r="E85" s="12"/>
      <c r="F85" s="12"/>
      <c r="G85" s="9" t="str">
        <f>IF(AND(E85="",F85=""),"",IF(OR(E85&gt;1,F85&gt;1),(F85-E85)/100,F85-E85))</f>
        <v/>
      </c>
      <c r="H85" s="12" t="str">
        <f>IF(G85="","",64*G85)</f>
        <v/>
      </c>
      <c r="I85" s="13"/>
      <c r="J85" s="13" t="str">
        <f>IFERROR(IF(OR(D85="",D85=0),"",I85/D85*100),"")</f>
        <v/>
      </c>
      <c r="K85" s="14"/>
      <c r="L85" s="13" t="str">
        <f>IF(I85="","",I85*K85)</f>
        <v/>
      </c>
      <c r="M85" s="13" t="str">
        <f>IF(B85="","",IFERROR(SUMPRODUCT(ISNUMBER(B$3:B85)*(MONTH(IF(ISNUMBER(B$3:B85),B$3:B85,1))=MONTH(B85))*(YEAR(IF(ISNUMBER(B$3:B85),B$3:B85,1))=YEAR(B85))*IF(ISNUMBER(L$3:L85),L$3:L85,0)),""))</f>
        <v/>
      </c>
      <c r="N85" s="6"/>
      <c r="O85" s="7" t="str">
        <f>IF(AND(B85="",ISNUMBER(B86)),CHOOSE(MONTH(B86),"GENNAIO","FEBBRAIO","MARZO","APRILE","MAGGIO","GIUGNO","LUGLIO","AGOSTO","SETTEMBRE","OTTOBRE","NOVEMBRE","DICEMBRE")&amp;" "&amp;YEAR(B86),"")</f>
        <v/>
      </c>
      <c r="P85" s="12" t="str">
        <f>IF(K85=0.2,"CASA","")</f>
        <v/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" customHeight="1" x14ac:dyDescent="0.2">
      <c r="A86" s="5" t="str">
        <f>IF(AND(B86="",ISNUMBER(B87)),CHOOSE(MONTH(B87),"GENNAIO","FEBBRAIO","MARZO","APRILE","MAGGIO","GIUGNO","LUGLIO","AGOSTO","SETTEMBRE","OTTOBRE","NOVEMBRE","DICEMBRE")&amp;" "&amp;YEAR(B87),"")</f>
        <v/>
      </c>
      <c r="B86" s="11"/>
      <c r="C86" s="12"/>
      <c r="D86" s="12" t="str">
        <f>IF(C86="","",C86-IF(C85&lt;&gt;"",C85,IF(C84&lt;&gt;"",C84,IF(C83&lt;&gt;"",C83,0))))</f>
        <v/>
      </c>
      <c r="E86" s="12"/>
      <c r="F86" s="12"/>
      <c r="G86" s="9" t="str">
        <f>IF(AND(E86="",F86=""),"",IF(OR(E86&gt;1,F86&gt;1),(F86-E86)/100,F86-E86))</f>
        <v/>
      </c>
      <c r="H86" s="12" t="str">
        <f>IF(G86="","",64*G86)</f>
        <v/>
      </c>
      <c r="I86" s="13"/>
      <c r="J86" s="13" t="str">
        <f>IFERROR(IF(OR(D86="",D86=0),"",I86/D86*100),"")</f>
        <v/>
      </c>
      <c r="K86" s="14"/>
      <c r="L86" s="13" t="str">
        <f>IF(I86="","",I86*K86)</f>
        <v/>
      </c>
      <c r="M86" s="13" t="str">
        <f>IF(B86="","",IFERROR(SUMPRODUCT(ISNUMBER(B$3:B86)*(MONTH(IF(ISNUMBER(B$3:B86),B$3:B86,1))=MONTH(B86))*(YEAR(IF(ISNUMBER(B$3:B86),B$3:B86,1))=YEAR(B86))*IF(ISNUMBER(L$3:L86),L$3:L86,0)),""))</f>
        <v/>
      </c>
      <c r="N86" s="6"/>
      <c r="O86" s="7" t="str">
        <f>IF(AND(B86="",ISNUMBER(B87)),CHOOSE(MONTH(B87),"GENNAIO","FEBBRAIO","MARZO","APRILE","MAGGIO","GIUGNO","LUGLIO","AGOSTO","SETTEMBRE","OTTOBRE","NOVEMBRE","DICEMBRE")&amp;" "&amp;YEAR(B87),"")</f>
        <v/>
      </c>
      <c r="P86" s="12" t="str">
        <f>IF(K86=0.2,"CASA","")</f>
        <v/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" customHeight="1" x14ac:dyDescent="0.2">
      <c r="A87" s="5" t="str">
        <f>IF(AND(B87="",ISNUMBER(B88)),CHOOSE(MONTH(B88),"GENNAIO","FEBBRAIO","MARZO","APRILE","MAGGIO","GIUGNO","LUGLIO","AGOSTO","SETTEMBRE","OTTOBRE","NOVEMBRE","DICEMBRE")&amp;" "&amp;YEAR(B88),"")</f>
        <v/>
      </c>
      <c r="B87" s="11"/>
      <c r="C87" s="12"/>
      <c r="D87" s="12" t="str">
        <f>IF(C87="","",C87-IF(C86&lt;&gt;"",C86,IF(C85&lt;&gt;"",C85,IF(C84&lt;&gt;"",C84,0))))</f>
        <v/>
      </c>
      <c r="E87" s="12"/>
      <c r="F87" s="12"/>
      <c r="G87" s="9" t="str">
        <f>IF(AND(E87="",F87=""),"",IF(OR(E87&gt;1,F87&gt;1),(F87-E87)/100,F87-E87))</f>
        <v/>
      </c>
      <c r="H87" s="12" t="str">
        <f>IF(G87="","",64*G87)</f>
        <v/>
      </c>
      <c r="I87" s="13"/>
      <c r="J87" s="13" t="str">
        <f>IFERROR(IF(OR(D87="",D87=0),"",I87/D87*100),"")</f>
        <v/>
      </c>
      <c r="K87" s="14"/>
      <c r="L87" s="13" t="str">
        <f>IF(I87="","",I87*K87)</f>
        <v/>
      </c>
      <c r="M87" s="13" t="str">
        <f>IF(B87="","",IFERROR(SUMPRODUCT(ISNUMBER(B$3:B87)*(MONTH(IF(ISNUMBER(B$3:B87),B$3:B87,1))=MONTH(B87))*(YEAR(IF(ISNUMBER(B$3:B87),B$3:B87,1))=YEAR(B87))*IF(ISNUMBER(L$3:L87),L$3:L87,0)),""))</f>
        <v/>
      </c>
      <c r="N87" s="6"/>
      <c r="O87" s="7" t="str">
        <f>IF(AND(B87="",ISNUMBER(B88)),CHOOSE(MONTH(B88),"GENNAIO","FEBBRAIO","MARZO","APRILE","MAGGIO","GIUGNO","LUGLIO","AGOSTO","SETTEMBRE","OTTOBRE","NOVEMBRE","DICEMBRE")&amp;" "&amp;YEAR(B88),"")</f>
        <v/>
      </c>
      <c r="P87" s="12" t="str">
        <f>IF(K87=0.2,"CASA","")</f>
        <v/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" customHeight="1" x14ac:dyDescent="0.2">
      <c r="A88" s="5" t="str">
        <f>IF(AND(B88="",ISNUMBER(B89)),CHOOSE(MONTH(B89),"GENNAIO","FEBBRAIO","MARZO","APRILE","MAGGIO","GIUGNO","LUGLIO","AGOSTO","SETTEMBRE","OTTOBRE","NOVEMBRE","DICEMBRE")&amp;" "&amp;YEAR(B89),"")</f>
        <v/>
      </c>
      <c r="B88" s="11"/>
      <c r="C88" s="12"/>
      <c r="D88" s="12" t="str">
        <f>IF(C88="","",C88-IF(C87&lt;&gt;"",C87,IF(C86&lt;&gt;"",C86,IF(C85&lt;&gt;"",C85,0))))</f>
        <v/>
      </c>
      <c r="E88" s="12"/>
      <c r="F88" s="12"/>
      <c r="G88" s="9" t="str">
        <f>IF(AND(E88="",F88=""),"",IF(OR(E88&gt;1,F88&gt;1),(F88-E88)/100,F88-E88))</f>
        <v/>
      </c>
      <c r="H88" s="12" t="str">
        <f>IF(G88="","",64*G88)</f>
        <v/>
      </c>
      <c r="I88" s="13"/>
      <c r="J88" s="13" t="str">
        <f>IFERROR(IF(OR(D88="",D88=0),"",I88/D88*100),"")</f>
        <v/>
      </c>
      <c r="K88" s="14"/>
      <c r="L88" s="13" t="str">
        <f>IF(I88="","",I88*K88)</f>
        <v/>
      </c>
      <c r="M88" s="13" t="str">
        <f>IF(B88="","",IFERROR(SUMPRODUCT(ISNUMBER(B$3:B88)*(MONTH(IF(ISNUMBER(B$3:B88),B$3:B88,1))=MONTH(B88))*(YEAR(IF(ISNUMBER(B$3:B88),B$3:B88,1))=YEAR(B88))*IF(ISNUMBER(L$3:L88),L$3:L88,0)),""))</f>
        <v/>
      </c>
      <c r="N88" s="6"/>
      <c r="O88" s="7" t="str">
        <f>IF(AND(B88="",ISNUMBER(B89)),CHOOSE(MONTH(B89),"GENNAIO","FEBBRAIO","MARZO","APRILE","MAGGIO","GIUGNO","LUGLIO","AGOSTO","SETTEMBRE","OTTOBRE","NOVEMBRE","DICEMBRE")&amp;" "&amp;YEAR(B89),"")</f>
        <v/>
      </c>
      <c r="P88" s="12" t="str">
        <f>IF(K88=0.2,"CASA","")</f>
        <v/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" customHeight="1" x14ac:dyDescent="0.2">
      <c r="A89" s="5" t="str">
        <f>IF(AND(B89="",ISNUMBER(B90)),CHOOSE(MONTH(B90),"GENNAIO","FEBBRAIO","MARZO","APRILE","MAGGIO","GIUGNO","LUGLIO","AGOSTO","SETTEMBRE","OTTOBRE","NOVEMBRE","DICEMBRE")&amp;" "&amp;YEAR(B90),"")</f>
        <v/>
      </c>
      <c r="B89" s="11"/>
      <c r="C89" s="12"/>
      <c r="D89" s="12" t="str">
        <f>IF(C89="","",C89-IF(C88&lt;&gt;"",C88,IF(C87&lt;&gt;"",C87,IF(C86&lt;&gt;"",C86,0))))</f>
        <v/>
      </c>
      <c r="E89" s="12"/>
      <c r="F89" s="12"/>
      <c r="G89" s="9" t="str">
        <f>IF(AND(E89="",F89=""),"",IF(OR(E89&gt;1,F89&gt;1),(F89-E89)/100,F89-E89))</f>
        <v/>
      </c>
      <c r="H89" s="12" t="str">
        <f>IF(G89="","",64*G89)</f>
        <v/>
      </c>
      <c r="I89" s="13"/>
      <c r="J89" s="13" t="str">
        <f>IFERROR(IF(OR(D89="",D89=0),"",I89/D89*100),"")</f>
        <v/>
      </c>
      <c r="K89" s="14"/>
      <c r="L89" s="13" t="str">
        <f>IF(I89="","",I89*K89)</f>
        <v/>
      </c>
      <c r="M89" s="13" t="str">
        <f>IF(B89="","",IFERROR(SUMPRODUCT(ISNUMBER(B$3:B89)*(MONTH(IF(ISNUMBER(B$3:B89),B$3:B89,1))=MONTH(B89))*(YEAR(IF(ISNUMBER(B$3:B89),B$3:B89,1))=YEAR(B89))*IF(ISNUMBER(L$3:L89),L$3:L89,0)),""))</f>
        <v/>
      </c>
      <c r="N89" s="6"/>
      <c r="O89" s="7" t="str">
        <f>IF(AND(B89="",ISNUMBER(B90)),CHOOSE(MONTH(B90),"GENNAIO","FEBBRAIO","MARZO","APRILE","MAGGIO","GIUGNO","LUGLIO","AGOSTO","SETTEMBRE","OTTOBRE","NOVEMBRE","DICEMBRE")&amp;" "&amp;YEAR(B90),"")</f>
        <v/>
      </c>
      <c r="P89" s="12" t="str">
        <f>IF(K89=0.2,"CASA","")</f>
        <v/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" customHeight="1" x14ac:dyDescent="0.2">
      <c r="A90" s="5" t="str">
        <f>IF(AND(B90="",ISNUMBER(B91)),CHOOSE(MONTH(B91),"GENNAIO","FEBBRAIO","MARZO","APRILE","MAGGIO","GIUGNO","LUGLIO","AGOSTO","SETTEMBRE","OTTOBRE","NOVEMBRE","DICEMBRE")&amp;" "&amp;YEAR(B91),"")</f>
        <v/>
      </c>
      <c r="B90" s="11"/>
      <c r="C90" s="12"/>
      <c r="D90" s="12" t="str">
        <f>IF(C90="","",C90-IF(C89&lt;&gt;"",C89,IF(C88&lt;&gt;"",C88,IF(C87&lt;&gt;"",C87,0))))</f>
        <v/>
      </c>
      <c r="E90" s="12"/>
      <c r="F90" s="12"/>
      <c r="G90" s="9" t="str">
        <f>IF(AND(E90="",F90=""),"",IF(OR(E90&gt;1,F90&gt;1),(F90-E90)/100,F90-E90))</f>
        <v/>
      </c>
      <c r="H90" s="12" t="str">
        <f>IF(G90="","",64*G90)</f>
        <v/>
      </c>
      <c r="I90" s="13"/>
      <c r="J90" s="13" t="str">
        <f>IFERROR(IF(OR(D90="",D90=0),"",I90/D90*100),"")</f>
        <v/>
      </c>
      <c r="K90" s="14"/>
      <c r="L90" s="13" t="str">
        <f>IF(I90="","",I90*K90)</f>
        <v/>
      </c>
      <c r="M90" s="13" t="str">
        <f>IF(B90="","",IFERROR(SUMPRODUCT(ISNUMBER(B$3:B90)*(MONTH(IF(ISNUMBER(B$3:B90),B$3:B90,1))=MONTH(B90))*(YEAR(IF(ISNUMBER(B$3:B90),B$3:B90,1))=YEAR(B90))*IF(ISNUMBER(L$3:L90),L$3:L90,0)),""))</f>
        <v/>
      </c>
      <c r="N90" s="6"/>
      <c r="O90" s="7" t="str">
        <f>IF(AND(B90="",ISNUMBER(B91)),CHOOSE(MONTH(B91),"GENNAIO","FEBBRAIO","MARZO","APRILE","MAGGIO","GIUGNO","LUGLIO","AGOSTO","SETTEMBRE","OTTOBRE","NOVEMBRE","DICEMBRE")&amp;" "&amp;YEAR(B91),"")</f>
        <v/>
      </c>
      <c r="P90" s="12" t="str">
        <f>IF(K90=0.2,"CASA","")</f>
        <v/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" customHeight="1" x14ac:dyDescent="0.2">
      <c r="A91" s="5" t="str">
        <f>IF(AND(B91="",ISNUMBER(B92)),CHOOSE(MONTH(B92),"GENNAIO","FEBBRAIO","MARZO","APRILE","MAGGIO","GIUGNO","LUGLIO","AGOSTO","SETTEMBRE","OTTOBRE","NOVEMBRE","DICEMBRE")&amp;" "&amp;YEAR(B92),"")</f>
        <v/>
      </c>
      <c r="B91" s="11"/>
      <c r="C91" s="12"/>
      <c r="D91" s="12" t="str">
        <f>IF(C91="","",C91-IF(C90&lt;&gt;"",C90,IF(C89&lt;&gt;"",C89,IF(C88&lt;&gt;"",C88,0))))</f>
        <v/>
      </c>
      <c r="E91" s="12"/>
      <c r="F91" s="12"/>
      <c r="G91" s="9" t="str">
        <f>IF(AND(E91="",F91=""),"",IF(OR(E91&gt;1,F91&gt;1),(F91-E91)/100,F91-E91))</f>
        <v/>
      </c>
      <c r="H91" s="12" t="str">
        <f>IF(G91="","",64*G91)</f>
        <v/>
      </c>
      <c r="I91" s="13"/>
      <c r="J91" s="13" t="str">
        <f>IFERROR(IF(OR(D91="",D91=0),"",I91/D91*100),"")</f>
        <v/>
      </c>
      <c r="K91" s="14"/>
      <c r="L91" s="13" t="str">
        <f>IF(I91="","",I91*K91)</f>
        <v/>
      </c>
      <c r="M91" s="13" t="str">
        <f>IF(B91="","",IFERROR(SUMPRODUCT(ISNUMBER(B$3:B91)*(MONTH(IF(ISNUMBER(B$3:B91),B$3:B91,1))=MONTH(B91))*(YEAR(IF(ISNUMBER(B$3:B91),B$3:B91,1))=YEAR(B91))*IF(ISNUMBER(L$3:L91),L$3:L91,0)),""))</f>
        <v/>
      </c>
      <c r="N91" s="6"/>
      <c r="O91" s="7" t="str">
        <f>IF(AND(B91="",ISNUMBER(B92)),CHOOSE(MONTH(B92),"GENNAIO","FEBBRAIO","MARZO","APRILE","MAGGIO","GIUGNO","LUGLIO","AGOSTO","SETTEMBRE","OTTOBRE","NOVEMBRE","DICEMBRE")&amp;" "&amp;YEAR(B92),"")</f>
        <v/>
      </c>
      <c r="P91" s="12" t="str">
        <f>IF(K91=0.2,"CASA","")</f>
        <v/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" customHeight="1" x14ac:dyDescent="0.2">
      <c r="A92" s="5" t="str">
        <f>IF(AND(B92="",ISNUMBER(B93)),CHOOSE(MONTH(B93),"GENNAIO","FEBBRAIO","MARZO","APRILE","MAGGIO","GIUGNO","LUGLIO","AGOSTO","SETTEMBRE","OTTOBRE","NOVEMBRE","DICEMBRE")&amp;" "&amp;YEAR(B93),"")</f>
        <v/>
      </c>
      <c r="B92" s="11"/>
      <c r="C92" s="12"/>
      <c r="D92" s="12" t="str">
        <f>IF(C92="","",C92-IF(C91&lt;&gt;"",C91,IF(C90&lt;&gt;"",C90,IF(C89&lt;&gt;"",C89,0))))</f>
        <v/>
      </c>
      <c r="E92" s="12"/>
      <c r="F92" s="12"/>
      <c r="G92" s="9" t="str">
        <f>IF(AND(E92="",F92=""),"",IF(OR(E92&gt;1,F92&gt;1),(F92-E92)/100,F92-E92))</f>
        <v/>
      </c>
      <c r="H92" s="12" t="str">
        <f>IF(G92="","",64*G92)</f>
        <v/>
      </c>
      <c r="I92" s="13"/>
      <c r="J92" s="13" t="str">
        <f>IFERROR(IF(OR(D92="",D92=0),"",I92/D92*100),"")</f>
        <v/>
      </c>
      <c r="K92" s="14"/>
      <c r="L92" s="13" t="str">
        <f>IF(I92="","",I92*K92)</f>
        <v/>
      </c>
      <c r="M92" s="13" t="str">
        <f>IF(B92="","",IFERROR(SUMPRODUCT(ISNUMBER(B$3:B92)*(MONTH(IF(ISNUMBER(B$3:B92),B$3:B92,1))=MONTH(B92))*(YEAR(IF(ISNUMBER(B$3:B92),B$3:B92,1))=YEAR(B92))*IF(ISNUMBER(L$3:L92),L$3:L92,0)),""))</f>
        <v/>
      </c>
      <c r="N92" s="6"/>
      <c r="O92" s="7" t="str">
        <f>IF(AND(B92="",ISNUMBER(B93)),CHOOSE(MONTH(B93),"GENNAIO","FEBBRAIO","MARZO","APRILE","MAGGIO","GIUGNO","LUGLIO","AGOSTO","SETTEMBRE","OTTOBRE","NOVEMBRE","DICEMBRE")&amp;" "&amp;YEAR(B93),"")</f>
        <v/>
      </c>
      <c r="P92" s="12" t="str">
        <f>IF(K92=0.2,"CASA","")</f>
        <v/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" customHeight="1" x14ac:dyDescent="0.2">
      <c r="A93" s="5" t="str">
        <f>IF(AND(B93="",ISNUMBER(B94)),CHOOSE(MONTH(B94),"GENNAIO","FEBBRAIO","MARZO","APRILE","MAGGIO","GIUGNO","LUGLIO","AGOSTO","SETTEMBRE","OTTOBRE","NOVEMBRE","DICEMBRE")&amp;" "&amp;YEAR(B94),"")</f>
        <v/>
      </c>
      <c r="B93" s="11"/>
      <c r="C93" s="12"/>
      <c r="D93" s="12" t="str">
        <f>IF(C93="","",C93-IF(C92&lt;&gt;"",C92,IF(C91&lt;&gt;"",C91,IF(C90&lt;&gt;"",C90,0))))</f>
        <v/>
      </c>
      <c r="E93" s="12"/>
      <c r="F93" s="12"/>
      <c r="G93" s="9" t="str">
        <f>IF(AND(E93="",F93=""),"",IF(OR(E93&gt;1,F93&gt;1),(F93-E93)/100,F93-E93))</f>
        <v/>
      </c>
      <c r="H93" s="12" t="str">
        <f>IF(G93="","",64*G93)</f>
        <v/>
      </c>
      <c r="I93" s="13"/>
      <c r="J93" s="13" t="str">
        <f>IFERROR(IF(OR(D93="",D93=0),"",I93/D93*100),"")</f>
        <v/>
      </c>
      <c r="K93" s="14"/>
      <c r="L93" s="13" t="str">
        <f>IF(I93="","",I93*K93)</f>
        <v/>
      </c>
      <c r="M93" s="13" t="str">
        <f>IF(B93="","",IFERROR(SUMPRODUCT(ISNUMBER(B$3:B93)*(MONTH(IF(ISNUMBER(B$3:B93),B$3:B93,1))=MONTH(B93))*(YEAR(IF(ISNUMBER(B$3:B93),B$3:B93,1))=YEAR(B93))*IF(ISNUMBER(L$3:L93),L$3:L93,0)),""))</f>
        <v/>
      </c>
      <c r="N93" s="6"/>
      <c r="O93" s="7" t="str">
        <f>IF(AND(B93="",ISNUMBER(B94)),CHOOSE(MONTH(B94),"GENNAIO","FEBBRAIO","MARZO","APRILE","MAGGIO","GIUGNO","LUGLIO","AGOSTO","SETTEMBRE","OTTOBRE","NOVEMBRE","DICEMBRE")&amp;" "&amp;YEAR(B94),"")</f>
        <v/>
      </c>
      <c r="P93" s="12" t="str">
        <f>IF(K93=0.2,"CASA","")</f>
        <v/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" customHeight="1" x14ac:dyDescent="0.2">
      <c r="A94" s="5" t="str">
        <f>IF(AND(B94="",ISNUMBER(B95)),CHOOSE(MONTH(B95),"GENNAIO","FEBBRAIO","MARZO","APRILE","MAGGIO","GIUGNO","LUGLIO","AGOSTO","SETTEMBRE","OTTOBRE","NOVEMBRE","DICEMBRE")&amp;" "&amp;YEAR(B95),"")</f>
        <v/>
      </c>
      <c r="B94" s="11"/>
      <c r="C94" s="12"/>
      <c r="D94" s="12" t="str">
        <f>IF(C94="","",C94-IF(C93&lt;&gt;"",C93,IF(C92&lt;&gt;"",C92,IF(C91&lt;&gt;"",C91,0))))</f>
        <v/>
      </c>
      <c r="E94" s="12"/>
      <c r="F94" s="12"/>
      <c r="G94" s="9" t="str">
        <f>IF(AND(E94="",F94=""),"",IF(OR(E94&gt;1,F94&gt;1),(F94-E94)/100,F94-E94))</f>
        <v/>
      </c>
      <c r="H94" s="12" t="str">
        <f>IF(G94="","",64*G94)</f>
        <v/>
      </c>
      <c r="I94" s="13"/>
      <c r="J94" s="13" t="str">
        <f>IFERROR(IF(OR(D94="",D94=0),"",I94/D94*100),"")</f>
        <v/>
      </c>
      <c r="K94" s="14"/>
      <c r="L94" s="13" t="str">
        <f>IF(I94="","",I94*K94)</f>
        <v/>
      </c>
      <c r="M94" s="13" t="str">
        <f>IF(B94="","",IFERROR(SUMPRODUCT(ISNUMBER(B$3:B94)*(MONTH(IF(ISNUMBER(B$3:B94),B$3:B94,1))=MONTH(B94))*(YEAR(IF(ISNUMBER(B$3:B94),B$3:B94,1))=YEAR(B94))*IF(ISNUMBER(L$3:L94),L$3:L94,0)),""))</f>
        <v/>
      </c>
      <c r="N94" s="6"/>
      <c r="O94" s="7" t="str">
        <f>IF(AND(B94="",ISNUMBER(B95)),CHOOSE(MONTH(B95),"GENNAIO","FEBBRAIO","MARZO","APRILE","MAGGIO","GIUGNO","LUGLIO","AGOSTO","SETTEMBRE","OTTOBRE","NOVEMBRE","DICEMBRE")&amp;" "&amp;YEAR(B95),"")</f>
        <v/>
      </c>
      <c r="P94" s="12" t="str">
        <f>IF(K94=0.2,"CASA","")</f>
        <v/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" customHeight="1" x14ac:dyDescent="0.2">
      <c r="A95" s="5" t="str">
        <f>IF(AND(B95="",ISNUMBER(B96)),CHOOSE(MONTH(B96),"GENNAIO","FEBBRAIO","MARZO","APRILE","MAGGIO","GIUGNO","LUGLIO","AGOSTO","SETTEMBRE","OTTOBRE","NOVEMBRE","DICEMBRE")&amp;" "&amp;YEAR(B96),"")</f>
        <v/>
      </c>
      <c r="B95" s="11"/>
      <c r="C95" s="12"/>
      <c r="D95" s="12" t="str">
        <f>IF(C95="","",C95-IF(C94&lt;&gt;"",C94,IF(C93&lt;&gt;"",C93,IF(C92&lt;&gt;"",C92,0))))</f>
        <v/>
      </c>
      <c r="E95" s="12"/>
      <c r="F95" s="12"/>
      <c r="G95" s="9" t="str">
        <f>IF(AND(E95="",F95=""),"",IF(OR(E95&gt;1,F95&gt;1),(F95-E95)/100,F95-E95))</f>
        <v/>
      </c>
      <c r="H95" s="12" t="str">
        <f>IF(G95="","",64*G95)</f>
        <v/>
      </c>
      <c r="I95" s="13"/>
      <c r="J95" s="13" t="str">
        <f>IFERROR(IF(OR(D95="",D95=0),"",I95/D95*100),"")</f>
        <v/>
      </c>
      <c r="K95" s="14"/>
      <c r="L95" s="13" t="str">
        <f>IF(I95="","",I95*K95)</f>
        <v/>
      </c>
      <c r="M95" s="13" t="str">
        <f>IF(B95="","",IFERROR(SUMPRODUCT(ISNUMBER(B$3:B95)*(MONTH(IF(ISNUMBER(B$3:B95),B$3:B95,1))=MONTH(B95))*(YEAR(IF(ISNUMBER(B$3:B95),B$3:B95,1))=YEAR(B95))*IF(ISNUMBER(L$3:L95),L$3:L95,0)),""))</f>
        <v/>
      </c>
      <c r="N95" s="6"/>
      <c r="O95" s="7" t="str">
        <f>IF(AND(B95="",ISNUMBER(B96)),CHOOSE(MONTH(B96),"GENNAIO","FEBBRAIO","MARZO","APRILE","MAGGIO","GIUGNO","LUGLIO","AGOSTO","SETTEMBRE","OTTOBRE","NOVEMBRE","DICEMBRE")&amp;" "&amp;YEAR(B96),"")</f>
        <v/>
      </c>
      <c r="P95" s="12" t="str">
        <f>IF(K95=0.2,"CASA","")</f>
        <v/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" customHeight="1" x14ac:dyDescent="0.2">
      <c r="A96" s="5" t="str">
        <f>IF(AND(B96="",ISNUMBER(B97)),CHOOSE(MONTH(B97),"GENNAIO","FEBBRAIO","MARZO","APRILE","MAGGIO","GIUGNO","LUGLIO","AGOSTO","SETTEMBRE","OTTOBRE","NOVEMBRE","DICEMBRE")&amp;" "&amp;YEAR(B97),"")</f>
        <v/>
      </c>
      <c r="B96" s="11"/>
      <c r="C96" s="12"/>
      <c r="D96" s="12" t="str">
        <f>IF(C96="","",C96-IF(C95&lt;&gt;"",C95,IF(C94&lt;&gt;"",C94,IF(C93&lt;&gt;"",C93,0))))</f>
        <v/>
      </c>
      <c r="E96" s="12"/>
      <c r="F96" s="12"/>
      <c r="G96" s="9" t="str">
        <f>IF(AND(E96="",F96=""),"",IF(OR(E96&gt;1,F96&gt;1),(F96-E96)/100,F96-E96))</f>
        <v/>
      </c>
      <c r="H96" s="12" t="str">
        <f>IF(G96="","",64*G96)</f>
        <v/>
      </c>
      <c r="I96" s="13"/>
      <c r="J96" s="13" t="str">
        <f>IFERROR(IF(OR(D96="",D96=0),"",I96/D96*100),"")</f>
        <v/>
      </c>
      <c r="K96" s="14"/>
      <c r="L96" s="13" t="str">
        <f>IF(I96="","",I96*K96)</f>
        <v/>
      </c>
      <c r="M96" s="13" t="str">
        <f>IF(B96="","",IFERROR(SUMPRODUCT(ISNUMBER(B$3:B96)*(MONTH(IF(ISNUMBER(B$3:B96),B$3:B96,1))=MONTH(B96))*(YEAR(IF(ISNUMBER(B$3:B96),B$3:B96,1))=YEAR(B96))*IF(ISNUMBER(L$3:L96),L$3:L96,0)),""))</f>
        <v/>
      </c>
      <c r="N96" s="6"/>
      <c r="O96" s="7" t="str">
        <f>IF(AND(B96="",ISNUMBER(B97)),CHOOSE(MONTH(B97),"GENNAIO","FEBBRAIO","MARZO","APRILE","MAGGIO","GIUGNO","LUGLIO","AGOSTO","SETTEMBRE","OTTOBRE","NOVEMBRE","DICEMBRE")&amp;" "&amp;YEAR(B97),"")</f>
        <v/>
      </c>
      <c r="P96" s="12" t="str">
        <f>IF(K96=0.2,"CASA","")</f>
        <v/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" customHeight="1" x14ac:dyDescent="0.2">
      <c r="A97" s="5" t="str">
        <f>IF(AND(B97="",ISNUMBER(B98)),CHOOSE(MONTH(B98),"GENNAIO","FEBBRAIO","MARZO","APRILE","MAGGIO","GIUGNO","LUGLIO","AGOSTO","SETTEMBRE","OTTOBRE","NOVEMBRE","DICEMBRE")&amp;" "&amp;YEAR(B98),"")</f>
        <v/>
      </c>
      <c r="B97" s="11"/>
      <c r="C97" s="12"/>
      <c r="D97" s="12" t="str">
        <f>IF(C97="","",C97-IF(C96&lt;&gt;"",C96,IF(C95&lt;&gt;"",C95,IF(C94&lt;&gt;"",C94,0))))</f>
        <v/>
      </c>
      <c r="E97" s="12"/>
      <c r="F97" s="12"/>
      <c r="G97" s="9" t="str">
        <f>IF(AND(E97="",F97=""),"",IF(OR(E97&gt;1,F97&gt;1),(F97-E97)/100,F97-E97))</f>
        <v/>
      </c>
      <c r="H97" s="12" t="str">
        <f>IF(G97="","",64*G97)</f>
        <v/>
      </c>
      <c r="I97" s="13"/>
      <c r="J97" s="13" t="str">
        <f>IFERROR(IF(OR(D97="",D97=0),"",I97/D97*100),"")</f>
        <v/>
      </c>
      <c r="K97" s="14"/>
      <c r="L97" s="13" t="str">
        <f>IF(I97="","",I97*K97)</f>
        <v/>
      </c>
      <c r="M97" s="13" t="str">
        <f>IF(B97="","",IFERROR(SUMPRODUCT(ISNUMBER(B$3:B97)*(MONTH(IF(ISNUMBER(B$3:B97),B$3:B97,1))=MONTH(B97))*(YEAR(IF(ISNUMBER(B$3:B97),B$3:B97,1))=YEAR(B97))*IF(ISNUMBER(L$3:L97),L$3:L97,0)),""))</f>
        <v/>
      </c>
      <c r="N97" s="6"/>
      <c r="O97" s="7" t="str">
        <f>IF(AND(B97="",ISNUMBER(B98)),CHOOSE(MONTH(B98),"GENNAIO","FEBBRAIO","MARZO","APRILE","MAGGIO","GIUGNO","LUGLIO","AGOSTO","SETTEMBRE","OTTOBRE","NOVEMBRE","DICEMBRE")&amp;" "&amp;YEAR(B98),"")</f>
        <v/>
      </c>
      <c r="P97" s="12" t="str">
        <f>IF(K97=0.2,"CASA","")</f>
        <v/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" customHeight="1" x14ac:dyDescent="0.2">
      <c r="A98" s="5" t="str">
        <f>IF(AND(B98="",ISNUMBER(B99)),CHOOSE(MONTH(B99),"GENNAIO","FEBBRAIO","MARZO","APRILE","MAGGIO","GIUGNO","LUGLIO","AGOSTO","SETTEMBRE","OTTOBRE","NOVEMBRE","DICEMBRE")&amp;" "&amp;YEAR(B99),"")</f>
        <v/>
      </c>
      <c r="B98" s="11"/>
      <c r="C98" s="12"/>
      <c r="D98" s="12" t="str">
        <f>IF(C98="","",C98-IF(C97&lt;&gt;"",C97,IF(C96&lt;&gt;"",C96,IF(C95&lt;&gt;"",C95,0))))</f>
        <v/>
      </c>
      <c r="E98" s="12"/>
      <c r="F98" s="12"/>
      <c r="G98" s="9" t="str">
        <f>IF(AND(E98="",F98=""),"",IF(OR(E98&gt;1,F98&gt;1),(F98-E98)/100,F98-E98))</f>
        <v/>
      </c>
      <c r="H98" s="12" t="str">
        <f>IF(G98="","",64*G98)</f>
        <v/>
      </c>
      <c r="I98" s="13"/>
      <c r="J98" s="13" t="str">
        <f>IFERROR(IF(OR(D98="",D98=0),"",I98/D98*100),"")</f>
        <v/>
      </c>
      <c r="K98" s="14"/>
      <c r="L98" s="13" t="str">
        <f>IF(I98="","",I98*K98)</f>
        <v/>
      </c>
      <c r="M98" s="13" t="str">
        <f>IF(B98="","",IFERROR(SUMPRODUCT(ISNUMBER(B$3:B98)*(MONTH(IF(ISNUMBER(B$3:B98),B$3:B98,1))=MONTH(B98))*(YEAR(IF(ISNUMBER(B$3:B98),B$3:B98,1))=YEAR(B98))*IF(ISNUMBER(L$3:L98),L$3:L98,0)),""))</f>
        <v/>
      </c>
      <c r="N98" s="6"/>
      <c r="O98" s="7" t="str">
        <f>IF(AND(B98="",ISNUMBER(B99)),CHOOSE(MONTH(B99),"GENNAIO","FEBBRAIO","MARZO","APRILE","MAGGIO","GIUGNO","LUGLIO","AGOSTO","SETTEMBRE","OTTOBRE","NOVEMBRE","DICEMBRE")&amp;" "&amp;YEAR(B99),"")</f>
        <v/>
      </c>
      <c r="P98" s="12" t="str">
        <f>IF(K98=0.2,"CASA","")</f>
        <v/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" customHeight="1" x14ac:dyDescent="0.2">
      <c r="A99" s="5" t="str">
        <f>IF(AND(B99="",ISNUMBER(B100)),CHOOSE(MONTH(B100),"GENNAIO","FEBBRAIO","MARZO","APRILE","MAGGIO","GIUGNO","LUGLIO","AGOSTO","SETTEMBRE","OTTOBRE","NOVEMBRE","DICEMBRE")&amp;" "&amp;YEAR(B100),"")</f>
        <v/>
      </c>
      <c r="B99" s="11"/>
      <c r="C99" s="12"/>
      <c r="D99" s="12" t="str">
        <f>IF(C99="","",C99-IF(C98&lt;&gt;"",C98,IF(C97&lt;&gt;"",C97,IF(C96&lt;&gt;"",C96,0))))</f>
        <v/>
      </c>
      <c r="E99" s="12"/>
      <c r="F99" s="12"/>
      <c r="G99" s="9" t="str">
        <f>IF(AND(E99="",F99=""),"",IF(OR(E99&gt;1,F99&gt;1),(F99-E99)/100,F99-E99))</f>
        <v/>
      </c>
      <c r="H99" s="12" t="str">
        <f>IF(G99="","",64*G99)</f>
        <v/>
      </c>
      <c r="I99" s="13"/>
      <c r="J99" s="13" t="str">
        <f>IFERROR(IF(OR(D99="",D99=0),"",I99/D99*100),"")</f>
        <v/>
      </c>
      <c r="K99" s="14"/>
      <c r="L99" s="13" t="str">
        <f>IF(I99="","",I99*K99)</f>
        <v/>
      </c>
      <c r="M99" s="13" t="str">
        <f>IF(B99="","",IFERROR(SUMPRODUCT(ISNUMBER(B$3:B99)*(MONTH(IF(ISNUMBER(B$3:B99),B$3:B99,1))=MONTH(B99))*(YEAR(IF(ISNUMBER(B$3:B99),B$3:B99,1))=YEAR(B99))*IF(ISNUMBER(L$3:L99),L$3:L99,0)),""))</f>
        <v/>
      </c>
      <c r="N99" s="6"/>
      <c r="O99" s="7" t="str">
        <f>IF(AND(B99="",ISNUMBER(B100)),CHOOSE(MONTH(B100),"GENNAIO","FEBBRAIO","MARZO","APRILE","MAGGIO","GIUGNO","LUGLIO","AGOSTO","SETTEMBRE","OTTOBRE","NOVEMBRE","DICEMBRE")&amp;" "&amp;YEAR(B100),"")</f>
        <v/>
      </c>
      <c r="P99" s="12" t="str">
        <f>IF(K99=0.2,"CASA","")</f>
        <v/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" customHeight="1" x14ac:dyDescent="0.2">
      <c r="A100" s="5" t="str">
        <f>IF(AND(B100="",ISNUMBER(B101)),CHOOSE(MONTH(B101),"GENNAIO","FEBBRAIO","MARZO","APRILE","MAGGIO","GIUGNO","LUGLIO","AGOSTO","SETTEMBRE","OTTOBRE","NOVEMBRE","DICEMBRE")&amp;" "&amp;YEAR(B101),"")</f>
        <v/>
      </c>
      <c r="B100" s="11"/>
      <c r="C100" s="12"/>
      <c r="D100" s="12" t="str">
        <f>IF(C100="","",C100-IF(C99&lt;&gt;"",C99,IF(C98&lt;&gt;"",C98,IF(C97&lt;&gt;"",C97,0))))</f>
        <v/>
      </c>
      <c r="E100" s="12"/>
      <c r="F100" s="12"/>
      <c r="G100" s="9" t="str">
        <f>IF(AND(E100="",F100=""),"",IF(OR(E100&gt;1,F100&gt;1),(F100-E100)/100,F100-E100))</f>
        <v/>
      </c>
      <c r="H100" s="12" t="str">
        <f>IF(G100="","",64*G100)</f>
        <v/>
      </c>
      <c r="I100" s="13"/>
      <c r="J100" s="13" t="str">
        <f>IFERROR(IF(OR(D100="",D100=0),"",I100/D100*100),"")</f>
        <v/>
      </c>
      <c r="K100" s="14"/>
      <c r="L100" s="13" t="str">
        <f>IF(I100="","",I100*K100)</f>
        <v/>
      </c>
      <c r="M100" s="13" t="str">
        <f>IF(B100="","",IFERROR(SUMPRODUCT(ISNUMBER(B$3:B100)*(MONTH(IF(ISNUMBER(B$3:B100),B$3:B100,1))=MONTH(B100))*(YEAR(IF(ISNUMBER(B$3:B100),B$3:B100,1))=YEAR(B100))*IF(ISNUMBER(L$3:L100),L$3:L100,0)),""))</f>
        <v/>
      </c>
      <c r="N100" s="6"/>
      <c r="O100" s="7" t="str">
        <f>IF(AND(B100="",ISNUMBER(B101)),CHOOSE(MONTH(B101),"GENNAIO","FEBBRAIO","MARZO","APRILE","MAGGIO","GIUGNO","LUGLIO","AGOSTO","SETTEMBRE","OTTOBRE","NOVEMBRE","DICEMBRE")&amp;" "&amp;YEAR(B101),"")</f>
        <v/>
      </c>
      <c r="P100" s="12" t="str">
        <f>IF(K100=0.2,"CASA","")</f>
        <v/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" customHeight="1" x14ac:dyDescent="0.2">
      <c r="A101" s="5" t="str">
        <f>IF(AND(B101="",ISNUMBER(B102)),CHOOSE(MONTH(B102),"GENNAIO","FEBBRAIO","MARZO","APRILE","MAGGIO","GIUGNO","LUGLIO","AGOSTO","SETTEMBRE","OTTOBRE","NOVEMBRE","DICEMBRE")&amp;" "&amp;YEAR(B102),"")</f>
        <v/>
      </c>
      <c r="B101" s="11"/>
      <c r="C101" s="12"/>
      <c r="D101" s="12" t="str">
        <f>IF(C101="","",C101-IF(C100&lt;&gt;"",C100,IF(C99&lt;&gt;"",C99,IF(C98&lt;&gt;"",C98,0))))</f>
        <v/>
      </c>
      <c r="E101" s="12"/>
      <c r="F101" s="12"/>
      <c r="G101" s="9" t="str">
        <f>IF(AND(E101="",F101=""),"",IF(OR(E101&gt;1,F101&gt;1),(F101-E101)/100,F101-E101))</f>
        <v/>
      </c>
      <c r="H101" s="12" t="str">
        <f>IF(G101="","",64*G101)</f>
        <v/>
      </c>
      <c r="I101" s="13"/>
      <c r="J101" s="13" t="str">
        <f>IFERROR(IF(OR(D101="",D101=0),"",I101/D101*100),"")</f>
        <v/>
      </c>
      <c r="K101" s="14"/>
      <c r="L101" s="13" t="str">
        <f>IF(I101="","",I101*K101)</f>
        <v/>
      </c>
      <c r="M101" s="13" t="str">
        <f>IF(B101="","",IFERROR(SUMPRODUCT(ISNUMBER(B$3:B101)*(MONTH(IF(ISNUMBER(B$3:B101),B$3:B101,1))=MONTH(B101))*(YEAR(IF(ISNUMBER(B$3:B101),B$3:B101,1))=YEAR(B101))*IF(ISNUMBER(L$3:L101),L$3:L101,0)),""))</f>
        <v/>
      </c>
      <c r="N101" s="6"/>
      <c r="O101" s="7" t="str">
        <f>IF(AND(B101="",ISNUMBER(B102)),CHOOSE(MONTH(B102),"GENNAIO","FEBBRAIO","MARZO","APRILE","MAGGIO","GIUGNO","LUGLIO","AGOSTO","SETTEMBRE","OTTOBRE","NOVEMBRE","DICEMBRE")&amp;" "&amp;YEAR(B102),"")</f>
        <v/>
      </c>
      <c r="P101" s="12" t="str">
        <f>IF(K101=0.2,"CASA","")</f>
        <v/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" customHeight="1" x14ac:dyDescent="0.2">
      <c r="A102" s="5" t="str">
        <f>IF(AND(B102="",ISNUMBER(B103)),CHOOSE(MONTH(B103),"GENNAIO","FEBBRAIO","MARZO","APRILE","MAGGIO","GIUGNO","LUGLIO","AGOSTO","SETTEMBRE","OTTOBRE","NOVEMBRE","DICEMBRE")&amp;" "&amp;YEAR(B103),"")</f>
        <v/>
      </c>
      <c r="B102" s="11"/>
      <c r="C102" s="12"/>
      <c r="D102" s="12" t="str">
        <f>IF(C102="","",C102-IF(C101&lt;&gt;"",C101,IF(C100&lt;&gt;"",C100,IF(C99&lt;&gt;"",C99,0))))</f>
        <v/>
      </c>
      <c r="E102" s="12"/>
      <c r="F102" s="12"/>
      <c r="G102" s="9" t="str">
        <f>IF(AND(E102="",F102=""),"",IF(OR(E102&gt;1,F102&gt;1),(F102-E102)/100,F102-E102))</f>
        <v/>
      </c>
      <c r="H102" s="12" t="str">
        <f>IF(G102="","",64*G102)</f>
        <v/>
      </c>
      <c r="I102" s="13"/>
      <c r="J102" s="13" t="str">
        <f>IFERROR(IF(OR(D102="",D102=0),"",I102/D102*100),"")</f>
        <v/>
      </c>
      <c r="K102" s="14"/>
      <c r="L102" s="13" t="str">
        <f>IF(I102="","",I102*K102)</f>
        <v/>
      </c>
      <c r="M102" s="13" t="str">
        <f>IF(B102="","",IFERROR(SUMPRODUCT(ISNUMBER(B$3:B102)*(MONTH(IF(ISNUMBER(B$3:B102),B$3:B102,1))=MONTH(B102))*(YEAR(IF(ISNUMBER(B$3:B102),B$3:B102,1))=YEAR(B102))*IF(ISNUMBER(L$3:L102),L$3:L102,0)),""))</f>
        <v/>
      </c>
      <c r="N102" s="6"/>
      <c r="O102" s="7" t="str">
        <f>IF(AND(B102="",ISNUMBER(B103)),CHOOSE(MONTH(B103),"GENNAIO","FEBBRAIO","MARZO","APRILE","MAGGIO","GIUGNO","LUGLIO","AGOSTO","SETTEMBRE","OTTOBRE","NOVEMBRE","DICEMBRE")&amp;" "&amp;YEAR(B103),"")</f>
        <v/>
      </c>
      <c r="P102" s="12" t="str">
        <f>IF(K102=0.2,"CASA","")</f>
        <v/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" customHeight="1" x14ac:dyDescent="0.2">
      <c r="A103" s="5" t="str">
        <f>IF(AND(B103="",ISNUMBER(B104)),CHOOSE(MONTH(B104),"GENNAIO","FEBBRAIO","MARZO","APRILE","MAGGIO","GIUGNO","LUGLIO","AGOSTO","SETTEMBRE","OTTOBRE","NOVEMBRE","DICEMBRE")&amp;" "&amp;YEAR(B104),"")</f>
        <v/>
      </c>
      <c r="B103" s="11"/>
      <c r="C103" s="12"/>
      <c r="D103" s="12" t="str">
        <f>IF(C103="","",C103-IF(C102&lt;&gt;"",C102,IF(C101&lt;&gt;"",C101,IF(C100&lt;&gt;"",C100,0))))</f>
        <v/>
      </c>
      <c r="E103" s="12"/>
      <c r="F103" s="12"/>
      <c r="G103" s="9" t="str">
        <f>IF(AND(E103="",F103=""),"",IF(OR(E103&gt;1,F103&gt;1),(F103-E103)/100,F103-E103))</f>
        <v/>
      </c>
      <c r="H103" s="12" t="str">
        <f>IF(G103="","",64*G103)</f>
        <v/>
      </c>
      <c r="I103" s="13"/>
      <c r="J103" s="13" t="str">
        <f>IFERROR(IF(OR(D103="",D103=0),"",I103/D103*100),"")</f>
        <v/>
      </c>
      <c r="K103" s="14"/>
      <c r="L103" s="13" t="str">
        <f>IF(I103="","",I103*K103)</f>
        <v/>
      </c>
      <c r="M103" s="13" t="str">
        <f>IF(B103="","",IFERROR(SUMPRODUCT(ISNUMBER(B$3:B103)*(MONTH(IF(ISNUMBER(B$3:B103),B$3:B103,1))=MONTH(B103))*(YEAR(IF(ISNUMBER(B$3:B103),B$3:B103,1))=YEAR(B103))*IF(ISNUMBER(L$3:L103),L$3:L103,0)),""))</f>
        <v/>
      </c>
      <c r="N103" s="6"/>
      <c r="O103" s="7" t="str">
        <f>IF(AND(B103="",ISNUMBER(B104)),CHOOSE(MONTH(B104),"GENNAIO","FEBBRAIO","MARZO","APRILE","MAGGIO","GIUGNO","LUGLIO","AGOSTO","SETTEMBRE","OTTOBRE","NOVEMBRE","DICEMBRE")&amp;" "&amp;YEAR(B104),"")</f>
        <v/>
      </c>
      <c r="P103" s="12" t="str">
        <f>IF(K103=0.2,"CASA","")</f>
        <v/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" customHeight="1" x14ac:dyDescent="0.2">
      <c r="A104" s="5" t="str">
        <f>IF(AND(B104="",ISNUMBER(B105)),CHOOSE(MONTH(B105),"GENNAIO","FEBBRAIO","MARZO","APRILE","MAGGIO","GIUGNO","LUGLIO","AGOSTO","SETTEMBRE","OTTOBRE","NOVEMBRE","DICEMBRE")&amp;" "&amp;YEAR(B105),"")</f>
        <v/>
      </c>
      <c r="B104" s="11"/>
      <c r="C104" s="12"/>
      <c r="D104" s="12" t="str">
        <f>IF(C104="","",C104-IF(C103&lt;&gt;"",C103,IF(C102&lt;&gt;"",C102,IF(C101&lt;&gt;"",C101,0))))</f>
        <v/>
      </c>
      <c r="E104" s="12"/>
      <c r="F104" s="12"/>
      <c r="G104" s="9" t="str">
        <f>IF(AND(E104="",F104=""),"",IF(OR(E104&gt;1,F104&gt;1),(F104-E104)/100,F104-E104))</f>
        <v/>
      </c>
      <c r="H104" s="12" t="str">
        <f>IF(G104="","",64*G104)</f>
        <v/>
      </c>
      <c r="I104" s="13"/>
      <c r="J104" s="13" t="str">
        <f>IFERROR(IF(OR(D104="",D104=0),"",I104/D104*100),"")</f>
        <v/>
      </c>
      <c r="K104" s="14"/>
      <c r="L104" s="13" t="str">
        <f>IF(I104="","",I104*K104)</f>
        <v/>
      </c>
      <c r="M104" s="13" t="str">
        <f>IF(B104="","",IFERROR(SUMPRODUCT(ISNUMBER(B$3:B104)*(MONTH(IF(ISNUMBER(B$3:B104),B$3:B104,1))=MONTH(B104))*(YEAR(IF(ISNUMBER(B$3:B104),B$3:B104,1))=YEAR(B104))*IF(ISNUMBER(L$3:L104),L$3:L104,0)),""))</f>
        <v/>
      </c>
      <c r="N104" s="6"/>
      <c r="O104" s="7" t="str">
        <f>IF(AND(B104="",ISNUMBER(B105)),CHOOSE(MONTH(B105),"GENNAIO","FEBBRAIO","MARZO","APRILE","MAGGIO","GIUGNO","LUGLIO","AGOSTO","SETTEMBRE","OTTOBRE","NOVEMBRE","DICEMBRE")&amp;" "&amp;YEAR(B105),"")</f>
        <v/>
      </c>
      <c r="P104" s="12" t="str">
        <f>IF(K104=0.2,"CASA","")</f>
        <v/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" customHeight="1" x14ac:dyDescent="0.2">
      <c r="A105" s="5" t="str">
        <f>IF(AND(B105="",ISNUMBER(B106)),CHOOSE(MONTH(B106),"GENNAIO","FEBBRAIO","MARZO","APRILE","MAGGIO","GIUGNO","LUGLIO","AGOSTO","SETTEMBRE","OTTOBRE","NOVEMBRE","DICEMBRE")&amp;" "&amp;YEAR(B106),"")</f>
        <v/>
      </c>
      <c r="B105" s="11"/>
      <c r="C105" s="12"/>
      <c r="D105" s="12" t="str">
        <f>IF(C105="","",C105-IF(C104&lt;&gt;"",C104,IF(C103&lt;&gt;"",C103,IF(C102&lt;&gt;"",C102,0))))</f>
        <v/>
      </c>
      <c r="E105" s="12"/>
      <c r="F105" s="12"/>
      <c r="G105" s="9" t="str">
        <f>IF(AND(E105="",F105=""),"",IF(OR(E105&gt;1,F105&gt;1),(F105-E105)/100,F105-E105))</f>
        <v/>
      </c>
      <c r="H105" s="12" t="str">
        <f>IF(G105="","",64*G105)</f>
        <v/>
      </c>
      <c r="I105" s="13"/>
      <c r="J105" s="13" t="str">
        <f>IFERROR(IF(OR(D105="",D105=0),"",I105/D105*100),"")</f>
        <v/>
      </c>
      <c r="K105" s="14"/>
      <c r="L105" s="13" t="str">
        <f>IF(I105="","",I105*K105)</f>
        <v/>
      </c>
      <c r="M105" s="13" t="str">
        <f>IF(B105="","",IFERROR(SUMPRODUCT(ISNUMBER(B$3:B105)*(MONTH(IF(ISNUMBER(B$3:B105),B$3:B105,1))=MONTH(B105))*(YEAR(IF(ISNUMBER(B$3:B105),B$3:B105,1))=YEAR(B105))*IF(ISNUMBER(L$3:L105),L$3:L105,0)),""))</f>
        <v/>
      </c>
      <c r="N105" s="6"/>
      <c r="O105" s="7" t="str">
        <f>IF(AND(B105="",ISNUMBER(B106)),CHOOSE(MONTH(B106),"GENNAIO","FEBBRAIO","MARZO","APRILE","MAGGIO","GIUGNO","LUGLIO","AGOSTO","SETTEMBRE","OTTOBRE","NOVEMBRE","DICEMBRE")&amp;" "&amp;YEAR(B106),"")</f>
        <v/>
      </c>
      <c r="P105" s="12" t="str">
        <f>IF(K105=0.2,"CASA","")</f>
        <v/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" customHeight="1" x14ac:dyDescent="0.2">
      <c r="A106" s="5" t="str">
        <f>IF(AND(B106="",ISNUMBER(B107)),CHOOSE(MONTH(B107),"GENNAIO","FEBBRAIO","MARZO","APRILE","MAGGIO","GIUGNO","LUGLIO","AGOSTO","SETTEMBRE","OTTOBRE","NOVEMBRE","DICEMBRE")&amp;" "&amp;YEAR(B107),"")</f>
        <v/>
      </c>
      <c r="B106" s="11"/>
      <c r="C106" s="12"/>
      <c r="D106" s="12" t="str">
        <f>IF(C106="","",C106-IF(C105&lt;&gt;"",C105,IF(C104&lt;&gt;"",C104,IF(C103&lt;&gt;"",C103,0))))</f>
        <v/>
      </c>
      <c r="E106" s="12"/>
      <c r="F106" s="12"/>
      <c r="G106" s="9" t="str">
        <f>IF(AND(E106="",F106=""),"",IF(OR(E106&gt;1,F106&gt;1),(F106-E106)/100,F106-E106))</f>
        <v/>
      </c>
      <c r="H106" s="12" t="str">
        <f>IF(G106="","",64*G106)</f>
        <v/>
      </c>
      <c r="I106" s="13"/>
      <c r="J106" s="13" t="str">
        <f>IFERROR(IF(OR(D106="",D106=0),"",I106/D106*100),"")</f>
        <v/>
      </c>
      <c r="K106" s="14"/>
      <c r="L106" s="13" t="str">
        <f>IF(I106="","",I106*K106)</f>
        <v/>
      </c>
      <c r="M106" s="13" t="str">
        <f>IF(B106="","",IFERROR(SUMPRODUCT(ISNUMBER(B$3:B106)*(MONTH(IF(ISNUMBER(B$3:B106),B$3:B106,1))=MONTH(B106))*(YEAR(IF(ISNUMBER(B$3:B106),B$3:B106,1))=YEAR(B106))*IF(ISNUMBER(L$3:L106),L$3:L106,0)),""))</f>
        <v/>
      </c>
      <c r="N106" s="6"/>
      <c r="O106" s="7" t="str">
        <f>IF(AND(B106="",ISNUMBER(B107)),CHOOSE(MONTH(B107),"GENNAIO","FEBBRAIO","MARZO","APRILE","MAGGIO","GIUGNO","LUGLIO","AGOSTO","SETTEMBRE","OTTOBRE","NOVEMBRE","DICEMBRE")&amp;" "&amp;YEAR(B107),"")</f>
        <v/>
      </c>
      <c r="P106" s="12" t="str">
        <f>IF(K106=0.2,"CASA","")</f>
        <v/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" customHeight="1" x14ac:dyDescent="0.2">
      <c r="A107" s="5" t="str">
        <f>IF(AND(B107="",ISNUMBER(B108)),CHOOSE(MONTH(B108),"GENNAIO","FEBBRAIO","MARZO","APRILE","MAGGIO","GIUGNO","LUGLIO","AGOSTO","SETTEMBRE","OTTOBRE","NOVEMBRE","DICEMBRE")&amp;" "&amp;YEAR(B108),"")</f>
        <v/>
      </c>
      <c r="B107" s="11"/>
      <c r="C107" s="12"/>
      <c r="D107" s="12" t="str">
        <f>IF(C107="","",C107-IF(C106&lt;&gt;"",C106,IF(C105&lt;&gt;"",C105,IF(C104&lt;&gt;"",C104,0))))</f>
        <v/>
      </c>
      <c r="E107" s="12"/>
      <c r="F107" s="12"/>
      <c r="G107" s="9" t="str">
        <f>IF(AND(E107="",F107=""),"",IF(OR(E107&gt;1,F107&gt;1),(F107-E107)/100,F107-E107))</f>
        <v/>
      </c>
      <c r="H107" s="12" t="str">
        <f>IF(G107="","",64*G107)</f>
        <v/>
      </c>
      <c r="I107" s="13"/>
      <c r="J107" s="13" t="str">
        <f>IFERROR(IF(OR(D107="",D107=0),"",I107/D107*100),"")</f>
        <v/>
      </c>
      <c r="K107" s="14"/>
      <c r="L107" s="13" t="str">
        <f>IF(I107="","",I107*K107)</f>
        <v/>
      </c>
      <c r="M107" s="13" t="str">
        <f>IF(B107="","",IFERROR(SUMPRODUCT(ISNUMBER(B$3:B107)*(MONTH(IF(ISNUMBER(B$3:B107),B$3:B107,1))=MONTH(B107))*(YEAR(IF(ISNUMBER(B$3:B107),B$3:B107,1))=YEAR(B107))*IF(ISNUMBER(L$3:L107),L$3:L107,0)),""))</f>
        <v/>
      </c>
      <c r="N107" s="6"/>
      <c r="O107" s="7" t="str">
        <f>IF(AND(B107="",ISNUMBER(B108)),CHOOSE(MONTH(B108),"GENNAIO","FEBBRAIO","MARZO","APRILE","MAGGIO","GIUGNO","LUGLIO","AGOSTO","SETTEMBRE","OTTOBRE","NOVEMBRE","DICEMBRE")&amp;" "&amp;YEAR(B108),"")</f>
        <v/>
      </c>
      <c r="P107" s="12" t="str">
        <f>IF(K107=0.2,"CASA","")</f>
        <v/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" customHeight="1" x14ac:dyDescent="0.2">
      <c r="A108" s="5" t="str">
        <f>IF(AND(B108="",ISNUMBER(B109)),CHOOSE(MONTH(B109),"GENNAIO","FEBBRAIO","MARZO","APRILE","MAGGIO","GIUGNO","LUGLIO","AGOSTO","SETTEMBRE","OTTOBRE","NOVEMBRE","DICEMBRE")&amp;" "&amp;YEAR(B109),"")</f>
        <v/>
      </c>
      <c r="B108" s="11"/>
      <c r="C108" s="12"/>
      <c r="D108" s="12" t="str">
        <f>IF(C108="","",C108-IF(C107&lt;&gt;"",C107,IF(C106&lt;&gt;"",C106,IF(C105&lt;&gt;"",C105,0))))</f>
        <v/>
      </c>
      <c r="E108" s="12"/>
      <c r="F108" s="12"/>
      <c r="G108" s="9" t="str">
        <f>IF(AND(E108="",F108=""),"",IF(OR(E108&gt;1,F108&gt;1),(F108-E108)/100,F108-E108))</f>
        <v/>
      </c>
      <c r="H108" s="12" t="str">
        <f>IF(G108="","",64*G108)</f>
        <v/>
      </c>
      <c r="I108" s="13"/>
      <c r="J108" s="13" t="str">
        <f>IFERROR(IF(OR(D108="",D108=0),"",I108/D108*100),"")</f>
        <v/>
      </c>
      <c r="K108" s="14"/>
      <c r="L108" s="13" t="str">
        <f>IF(I108="","",I108*K108)</f>
        <v/>
      </c>
      <c r="M108" s="13" t="str">
        <f>IF(B108="","",IFERROR(SUMPRODUCT(ISNUMBER(B$3:B108)*(MONTH(IF(ISNUMBER(B$3:B108),B$3:B108,1))=MONTH(B108))*(YEAR(IF(ISNUMBER(B$3:B108),B$3:B108,1))=YEAR(B108))*IF(ISNUMBER(L$3:L108),L$3:L108,0)),""))</f>
        <v/>
      </c>
      <c r="N108" s="6"/>
      <c r="O108" s="7" t="str">
        <f>IF(AND(B108="",ISNUMBER(B109)),CHOOSE(MONTH(B109),"GENNAIO","FEBBRAIO","MARZO","APRILE","MAGGIO","GIUGNO","LUGLIO","AGOSTO","SETTEMBRE","OTTOBRE","NOVEMBRE","DICEMBRE")&amp;" "&amp;YEAR(B109),"")</f>
        <v/>
      </c>
      <c r="P108" s="12" t="str">
        <f>IF(K108=0.2,"CASA","")</f>
        <v/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" customHeight="1" x14ac:dyDescent="0.2">
      <c r="A109" s="5" t="str">
        <f>IF(AND(B109="",ISNUMBER(B110)),CHOOSE(MONTH(B110),"GENNAIO","FEBBRAIO","MARZO","APRILE","MAGGIO","GIUGNO","LUGLIO","AGOSTO","SETTEMBRE","OTTOBRE","NOVEMBRE","DICEMBRE")&amp;" "&amp;YEAR(B110),"")</f>
        <v/>
      </c>
      <c r="B109" s="11"/>
      <c r="C109" s="12"/>
      <c r="D109" s="12" t="str">
        <f>IF(C109="","",C109-IF(C108&lt;&gt;"",C108,IF(C107&lt;&gt;"",C107,IF(C106&lt;&gt;"",C106,0))))</f>
        <v/>
      </c>
      <c r="E109" s="12"/>
      <c r="F109" s="12"/>
      <c r="G109" s="9" t="str">
        <f>IF(AND(E109="",F109=""),"",IF(OR(E109&gt;1,F109&gt;1),(F109-E109)/100,F109-E109))</f>
        <v/>
      </c>
      <c r="H109" s="12" t="str">
        <f>IF(G109="","",64*G109)</f>
        <v/>
      </c>
      <c r="I109" s="13"/>
      <c r="J109" s="13" t="str">
        <f>IFERROR(IF(OR(D109="",D109=0),"",I109/D109*100),"")</f>
        <v/>
      </c>
      <c r="K109" s="14"/>
      <c r="L109" s="13" t="str">
        <f>IF(I109="","",I109*K109)</f>
        <v/>
      </c>
      <c r="M109" s="13" t="str">
        <f>IF(B109="","",IFERROR(SUMPRODUCT(ISNUMBER(B$3:B109)*(MONTH(IF(ISNUMBER(B$3:B109),B$3:B109,1))=MONTH(B109))*(YEAR(IF(ISNUMBER(B$3:B109),B$3:B109,1))=YEAR(B109))*IF(ISNUMBER(L$3:L109),L$3:L109,0)),""))</f>
        <v/>
      </c>
      <c r="N109" s="6"/>
      <c r="O109" s="7" t="str">
        <f>IF(AND(B109="",ISNUMBER(B110)),CHOOSE(MONTH(B110),"GENNAIO","FEBBRAIO","MARZO","APRILE","MAGGIO","GIUGNO","LUGLIO","AGOSTO","SETTEMBRE","OTTOBRE","NOVEMBRE","DICEMBRE")&amp;" "&amp;YEAR(B110),"")</f>
        <v/>
      </c>
      <c r="P109" s="12" t="str">
        <f>IF(K109=0.2,"CASA","")</f>
        <v/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" customHeight="1" x14ac:dyDescent="0.2">
      <c r="A110" s="5" t="str">
        <f>IF(AND(B110="",ISNUMBER(B111)),CHOOSE(MONTH(B111),"GENNAIO","FEBBRAIO","MARZO","APRILE","MAGGIO","GIUGNO","LUGLIO","AGOSTO","SETTEMBRE","OTTOBRE","NOVEMBRE","DICEMBRE")&amp;" "&amp;YEAR(B111),"")</f>
        <v/>
      </c>
      <c r="B110" s="11"/>
      <c r="C110" s="12"/>
      <c r="D110" s="12" t="str">
        <f>IF(C110="","",C110-IF(C109&lt;&gt;"",C109,IF(C108&lt;&gt;"",C108,IF(C107&lt;&gt;"",C107,0))))</f>
        <v/>
      </c>
      <c r="E110" s="12"/>
      <c r="F110" s="12"/>
      <c r="G110" s="9" t="str">
        <f>IF(AND(E110="",F110=""),"",IF(OR(E110&gt;1,F110&gt;1),(F110-E110)/100,F110-E110))</f>
        <v/>
      </c>
      <c r="H110" s="12" t="str">
        <f>IF(G110="","",64*G110)</f>
        <v/>
      </c>
      <c r="I110" s="13"/>
      <c r="J110" s="13" t="str">
        <f>IFERROR(IF(OR(D110="",D110=0),"",I110/D110*100),"")</f>
        <v/>
      </c>
      <c r="K110" s="14"/>
      <c r="L110" s="13" t="str">
        <f>IF(I110="","",I110*K110)</f>
        <v/>
      </c>
      <c r="M110" s="13" t="str">
        <f>IF(B110="","",IFERROR(SUMPRODUCT(ISNUMBER(B$3:B110)*(MONTH(IF(ISNUMBER(B$3:B110),B$3:B110,1))=MONTH(B110))*(YEAR(IF(ISNUMBER(B$3:B110),B$3:B110,1))=YEAR(B110))*IF(ISNUMBER(L$3:L110),L$3:L110,0)),""))</f>
        <v/>
      </c>
      <c r="N110" s="6"/>
      <c r="O110" s="7" t="str">
        <f>IF(AND(B110="",ISNUMBER(B111)),CHOOSE(MONTH(B111),"GENNAIO","FEBBRAIO","MARZO","APRILE","MAGGIO","GIUGNO","LUGLIO","AGOSTO","SETTEMBRE","OTTOBRE","NOVEMBRE","DICEMBRE")&amp;" "&amp;YEAR(B111),"")</f>
        <v/>
      </c>
      <c r="P110" s="12" t="str">
        <f>IF(K110=0.2,"CASA","")</f>
        <v/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" customHeight="1" x14ac:dyDescent="0.2">
      <c r="A111" s="5" t="str">
        <f>IF(AND(B111="",ISNUMBER(B112)),CHOOSE(MONTH(B112),"GENNAIO","FEBBRAIO","MARZO","APRILE","MAGGIO","GIUGNO","LUGLIO","AGOSTO","SETTEMBRE","OTTOBRE","NOVEMBRE","DICEMBRE")&amp;" "&amp;YEAR(B112),"")</f>
        <v/>
      </c>
      <c r="B111" s="11"/>
      <c r="C111" s="12"/>
      <c r="D111" s="12" t="str">
        <f>IF(C111="","",C111-IF(C110&lt;&gt;"",C110,IF(C109&lt;&gt;"",C109,IF(C108&lt;&gt;"",C108,0))))</f>
        <v/>
      </c>
      <c r="E111" s="12"/>
      <c r="F111" s="12"/>
      <c r="G111" s="9" t="str">
        <f>IF(AND(E111="",F111=""),"",IF(OR(E111&gt;1,F111&gt;1),(F111-E111)/100,F111-E111))</f>
        <v/>
      </c>
      <c r="H111" s="12" t="str">
        <f>IF(G111="","",64*G111)</f>
        <v/>
      </c>
      <c r="I111" s="13"/>
      <c r="J111" s="13" t="str">
        <f>IFERROR(IF(OR(D111="",D111=0),"",I111/D111*100),"")</f>
        <v/>
      </c>
      <c r="K111" s="14"/>
      <c r="L111" s="13" t="str">
        <f>IF(I111="","",I111*K111)</f>
        <v/>
      </c>
      <c r="M111" s="13" t="str">
        <f>IF(B111="","",IFERROR(SUMPRODUCT(ISNUMBER(B$3:B111)*(MONTH(IF(ISNUMBER(B$3:B111),B$3:B111,1))=MONTH(B111))*(YEAR(IF(ISNUMBER(B$3:B111),B$3:B111,1))=YEAR(B111))*IF(ISNUMBER(L$3:L111),L$3:L111,0)),""))</f>
        <v/>
      </c>
      <c r="N111" s="6"/>
      <c r="O111" s="7" t="str">
        <f>IF(AND(B111="",ISNUMBER(B112)),CHOOSE(MONTH(B112),"GENNAIO","FEBBRAIO","MARZO","APRILE","MAGGIO","GIUGNO","LUGLIO","AGOSTO","SETTEMBRE","OTTOBRE","NOVEMBRE","DICEMBRE")&amp;" "&amp;YEAR(B112),"")</f>
        <v/>
      </c>
      <c r="P111" s="12" t="str">
        <f>IF(K111=0.2,"CASA","")</f>
        <v/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" customHeight="1" x14ac:dyDescent="0.2">
      <c r="A112" s="5" t="str">
        <f>IF(AND(B112="",ISNUMBER(B113)),CHOOSE(MONTH(B113),"GENNAIO","FEBBRAIO","MARZO","APRILE","MAGGIO","GIUGNO","LUGLIO","AGOSTO","SETTEMBRE","OTTOBRE","NOVEMBRE","DICEMBRE")&amp;" "&amp;YEAR(B113),"")</f>
        <v/>
      </c>
      <c r="B112" s="11"/>
      <c r="C112" s="12"/>
      <c r="D112" s="12" t="str">
        <f>IF(C112="","",C112-IF(C111&lt;&gt;"",C111,IF(C110&lt;&gt;"",C110,IF(C109&lt;&gt;"",C109,0))))</f>
        <v/>
      </c>
      <c r="E112" s="12"/>
      <c r="F112" s="12"/>
      <c r="G112" s="9" t="str">
        <f>IF(AND(E112="",F112=""),"",IF(OR(E112&gt;1,F112&gt;1),(F112-E112)/100,F112-E112))</f>
        <v/>
      </c>
      <c r="H112" s="12" t="str">
        <f>IF(G112="","",64*G112)</f>
        <v/>
      </c>
      <c r="I112" s="13"/>
      <c r="J112" s="13" t="str">
        <f>IFERROR(IF(OR(D112="",D112=0),"",I112/D112*100),"")</f>
        <v/>
      </c>
      <c r="K112" s="14"/>
      <c r="L112" s="13" t="str">
        <f>IF(I112="","",I112*K112)</f>
        <v/>
      </c>
      <c r="M112" s="13" t="str">
        <f>IF(B112="","",IFERROR(SUMPRODUCT(ISNUMBER(B$3:B112)*(MONTH(IF(ISNUMBER(B$3:B112),B$3:B112,1))=MONTH(B112))*(YEAR(IF(ISNUMBER(B$3:B112),B$3:B112,1))=YEAR(B112))*IF(ISNUMBER(L$3:L112),L$3:L112,0)),""))</f>
        <v/>
      </c>
      <c r="N112" s="6"/>
      <c r="O112" s="7" t="str">
        <f>IF(AND(B112="",ISNUMBER(B113)),CHOOSE(MONTH(B113),"GENNAIO","FEBBRAIO","MARZO","APRILE","MAGGIO","GIUGNO","LUGLIO","AGOSTO","SETTEMBRE","OTTOBRE","NOVEMBRE","DICEMBRE")&amp;" "&amp;YEAR(B113),"")</f>
        <v/>
      </c>
      <c r="P112" s="12" t="str">
        <f>IF(K112=0.2,"CASA","")</f>
        <v/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" customHeight="1" x14ac:dyDescent="0.2">
      <c r="A113" s="5" t="str">
        <f>IF(AND(B113="",ISNUMBER(B114)),CHOOSE(MONTH(B114),"GENNAIO","FEBBRAIO","MARZO","APRILE","MAGGIO","GIUGNO","LUGLIO","AGOSTO","SETTEMBRE","OTTOBRE","NOVEMBRE","DICEMBRE")&amp;" "&amp;YEAR(B114),"")</f>
        <v/>
      </c>
      <c r="B113" s="11"/>
      <c r="C113" s="12"/>
      <c r="D113" s="12" t="str">
        <f>IF(C113="","",C113-IF(C112&lt;&gt;"",C112,IF(C111&lt;&gt;"",C111,IF(C110&lt;&gt;"",C110,0))))</f>
        <v/>
      </c>
      <c r="E113" s="12"/>
      <c r="F113" s="12"/>
      <c r="G113" s="9" t="str">
        <f>IF(AND(E113="",F113=""),"",IF(OR(E113&gt;1,F113&gt;1),(F113-E113)/100,F113-E113))</f>
        <v/>
      </c>
      <c r="H113" s="12" t="str">
        <f>IF(G113="","",64*G113)</f>
        <v/>
      </c>
      <c r="I113" s="13"/>
      <c r="J113" s="13" t="str">
        <f>IFERROR(IF(OR(D113="",D113=0),"",I113/D113*100),"")</f>
        <v/>
      </c>
      <c r="K113" s="14"/>
      <c r="L113" s="13" t="str">
        <f>IF(I113="","",I113*K113)</f>
        <v/>
      </c>
      <c r="M113" s="13" t="str">
        <f>IF(B113="","",IFERROR(SUMPRODUCT(ISNUMBER(B$3:B113)*(MONTH(IF(ISNUMBER(B$3:B113),B$3:B113,1))=MONTH(B113))*(YEAR(IF(ISNUMBER(B$3:B113),B$3:B113,1))=YEAR(B113))*IF(ISNUMBER(L$3:L113),L$3:L113,0)),""))</f>
        <v/>
      </c>
      <c r="N113" s="6"/>
      <c r="O113" s="7" t="str">
        <f>IF(AND(B113="",ISNUMBER(B114)),CHOOSE(MONTH(B114),"GENNAIO","FEBBRAIO","MARZO","APRILE","MAGGIO","GIUGNO","LUGLIO","AGOSTO","SETTEMBRE","OTTOBRE","NOVEMBRE","DICEMBRE")&amp;" "&amp;YEAR(B114),"")</f>
        <v/>
      </c>
      <c r="P113" s="12" t="str">
        <f>IF(K113=0.2,"CASA","")</f>
        <v/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" customHeight="1" x14ac:dyDescent="0.2">
      <c r="A114" s="5" t="str">
        <f>IF(AND(B114="",ISNUMBER(B115)),CHOOSE(MONTH(B115),"GENNAIO","FEBBRAIO","MARZO","APRILE","MAGGIO","GIUGNO","LUGLIO","AGOSTO","SETTEMBRE","OTTOBRE","NOVEMBRE","DICEMBRE")&amp;" "&amp;YEAR(B115),"")</f>
        <v/>
      </c>
      <c r="B114" s="11"/>
      <c r="C114" s="12"/>
      <c r="D114" s="12" t="str">
        <f>IF(C114="","",C114-IF(C113&lt;&gt;"",C113,IF(C112&lt;&gt;"",C112,IF(C111&lt;&gt;"",C111,0))))</f>
        <v/>
      </c>
      <c r="E114" s="12"/>
      <c r="F114" s="12"/>
      <c r="G114" s="9" t="str">
        <f>IF(AND(E114="",F114=""),"",IF(OR(E114&gt;1,F114&gt;1),(F114-E114)/100,F114-E114))</f>
        <v/>
      </c>
      <c r="H114" s="12" t="str">
        <f>IF(G114="","",64*G114)</f>
        <v/>
      </c>
      <c r="I114" s="13"/>
      <c r="J114" s="13" t="str">
        <f>IFERROR(IF(OR(D114="",D114=0),"",I114/D114*100),"")</f>
        <v/>
      </c>
      <c r="K114" s="14"/>
      <c r="L114" s="13" t="str">
        <f>IF(I114="","",I114*K114)</f>
        <v/>
      </c>
      <c r="M114" s="13" t="str">
        <f>IF(B114="","",IFERROR(SUMPRODUCT(ISNUMBER(B$3:B114)*(MONTH(IF(ISNUMBER(B$3:B114),B$3:B114,1))=MONTH(B114))*(YEAR(IF(ISNUMBER(B$3:B114),B$3:B114,1))=YEAR(B114))*IF(ISNUMBER(L$3:L114),L$3:L114,0)),""))</f>
        <v/>
      </c>
      <c r="N114" s="6"/>
      <c r="O114" s="7" t="str">
        <f>IF(AND(B114="",ISNUMBER(B115)),CHOOSE(MONTH(B115),"GENNAIO","FEBBRAIO","MARZO","APRILE","MAGGIO","GIUGNO","LUGLIO","AGOSTO","SETTEMBRE","OTTOBRE","NOVEMBRE","DICEMBRE")&amp;" "&amp;YEAR(B115),"")</f>
        <v/>
      </c>
      <c r="P114" s="12" t="str">
        <f>IF(K114=0.2,"CASA","")</f>
        <v/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" customHeight="1" x14ac:dyDescent="0.2">
      <c r="A115" s="5" t="str">
        <f>IF(AND(B115="",ISNUMBER(B116)),CHOOSE(MONTH(B116),"GENNAIO","FEBBRAIO","MARZO","APRILE","MAGGIO","GIUGNO","LUGLIO","AGOSTO","SETTEMBRE","OTTOBRE","NOVEMBRE","DICEMBRE")&amp;" "&amp;YEAR(B116),"")</f>
        <v/>
      </c>
      <c r="B115" s="11"/>
      <c r="C115" s="12"/>
      <c r="D115" s="12" t="str">
        <f>IF(C115="","",C115-IF(C114&lt;&gt;"",C114,IF(C113&lt;&gt;"",C113,IF(C112&lt;&gt;"",C112,0))))</f>
        <v/>
      </c>
      <c r="E115" s="12"/>
      <c r="F115" s="12"/>
      <c r="G115" s="9" t="str">
        <f>IF(AND(E115="",F115=""),"",IF(OR(E115&gt;1,F115&gt;1),(F115-E115)/100,F115-E115))</f>
        <v/>
      </c>
      <c r="H115" s="12" t="str">
        <f>IF(G115="","",64*G115)</f>
        <v/>
      </c>
      <c r="I115" s="13"/>
      <c r="J115" s="13" t="str">
        <f>IFERROR(IF(OR(D115="",D115=0),"",I115/D115*100),"")</f>
        <v/>
      </c>
      <c r="K115" s="14"/>
      <c r="L115" s="13" t="str">
        <f>IF(I115="","",I115*K115)</f>
        <v/>
      </c>
      <c r="M115" s="13" t="str">
        <f>IF(B115="","",IFERROR(SUMPRODUCT(ISNUMBER(B$3:B115)*(MONTH(IF(ISNUMBER(B$3:B115),B$3:B115,1))=MONTH(B115))*(YEAR(IF(ISNUMBER(B$3:B115),B$3:B115,1))=YEAR(B115))*IF(ISNUMBER(L$3:L115),L$3:L115,0)),""))</f>
        <v/>
      </c>
      <c r="N115" s="6"/>
      <c r="O115" s="7" t="str">
        <f>IF(AND(B115="",ISNUMBER(B116)),CHOOSE(MONTH(B116),"GENNAIO","FEBBRAIO","MARZO","APRILE","MAGGIO","GIUGNO","LUGLIO","AGOSTO","SETTEMBRE","OTTOBRE","NOVEMBRE","DICEMBRE")&amp;" "&amp;YEAR(B116),"")</f>
        <v/>
      </c>
      <c r="P115" s="12" t="str">
        <f>IF(K115=0.2,"CASA","")</f>
        <v/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" customHeight="1" x14ac:dyDescent="0.2">
      <c r="A116" s="5" t="str">
        <f>IF(AND(B116="",ISNUMBER(B117)),CHOOSE(MONTH(B117),"GENNAIO","FEBBRAIO","MARZO","APRILE","MAGGIO","GIUGNO","LUGLIO","AGOSTO","SETTEMBRE","OTTOBRE","NOVEMBRE","DICEMBRE")&amp;" "&amp;YEAR(B117),"")</f>
        <v/>
      </c>
      <c r="B116" s="11"/>
      <c r="C116" s="12"/>
      <c r="D116" s="12" t="str">
        <f>IF(C116="","",C116-IF(C115&lt;&gt;"",C115,IF(C114&lt;&gt;"",C114,IF(C113&lt;&gt;"",C113,0))))</f>
        <v/>
      </c>
      <c r="E116" s="12"/>
      <c r="F116" s="12"/>
      <c r="G116" s="9" t="str">
        <f>IF(AND(E116="",F116=""),"",IF(OR(E116&gt;1,F116&gt;1),(F116-E116)/100,F116-E116))</f>
        <v/>
      </c>
      <c r="H116" s="12" t="str">
        <f>IF(G116="","",64*G116)</f>
        <v/>
      </c>
      <c r="I116" s="13"/>
      <c r="J116" s="13" t="str">
        <f>IFERROR(IF(OR(D116="",D116=0),"",I116/D116*100),"")</f>
        <v/>
      </c>
      <c r="K116" s="14"/>
      <c r="L116" s="13" t="str">
        <f>IF(I116="","",I116*K116)</f>
        <v/>
      </c>
      <c r="M116" s="13" t="str">
        <f>IF(B116="","",IFERROR(SUMPRODUCT(ISNUMBER(B$3:B116)*(MONTH(IF(ISNUMBER(B$3:B116),B$3:B116,1))=MONTH(B116))*(YEAR(IF(ISNUMBER(B$3:B116),B$3:B116,1))=YEAR(B116))*IF(ISNUMBER(L$3:L116),L$3:L116,0)),""))</f>
        <v/>
      </c>
      <c r="N116" s="6"/>
      <c r="O116" s="7" t="str">
        <f>IF(AND(B116="",ISNUMBER(B117)),CHOOSE(MONTH(B117),"GENNAIO","FEBBRAIO","MARZO","APRILE","MAGGIO","GIUGNO","LUGLIO","AGOSTO","SETTEMBRE","OTTOBRE","NOVEMBRE","DICEMBRE")&amp;" "&amp;YEAR(B117),"")</f>
        <v/>
      </c>
      <c r="P116" s="12" t="str">
        <f>IF(K116=0.2,"CASA","")</f>
        <v/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" customHeight="1" x14ac:dyDescent="0.2">
      <c r="A117" s="5" t="str">
        <f>IF(AND(B117="",ISNUMBER(B118)),CHOOSE(MONTH(B118),"GENNAIO","FEBBRAIO","MARZO","APRILE","MAGGIO","GIUGNO","LUGLIO","AGOSTO","SETTEMBRE","OTTOBRE","NOVEMBRE","DICEMBRE")&amp;" "&amp;YEAR(B118),"")</f>
        <v/>
      </c>
      <c r="B117" s="11"/>
      <c r="C117" s="12"/>
      <c r="D117" s="12" t="str">
        <f>IF(C117="","",C117-IF(C116&lt;&gt;"",C116,IF(C115&lt;&gt;"",C115,IF(C114&lt;&gt;"",C114,0))))</f>
        <v/>
      </c>
      <c r="E117" s="12"/>
      <c r="F117" s="12"/>
      <c r="G117" s="9" t="str">
        <f>IF(AND(E117="",F117=""),"",IF(OR(E117&gt;1,F117&gt;1),(F117-E117)/100,F117-E117))</f>
        <v/>
      </c>
      <c r="H117" s="12" t="str">
        <f>IF(G117="","",64*G117)</f>
        <v/>
      </c>
      <c r="I117" s="13"/>
      <c r="J117" s="13" t="str">
        <f>IFERROR(IF(OR(D117="",D117=0),"",I117/D117*100),"")</f>
        <v/>
      </c>
      <c r="K117" s="14"/>
      <c r="L117" s="13" t="str">
        <f>IF(I117="","",I117*K117)</f>
        <v/>
      </c>
      <c r="M117" s="13" t="str">
        <f>IF(B117="","",IFERROR(SUMPRODUCT(ISNUMBER(B$3:B117)*(MONTH(IF(ISNUMBER(B$3:B117),B$3:B117,1))=MONTH(B117))*(YEAR(IF(ISNUMBER(B$3:B117),B$3:B117,1))=YEAR(B117))*IF(ISNUMBER(L$3:L117),L$3:L117,0)),""))</f>
        <v/>
      </c>
      <c r="N117" s="6"/>
      <c r="O117" s="7" t="str">
        <f>IF(AND(B117="",ISNUMBER(B118)),CHOOSE(MONTH(B118),"GENNAIO","FEBBRAIO","MARZO","APRILE","MAGGIO","GIUGNO","LUGLIO","AGOSTO","SETTEMBRE","OTTOBRE","NOVEMBRE","DICEMBRE")&amp;" "&amp;YEAR(B118),"")</f>
        <v/>
      </c>
      <c r="P117" s="12" t="str">
        <f>IF(K117=0.2,"CASA","")</f>
        <v/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" customHeight="1" x14ac:dyDescent="0.2">
      <c r="A118" s="5" t="str">
        <f>IF(AND(B118="",ISNUMBER(B119)),CHOOSE(MONTH(B119),"GENNAIO","FEBBRAIO","MARZO","APRILE","MAGGIO","GIUGNO","LUGLIO","AGOSTO","SETTEMBRE","OTTOBRE","NOVEMBRE","DICEMBRE")&amp;" "&amp;YEAR(B119),"")</f>
        <v/>
      </c>
      <c r="B118" s="11"/>
      <c r="C118" s="12"/>
      <c r="D118" s="12" t="str">
        <f>IF(C118="","",C118-IF(C117&lt;&gt;"",C117,IF(C116&lt;&gt;"",C116,IF(C115&lt;&gt;"",C115,0))))</f>
        <v/>
      </c>
      <c r="E118" s="12"/>
      <c r="F118" s="12"/>
      <c r="G118" s="9" t="str">
        <f>IF(AND(E118="",F118=""),"",IF(OR(E118&gt;1,F118&gt;1),(F118-E118)/100,F118-E118))</f>
        <v/>
      </c>
      <c r="H118" s="12" t="str">
        <f>IF(G118="","",64*G118)</f>
        <v/>
      </c>
      <c r="I118" s="13"/>
      <c r="J118" s="13" t="str">
        <f>IFERROR(IF(OR(D118="",D118=0),"",I118/D118*100),"")</f>
        <v/>
      </c>
      <c r="K118" s="14"/>
      <c r="L118" s="13" t="str">
        <f>IF(I118="","",I118*K118)</f>
        <v/>
      </c>
      <c r="M118" s="13" t="str">
        <f>IF(B118="","",IFERROR(SUMPRODUCT(ISNUMBER(B$3:B118)*(MONTH(IF(ISNUMBER(B$3:B118),B$3:B118,1))=MONTH(B118))*(YEAR(IF(ISNUMBER(B$3:B118),B$3:B118,1))=YEAR(B118))*IF(ISNUMBER(L$3:L118),L$3:L118,0)),""))</f>
        <v/>
      </c>
      <c r="N118" s="6"/>
      <c r="O118" s="7" t="str">
        <f>IF(AND(B118="",ISNUMBER(B119)),CHOOSE(MONTH(B119),"GENNAIO","FEBBRAIO","MARZO","APRILE","MAGGIO","GIUGNO","LUGLIO","AGOSTO","SETTEMBRE","OTTOBRE","NOVEMBRE","DICEMBRE")&amp;" "&amp;YEAR(B119),"")</f>
        <v/>
      </c>
      <c r="P118" s="12" t="str">
        <f>IF(K118=0.2,"CASA","")</f>
        <v/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" customHeight="1" x14ac:dyDescent="0.2">
      <c r="A119" s="5" t="str">
        <f>IF(AND(B119="",ISNUMBER(B120)),CHOOSE(MONTH(B120),"GENNAIO","FEBBRAIO","MARZO","APRILE","MAGGIO","GIUGNO","LUGLIO","AGOSTO","SETTEMBRE","OTTOBRE","NOVEMBRE","DICEMBRE")&amp;" "&amp;YEAR(B120),"")</f>
        <v/>
      </c>
      <c r="B119" s="11"/>
      <c r="C119" s="12"/>
      <c r="D119" s="12" t="str">
        <f>IF(C119="","",C119-IF(C118&lt;&gt;"",C118,IF(C117&lt;&gt;"",C117,IF(C116&lt;&gt;"",C116,0))))</f>
        <v/>
      </c>
      <c r="E119" s="12"/>
      <c r="F119" s="12"/>
      <c r="G119" s="9" t="str">
        <f>IF(AND(E119="",F119=""),"",IF(OR(E119&gt;1,F119&gt;1),(F119-E119)/100,F119-E119))</f>
        <v/>
      </c>
      <c r="H119" s="12" t="str">
        <f>IF(G119="","",64*G119)</f>
        <v/>
      </c>
      <c r="I119" s="13"/>
      <c r="J119" s="13" t="str">
        <f>IFERROR(IF(OR(D119="",D119=0),"",I119/D119*100),"")</f>
        <v/>
      </c>
      <c r="K119" s="14"/>
      <c r="L119" s="13" t="str">
        <f>IF(I119="","",I119*K119)</f>
        <v/>
      </c>
      <c r="M119" s="13" t="str">
        <f>IF(B119="","",IFERROR(SUMPRODUCT(ISNUMBER(B$3:B119)*(MONTH(IF(ISNUMBER(B$3:B119),B$3:B119,1))=MONTH(B119))*(YEAR(IF(ISNUMBER(B$3:B119),B$3:B119,1))=YEAR(B119))*IF(ISNUMBER(L$3:L119),L$3:L119,0)),""))</f>
        <v/>
      </c>
      <c r="N119" s="6"/>
      <c r="O119" s="7" t="str">
        <f>IF(AND(B119="",ISNUMBER(B120)),CHOOSE(MONTH(B120),"GENNAIO","FEBBRAIO","MARZO","APRILE","MAGGIO","GIUGNO","LUGLIO","AGOSTO","SETTEMBRE","OTTOBRE","NOVEMBRE","DICEMBRE")&amp;" "&amp;YEAR(B120),"")</f>
        <v/>
      </c>
      <c r="P119" s="12" t="str">
        <f>IF(K119=0.2,"CASA","")</f>
        <v/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" customHeight="1" x14ac:dyDescent="0.2">
      <c r="A120" s="5" t="str">
        <f>IF(AND(B120="",ISNUMBER(B121)),CHOOSE(MONTH(B121),"GENNAIO","FEBBRAIO","MARZO","APRILE","MAGGIO","GIUGNO","LUGLIO","AGOSTO","SETTEMBRE","OTTOBRE","NOVEMBRE","DICEMBRE")&amp;" "&amp;YEAR(B121),"")</f>
        <v/>
      </c>
      <c r="B120" s="11"/>
      <c r="C120" s="12"/>
      <c r="D120" s="12" t="str">
        <f>IF(C120="","",C120-IF(C119&lt;&gt;"",C119,IF(C118&lt;&gt;"",C118,IF(C117&lt;&gt;"",C117,0))))</f>
        <v/>
      </c>
      <c r="E120" s="12"/>
      <c r="F120" s="12"/>
      <c r="G120" s="9" t="str">
        <f>IF(AND(E120="",F120=""),"",IF(OR(E120&gt;1,F120&gt;1),(F120-E120)/100,F120-E120))</f>
        <v/>
      </c>
      <c r="H120" s="12" t="str">
        <f>IF(G120="","",64*G120)</f>
        <v/>
      </c>
      <c r="I120" s="13"/>
      <c r="J120" s="13" t="str">
        <f>IFERROR(IF(OR(D120="",D120=0),"",I120/D120*100),"")</f>
        <v/>
      </c>
      <c r="K120" s="14"/>
      <c r="L120" s="13" t="str">
        <f>IF(I120="","",I120*K120)</f>
        <v/>
      </c>
      <c r="M120" s="13" t="str">
        <f>IF(B120="","",IFERROR(SUMPRODUCT(ISNUMBER(B$3:B120)*(MONTH(IF(ISNUMBER(B$3:B120),B$3:B120,1))=MONTH(B120))*(YEAR(IF(ISNUMBER(B$3:B120),B$3:B120,1))=YEAR(B120))*IF(ISNUMBER(L$3:L120),L$3:L120,0)),""))</f>
        <v/>
      </c>
      <c r="N120" s="6"/>
      <c r="O120" s="7" t="str">
        <f>IF(AND(B120="",ISNUMBER(B121)),CHOOSE(MONTH(B121),"GENNAIO","FEBBRAIO","MARZO","APRILE","MAGGIO","GIUGNO","LUGLIO","AGOSTO","SETTEMBRE","OTTOBRE","NOVEMBRE","DICEMBRE")&amp;" "&amp;YEAR(B121),"")</f>
        <v/>
      </c>
      <c r="P120" s="12" t="str">
        <f>IF(K120=0.2,"CASA","")</f>
        <v/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" customHeight="1" x14ac:dyDescent="0.2">
      <c r="A121" s="5" t="str">
        <f>IF(AND(B121="",ISNUMBER(B122)),CHOOSE(MONTH(B122),"GENNAIO","FEBBRAIO","MARZO","APRILE","MAGGIO","GIUGNO","LUGLIO","AGOSTO","SETTEMBRE","OTTOBRE","NOVEMBRE","DICEMBRE")&amp;" "&amp;YEAR(B122),"")</f>
        <v/>
      </c>
      <c r="B121" s="11"/>
      <c r="C121" s="12"/>
      <c r="D121" s="12" t="str">
        <f>IF(C121="","",C121-IF(C120&lt;&gt;"",C120,IF(C119&lt;&gt;"",C119,IF(C118&lt;&gt;"",C118,0))))</f>
        <v/>
      </c>
      <c r="E121" s="12"/>
      <c r="F121" s="12"/>
      <c r="G121" s="9" t="str">
        <f>IF(AND(E121="",F121=""),"",IF(OR(E121&gt;1,F121&gt;1),(F121-E121)/100,F121-E121))</f>
        <v/>
      </c>
      <c r="H121" s="12" t="str">
        <f>IF(G121="","",64*G121)</f>
        <v/>
      </c>
      <c r="I121" s="13"/>
      <c r="J121" s="13" t="str">
        <f>IFERROR(IF(OR(D121="",D121=0),"",I121/D121*100),"")</f>
        <v/>
      </c>
      <c r="K121" s="14"/>
      <c r="L121" s="13" t="str">
        <f>IF(I121="","",I121*K121)</f>
        <v/>
      </c>
      <c r="M121" s="13" t="str">
        <f>IF(B121="","",IFERROR(SUMPRODUCT(ISNUMBER(B$3:B121)*(MONTH(IF(ISNUMBER(B$3:B121),B$3:B121,1))=MONTH(B121))*(YEAR(IF(ISNUMBER(B$3:B121),B$3:B121,1))=YEAR(B121))*IF(ISNUMBER(L$3:L121),L$3:L121,0)),""))</f>
        <v/>
      </c>
      <c r="N121" s="6"/>
      <c r="O121" s="7" t="str">
        <f>IF(AND(B121="",ISNUMBER(B122)),CHOOSE(MONTH(B122),"GENNAIO","FEBBRAIO","MARZO","APRILE","MAGGIO","GIUGNO","LUGLIO","AGOSTO","SETTEMBRE","OTTOBRE","NOVEMBRE","DICEMBRE")&amp;" "&amp;YEAR(B122),"")</f>
        <v/>
      </c>
      <c r="P121" s="12" t="str">
        <f>IF(K121=0.2,"CASA","")</f>
        <v/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" customHeight="1" x14ac:dyDescent="0.2">
      <c r="A122" s="5" t="str">
        <f>IF(AND(B122="",ISNUMBER(B123)),CHOOSE(MONTH(B123),"GENNAIO","FEBBRAIO","MARZO","APRILE","MAGGIO","GIUGNO","LUGLIO","AGOSTO","SETTEMBRE","OTTOBRE","NOVEMBRE","DICEMBRE")&amp;" "&amp;YEAR(B123),"")</f>
        <v/>
      </c>
      <c r="B122" s="11"/>
      <c r="C122" s="12"/>
      <c r="D122" s="12" t="str">
        <f>IF(C122="","",C122-IF(C121&lt;&gt;"",C121,IF(C120&lt;&gt;"",C120,IF(C119&lt;&gt;"",C119,0))))</f>
        <v/>
      </c>
      <c r="E122" s="12"/>
      <c r="F122" s="12"/>
      <c r="G122" s="9" t="str">
        <f>IF(AND(E122="",F122=""),"",IF(OR(E122&gt;1,F122&gt;1),(F122-E122)/100,F122-E122))</f>
        <v/>
      </c>
      <c r="H122" s="12" t="str">
        <f>IF(G122="","",64*G122)</f>
        <v/>
      </c>
      <c r="I122" s="13"/>
      <c r="J122" s="13" t="str">
        <f>IFERROR(IF(OR(D122="",D122=0),"",I122/D122*100),"")</f>
        <v/>
      </c>
      <c r="K122" s="14"/>
      <c r="L122" s="13" t="str">
        <f>IF(I122="","",I122*K122)</f>
        <v/>
      </c>
      <c r="M122" s="13" t="str">
        <f>IF(B122="","",IFERROR(SUMPRODUCT(ISNUMBER(B$3:B122)*(MONTH(IF(ISNUMBER(B$3:B122),B$3:B122,1))=MONTH(B122))*(YEAR(IF(ISNUMBER(B$3:B122),B$3:B122,1))=YEAR(B122))*IF(ISNUMBER(L$3:L122),L$3:L122,0)),""))</f>
        <v/>
      </c>
      <c r="N122" s="6"/>
      <c r="O122" s="7" t="str">
        <f>IF(AND(B122="",ISNUMBER(B123)),CHOOSE(MONTH(B123),"GENNAIO","FEBBRAIO","MARZO","APRILE","MAGGIO","GIUGNO","LUGLIO","AGOSTO","SETTEMBRE","OTTOBRE","NOVEMBRE","DICEMBRE")&amp;" "&amp;YEAR(B123),"")</f>
        <v/>
      </c>
      <c r="P122" s="12" t="str">
        <f>IF(K122=0.2,"CASA","")</f>
        <v/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" customHeight="1" x14ac:dyDescent="0.2">
      <c r="A123" s="5" t="str">
        <f>IF(AND(B123="",ISNUMBER(B124)),CHOOSE(MONTH(B124),"GENNAIO","FEBBRAIO","MARZO","APRILE","MAGGIO","GIUGNO","LUGLIO","AGOSTO","SETTEMBRE","OTTOBRE","NOVEMBRE","DICEMBRE")&amp;" "&amp;YEAR(B124),"")</f>
        <v/>
      </c>
      <c r="B123" s="11"/>
      <c r="C123" s="12"/>
      <c r="D123" s="12" t="str">
        <f>IF(C123="","",C123-IF(C122&lt;&gt;"",C122,IF(C121&lt;&gt;"",C121,IF(C120&lt;&gt;"",C120,0))))</f>
        <v/>
      </c>
      <c r="E123" s="12"/>
      <c r="F123" s="12"/>
      <c r="G123" s="9" t="str">
        <f>IF(AND(E123="",F123=""),"",IF(OR(E123&gt;1,F123&gt;1),(F123-E123)/100,F123-E123))</f>
        <v/>
      </c>
      <c r="H123" s="12" t="str">
        <f>IF(G123="","",64*G123)</f>
        <v/>
      </c>
      <c r="I123" s="13"/>
      <c r="J123" s="13" t="str">
        <f>IFERROR(IF(OR(D123="",D123=0),"",I123/D123*100),"")</f>
        <v/>
      </c>
      <c r="K123" s="14"/>
      <c r="L123" s="13" t="str">
        <f>IF(I123="","",I123*K123)</f>
        <v/>
      </c>
      <c r="M123" s="13" t="str">
        <f>IF(B123="","",IFERROR(SUMPRODUCT(ISNUMBER(B$3:B123)*(MONTH(IF(ISNUMBER(B$3:B123),B$3:B123,1))=MONTH(B123))*(YEAR(IF(ISNUMBER(B$3:B123),B$3:B123,1))=YEAR(B123))*IF(ISNUMBER(L$3:L123),L$3:L123,0)),""))</f>
        <v/>
      </c>
      <c r="N123" s="6"/>
      <c r="O123" s="7" t="str">
        <f>IF(AND(B123="",ISNUMBER(B124)),CHOOSE(MONTH(B124),"GENNAIO","FEBBRAIO","MARZO","APRILE","MAGGIO","GIUGNO","LUGLIO","AGOSTO","SETTEMBRE","OTTOBRE","NOVEMBRE","DICEMBRE")&amp;" "&amp;YEAR(B124),"")</f>
        <v/>
      </c>
      <c r="P123" s="12" t="str">
        <f>IF(K123=0.2,"CASA","")</f>
        <v/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" customHeight="1" x14ac:dyDescent="0.2">
      <c r="A124" s="5" t="str">
        <f>IF(AND(B124="",ISNUMBER(B125)),CHOOSE(MONTH(B125),"GENNAIO","FEBBRAIO","MARZO","APRILE","MAGGIO","GIUGNO","LUGLIO","AGOSTO","SETTEMBRE","OTTOBRE","NOVEMBRE","DICEMBRE")&amp;" "&amp;YEAR(B125),"")</f>
        <v/>
      </c>
      <c r="B124" s="11"/>
      <c r="C124" s="12"/>
      <c r="D124" s="12" t="str">
        <f>IF(C124="","",C124-IF(C123&lt;&gt;"",C123,IF(C122&lt;&gt;"",C122,IF(C121&lt;&gt;"",C121,0))))</f>
        <v/>
      </c>
      <c r="E124" s="12"/>
      <c r="F124" s="12"/>
      <c r="G124" s="9" t="str">
        <f>IF(AND(E124="",F124=""),"",IF(OR(E124&gt;1,F124&gt;1),(F124-E124)/100,F124-E124))</f>
        <v/>
      </c>
      <c r="H124" s="12" t="str">
        <f>IF(G124="","",64*G124)</f>
        <v/>
      </c>
      <c r="I124" s="13"/>
      <c r="J124" s="13" t="str">
        <f>IFERROR(IF(OR(D124="",D124=0),"",I124/D124*100),"")</f>
        <v/>
      </c>
      <c r="K124" s="14"/>
      <c r="L124" s="13" t="str">
        <f>IF(I124="","",I124*K124)</f>
        <v/>
      </c>
      <c r="M124" s="13" t="str">
        <f>IF(B124="","",IFERROR(SUMPRODUCT(ISNUMBER(B$3:B124)*(MONTH(IF(ISNUMBER(B$3:B124),B$3:B124,1))=MONTH(B124))*(YEAR(IF(ISNUMBER(B$3:B124),B$3:B124,1))=YEAR(B124))*IF(ISNUMBER(L$3:L124),L$3:L124,0)),""))</f>
        <v/>
      </c>
      <c r="N124" s="6"/>
      <c r="O124" s="7" t="str">
        <f>IF(AND(B124="",ISNUMBER(B125)),CHOOSE(MONTH(B125),"GENNAIO","FEBBRAIO","MARZO","APRILE","MAGGIO","GIUGNO","LUGLIO","AGOSTO","SETTEMBRE","OTTOBRE","NOVEMBRE","DICEMBRE")&amp;" "&amp;YEAR(B125),"")</f>
        <v/>
      </c>
      <c r="P124" s="12" t="str">
        <f>IF(K124=0.2,"CASA","")</f>
        <v/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" customHeight="1" x14ac:dyDescent="0.2">
      <c r="A125" s="5" t="str">
        <f>IF(AND(B125="",ISNUMBER(B126)),CHOOSE(MONTH(B126),"GENNAIO","FEBBRAIO","MARZO","APRILE","MAGGIO","GIUGNO","LUGLIO","AGOSTO","SETTEMBRE","OTTOBRE","NOVEMBRE","DICEMBRE")&amp;" "&amp;YEAR(B126),"")</f>
        <v/>
      </c>
      <c r="B125" s="11"/>
      <c r="C125" s="12"/>
      <c r="D125" s="12" t="str">
        <f>IF(C125="","",C125-IF(C124&lt;&gt;"",C124,IF(C123&lt;&gt;"",C123,IF(C122&lt;&gt;"",C122,0))))</f>
        <v/>
      </c>
      <c r="E125" s="12"/>
      <c r="F125" s="12"/>
      <c r="G125" s="9" t="str">
        <f>IF(AND(E125="",F125=""),"",IF(OR(E125&gt;1,F125&gt;1),(F125-E125)/100,F125-E125))</f>
        <v/>
      </c>
      <c r="H125" s="12" t="str">
        <f>IF(G125="","",64*G125)</f>
        <v/>
      </c>
      <c r="I125" s="13"/>
      <c r="J125" s="13" t="str">
        <f>IFERROR(IF(OR(D125="",D125=0),"",I125/D125*100),"")</f>
        <v/>
      </c>
      <c r="K125" s="14"/>
      <c r="L125" s="13" t="str">
        <f>IF(I125="","",I125*K125)</f>
        <v/>
      </c>
      <c r="M125" s="13" t="str">
        <f>IF(B125="","",IFERROR(SUMPRODUCT(ISNUMBER(B$3:B125)*(MONTH(IF(ISNUMBER(B$3:B125),B$3:B125,1))=MONTH(B125))*(YEAR(IF(ISNUMBER(B$3:B125),B$3:B125,1))=YEAR(B125))*IF(ISNUMBER(L$3:L125),L$3:L125,0)),""))</f>
        <v/>
      </c>
      <c r="N125" s="6"/>
      <c r="O125" s="7" t="str">
        <f>IF(AND(B125="",ISNUMBER(B126)),CHOOSE(MONTH(B126),"GENNAIO","FEBBRAIO","MARZO","APRILE","MAGGIO","GIUGNO","LUGLIO","AGOSTO","SETTEMBRE","OTTOBRE","NOVEMBRE","DICEMBRE")&amp;" "&amp;YEAR(B126),"")</f>
        <v/>
      </c>
      <c r="P125" s="12" t="str">
        <f>IF(K125=0.2,"CASA","")</f>
        <v/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" customHeight="1" x14ac:dyDescent="0.2">
      <c r="A126" s="5" t="str">
        <f>IF(AND(B126="",ISNUMBER(B127)),CHOOSE(MONTH(B127),"GENNAIO","FEBBRAIO","MARZO","APRILE","MAGGIO","GIUGNO","LUGLIO","AGOSTO","SETTEMBRE","OTTOBRE","NOVEMBRE","DICEMBRE")&amp;" "&amp;YEAR(B127),"")</f>
        <v/>
      </c>
      <c r="B126" s="11"/>
      <c r="C126" s="12"/>
      <c r="D126" s="12" t="str">
        <f>IF(C126="","",C126-IF(C125&lt;&gt;"",C125,IF(C124&lt;&gt;"",C124,IF(C123&lt;&gt;"",C123,0))))</f>
        <v/>
      </c>
      <c r="E126" s="12"/>
      <c r="F126" s="12"/>
      <c r="G126" s="9" t="str">
        <f>IF(AND(E126="",F126=""),"",IF(OR(E126&gt;1,F126&gt;1),(F126-E126)/100,F126-E126))</f>
        <v/>
      </c>
      <c r="H126" s="12" t="str">
        <f>IF(G126="","",64*G126)</f>
        <v/>
      </c>
      <c r="I126" s="13"/>
      <c r="J126" s="13" t="str">
        <f>IFERROR(IF(OR(D126="",D126=0),"",I126/D126*100),"")</f>
        <v/>
      </c>
      <c r="K126" s="14"/>
      <c r="L126" s="13" t="str">
        <f>IF(I126="","",I126*K126)</f>
        <v/>
      </c>
      <c r="M126" s="13" t="str">
        <f>IF(B126="","",IFERROR(SUMPRODUCT(ISNUMBER(B$3:B126)*(MONTH(IF(ISNUMBER(B$3:B126),B$3:B126,1))=MONTH(B126))*(YEAR(IF(ISNUMBER(B$3:B126),B$3:B126,1))=YEAR(B126))*IF(ISNUMBER(L$3:L126),L$3:L126,0)),""))</f>
        <v/>
      </c>
      <c r="N126" s="6"/>
      <c r="O126" s="7" t="str">
        <f>IF(AND(B126="",ISNUMBER(B127)),CHOOSE(MONTH(B127),"GENNAIO","FEBBRAIO","MARZO","APRILE","MAGGIO","GIUGNO","LUGLIO","AGOSTO","SETTEMBRE","OTTOBRE","NOVEMBRE","DICEMBRE")&amp;" "&amp;YEAR(B127),"")</f>
        <v/>
      </c>
      <c r="P126" s="12" t="str">
        <f>IF(K126=0.2,"CASA","")</f>
        <v/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" customHeight="1" x14ac:dyDescent="0.2">
      <c r="A127" s="5" t="str">
        <f>IF(AND(B127="",ISNUMBER(B128)),CHOOSE(MONTH(B128),"GENNAIO","FEBBRAIO","MARZO","APRILE","MAGGIO","GIUGNO","LUGLIO","AGOSTO","SETTEMBRE","OTTOBRE","NOVEMBRE","DICEMBRE")&amp;" "&amp;YEAR(B128),"")</f>
        <v/>
      </c>
      <c r="B127" s="11"/>
      <c r="C127" s="12"/>
      <c r="D127" s="12" t="str">
        <f>IF(C127="","",C127-IF(C126&lt;&gt;"",C126,IF(C125&lt;&gt;"",C125,IF(C124&lt;&gt;"",C124,0))))</f>
        <v/>
      </c>
      <c r="E127" s="12"/>
      <c r="F127" s="12"/>
      <c r="G127" s="9" t="str">
        <f>IF(AND(E127="",F127=""),"",IF(OR(E127&gt;1,F127&gt;1),(F127-E127)/100,F127-E127))</f>
        <v/>
      </c>
      <c r="H127" s="12" t="str">
        <f>IF(G127="","",64*G127)</f>
        <v/>
      </c>
      <c r="I127" s="13"/>
      <c r="J127" s="13" t="str">
        <f>IFERROR(IF(OR(D127="",D127=0),"",I127/D127*100),"")</f>
        <v/>
      </c>
      <c r="K127" s="14"/>
      <c r="L127" s="13" t="str">
        <f>IF(I127="","",I127*K127)</f>
        <v/>
      </c>
      <c r="M127" s="13" t="str">
        <f>IF(B127="","",IFERROR(SUMPRODUCT(ISNUMBER(B$3:B127)*(MONTH(IF(ISNUMBER(B$3:B127),B$3:B127,1))=MONTH(B127))*(YEAR(IF(ISNUMBER(B$3:B127),B$3:B127,1))=YEAR(B127))*IF(ISNUMBER(L$3:L127),L$3:L127,0)),""))</f>
        <v/>
      </c>
      <c r="N127" s="6"/>
      <c r="O127" s="7" t="str">
        <f>IF(AND(B127="",ISNUMBER(B128)),CHOOSE(MONTH(B128),"GENNAIO","FEBBRAIO","MARZO","APRILE","MAGGIO","GIUGNO","LUGLIO","AGOSTO","SETTEMBRE","OTTOBRE","NOVEMBRE","DICEMBRE")&amp;" "&amp;YEAR(B128),"")</f>
        <v/>
      </c>
      <c r="P127" s="12" t="str">
        <f>IF(K127=0.2,"CASA","")</f>
        <v/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" customHeight="1" x14ac:dyDescent="0.2">
      <c r="A128" s="5" t="str">
        <f>IF(AND(B128="",ISNUMBER(B129)),CHOOSE(MONTH(B129),"GENNAIO","FEBBRAIO","MARZO","APRILE","MAGGIO","GIUGNO","LUGLIO","AGOSTO","SETTEMBRE","OTTOBRE","NOVEMBRE","DICEMBRE")&amp;" "&amp;YEAR(B129),"")</f>
        <v/>
      </c>
      <c r="B128" s="11"/>
      <c r="C128" s="12"/>
      <c r="D128" s="12" t="str">
        <f>IF(C128="","",C128-IF(C127&lt;&gt;"",C127,IF(C126&lt;&gt;"",C126,IF(C125&lt;&gt;"",C125,0))))</f>
        <v/>
      </c>
      <c r="E128" s="12"/>
      <c r="F128" s="12"/>
      <c r="G128" s="9" t="str">
        <f>IF(AND(E128="",F128=""),"",IF(OR(E128&gt;1,F128&gt;1),(F128-E128)/100,F128-E128))</f>
        <v/>
      </c>
      <c r="H128" s="12" t="str">
        <f>IF(G128="","",64*G128)</f>
        <v/>
      </c>
      <c r="I128" s="13"/>
      <c r="J128" s="13" t="str">
        <f>IFERROR(IF(OR(D128="",D128=0),"",I128/D128*100),"")</f>
        <v/>
      </c>
      <c r="K128" s="14"/>
      <c r="L128" s="13" t="str">
        <f>IF(I128="","",I128*K128)</f>
        <v/>
      </c>
      <c r="M128" s="13" t="str">
        <f>IF(B128="","",IFERROR(SUMPRODUCT(ISNUMBER(B$3:B128)*(MONTH(IF(ISNUMBER(B$3:B128),B$3:B128,1))=MONTH(B128))*(YEAR(IF(ISNUMBER(B$3:B128),B$3:B128,1))=YEAR(B128))*IF(ISNUMBER(L$3:L128),L$3:L128,0)),""))</f>
        <v/>
      </c>
      <c r="N128" s="6"/>
      <c r="O128" s="7" t="str">
        <f>IF(AND(B128="",ISNUMBER(B129)),CHOOSE(MONTH(B129),"GENNAIO","FEBBRAIO","MARZO","APRILE","MAGGIO","GIUGNO","LUGLIO","AGOSTO","SETTEMBRE","OTTOBRE","NOVEMBRE","DICEMBRE")&amp;" "&amp;YEAR(B129),"")</f>
        <v/>
      </c>
      <c r="P128" s="12" t="str">
        <f>IF(K128=0.2,"CASA","")</f>
        <v/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" customHeight="1" x14ac:dyDescent="0.2">
      <c r="A129" s="5" t="str">
        <f>IF(AND(B129="",ISNUMBER(B130)),CHOOSE(MONTH(B130),"GENNAIO","FEBBRAIO","MARZO","APRILE","MAGGIO","GIUGNO","LUGLIO","AGOSTO","SETTEMBRE","OTTOBRE","NOVEMBRE","DICEMBRE")&amp;" "&amp;YEAR(B130),"")</f>
        <v/>
      </c>
      <c r="B129" s="11"/>
      <c r="C129" s="12"/>
      <c r="D129" s="12" t="str">
        <f>IF(C129="","",C129-IF(C128&lt;&gt;"",C128,IF(C127&lt;&gt;"",C127,IF(C126&lt;&gt;"",C126,0))))</f>
        <v/>
      </c>
      <c r="E129" s="12"/>
      <c r="F129" s="12"/>
      <c r="G129" s="9" t="str">
        <f>IF(AND(E129="",F129=""),"",IF(OR(E129&gt;1,F129&gt;1),(F129-E129)/100,F129-E129))</f>
        <v/>
      </c>
      <c r="H129" s="12" t="str">
        <f>IF(G129="","",64*G129)</f>
        <v/>
      </c>
      <c r="I129" s="13"/>
      <c r="J129" s="13" t="str">
        <f>IFERROR(IF(OR(D129="",D129=0),"",I129/D129*100),"")</f>
        <v/>
      </c>
      <c r="K129" s="14"/>
      <c r="L129" s="13" t="str">
        <f>IF(I129="","",I129*K129)</f>
        <v/>
      </c>
      <c r="M129" s="13" t="str">
        <f>IF(B129="","",IFERROR(SUMPRODUCT(ISNUMBER(B$3:B129)*(MONTH(IF(ISNUMBER(B$3:B129),B$3:B129,1))=MONTH(B129))*(YEAR(IF(ISNUMBER(B$3:B129),B$3:B129,1))=YEAR(B129))*IF(ISNUMBER(L$3:L129),L$3:L129,0)),""))</f>
        <v/>
      </c>
      <c r="N129" s="6"/>
      <c r="O129" s="7" t="str">
        <f>IF(AND(B129="",ISNUMBER(B130)),CHOOSE(MONTH(B130),"GENNAIO","FEBBRAIO","MARZO","APRILE","MAGGIO","GIUGNO","LUGLIO","AGOSTO","SETTEMBRE","OTTOBRE","NOVEMBRE","DICEMBRE")&amp;" "&amp;YEAR(B130),"")</f>
        <v/>
      </c>
      <c r="P129" s="12" t="str">
        <f>IF(K129=0.2,"CASA","")</f>
        <v/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" customHeight="1" x14ac:dyDescent="0.2">
      <c r="A130" s="5" t="str">
        <f>IF(AND(B130="",ISNUMBER(B131)),CHOOSE(MONTH(B131),"GENNAIO","FEBBRAIO","MARZO","APRILE","MAGGIO","GIUGNO","LUGLIO","AGOSTO","SETTEMBRE","OTTOBRE","NOVEMBRE","DICEMBRE")&amp;" "&amp;YEAR(B131),"")</f>
        <v/>
      </c>
      <c r="B130" s="11"/>
      <c r="C130" s="12"/>
      <c r="D130" s="12" t="str">
        <f>IF(C130="","",C130-IF(C129&lt;&gt;"",C129,IF(C128&lt;&gt;"",C128,IF(C127&lt;&gt;"",C127,0))))</f>
        <v/>
      </c>
      <c r="E130" s="12"/>
      <c r="F130" s="12"/>
      <c r="G130" s="9" t="str">
        <f>IF(AND(E130="",F130=""),"",IF(OR(E130&gt;1,F130&gt;1),(F130-E130)/100,F130-E130))</f>
        <v/>
      </c>
      <c r="H130" s="12" t="str">
        <f>IF(G130="","",64*G130)</f>
        <v/>
      </c>
      <c r="I130" s="13"/>
      <c r="J130" s="13" t="str">
        <f>IFERROR(IF(OR(D130="",D130=0),"",I130/D130*100),"")</f>
        <v/>
      </c>
      <c r="K130" s="14"/>
      <c r="L130" s="13" t="str">
        <f>IF(I130="","",I130*K130)</f>
        <v/>
      </c>
      <c r="M130" s="13" t="str">
        <f>IF(B130="","",IFERROR(SUMPRODUCT(ISNUMBER(B$3:B130)*(MONTH(IF(ISNUMBER(B$3:B130),B$3:B130,1))=MONTH(B130))*(YEAR(IF(ISNUMBER(B$3:B130),B$3:B130,1))=YEAR(B130))*IF(ISNUMBER(L$3:L130),L$3:L130,0)),""))</f>
        <v/>
      </c>
      <c r="N130" s="6"/>
      <c r="O130" s="7" t="str">
        <f>IF(AND(B130="",ISNUMBER(B131)),CHOOSE(MONTH(B131),"GENNAIO","FEBBRAIO","MARZO","APRILE","MAGGIO","GIUGNO","LUGLIO","AGOSTO","SETTEMBRE","OTTOBRE","NOVEMBRE","DICEMBRE")&amp;" "&amp;YEAR(B131),"")</f>
        <v/>
      </c>
      <c r="P130" s="12" t="str">
        <f>IF(K130=0.2,"CASA","")</f>
        <v/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" customHeight="1" x14ac:dyDescent="0.2">
      <c r="A131" s="5" t="str">
        <f>IF(AND(B131="",ISNUMBER(B132)),CHOOSE(MONTH(B132),"GENNAIO","FEBBRAIO","MARZO","APRILE","MAGGIO","GIUGNO","LUGLIO","AGOSTO","SETTEMBRE","OTTOBRE","NOVEMBRE","DICEMBRE")&amp;" "&amp;YEAR(B132),"")</f>
        <v/>
      </c>
      <c r="B131" s="11"/>
      <c r="C131" s="12"/>
      <c r="D131" s="12" t="str">
        <f>IF(C131="","",C131-IF(C130&lt;&gt;"",C130,IF(C129&lt;&gt;"",C129,IF(C128&lt;&gt;"",C128,0))))</f>
        <v/>
      </c>
      <c r="E131" s="12"/>
      <c r="F131" s="12"/>
      <c r="G131" s="9" t="str">
        <f>IF(AND(E131="",F131=""),"",IF(OR(E131&gt;1,F131&gt;1),(F131-E131)/100,F131-E131))</f>
        <v/>
      </c>
      <c r="H131" s="12" t="str">
        <f>IF(G131="","",64*G131)</f>
        <v/>
      </c>
      <c r="I131" s="13"/>
      <c r="J131" s="13" t="str">
        <f>IFERROR(IF(OR(D131="",D131=0),"",I131/D131*100),"")</f>
        <v/>
      </c>
      <c r="K131" s="14"/>
      <c r="L131" s="13" t="str">
        <f>IF(I131="","",I131*K131)</f>
        <v/>
      </c>
      <c r="M131" s="13" t="str">
        <f>IF(B131="","",IFERROR(SUMPRODUCT(ISNUMBER(B$3:B131)*(MONTH(IF(ISNUMBER(B$3:B131),B$3:B131,1))=MONTH(B131))*(YEAR(IF(ISNUMBER(B$3:B131),B$3:B131,1))=YEAR(B131))*IF(ISNUMBER(L$3:L131),L$3:L131,0)),""))</f>
        <v/>
      </c>
      <c r="N131" s="6"/>
      <c r="O131" s="7" t="str">
        <f>IF(AND(B131="",ISNUMBER(B132)),CHOOSE(MONTH(B132),"GENNAIO","FEBBRAIO","MARZO","APRILE","MAGGIO","GIUGNO","LUGLIO","AGOSTO","SETTEMBRE","OTTOBRE","NOVEMBRE","DICEMBRE")&amp;" "&amp;YEAR(B132),"")</f>
        <v/>
      </c>
      <c r="P131" s="12" t="str">
        <f>IF(K131=0.2,"CASA","")</f>
        <v/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" customHeight="1" x14ac:dyDescent="0.2">
      <c r="A132" s="5" t="str">
        <f>IF(AND(B132="",ISNUMBER(B133)),CHOOSE(MONTH(B133),"GENNAIO","FEBBRAIO","MARZO","APRILE","MAGGIO","GIUGNO","LUGLIO","AGOSTO","SETTEMBRE","OTTOBRE","NOVEMBRE","DICEMBRE")&amp;" "&amp;YEAR(B133),"")</f>
        <v/>
      </c>
      <c r="B132" s="11"/>
      <c r="C132" s="12"/>
      <c r="D132" s="12" t="str">
        <f>IF(C132="","",C132-IF(C131&lt;&gt;"",C131,IF(C130&lt;&gt;"",C130,IF(C129&lt;&gt;"",C129,0))))</f>
        <v/>
      </c>
      <c r="E132" s="12"/>
      <c r="F132" s="12"/>
      <c r="G132" s="9" t="str">
        <f>IF(AND(E132="",F132=""),"",IF(OR(E132&gt;1,F132&gt;1),(F132-E132)/100,F132-E132))</f>
        <v/>
      </c>
      <c r="H132" s="12" t="str">
        <f>IF(G132="","",64*G132)</f>
        <v/>
      </c>
      <c r="I132" s="13"/>
      <c r="J132" s="13" t="str">
        <f>IFERROR(IF(OR(D132="",D132=0),"",I132/D132*100),"")</f>
        <v/>
      </c>
      <c r="K132" s="14"/>
      <c r="L132" s="13" t="str">
        <f>IF(I132="","",I132*K132)</f>
        <v/>
      </c>
      <c r="M132" s="13" t="str">
        <f>IF(B132="","",IFERROR(SUMPRODUCT(ISNUMBER(B$3:B132)*(MONTH(IF(ISNUMBER(B$3:B132),B$3:B132,1))=MONTH(B132))*(YEAR(IF(ISNUMBER(B$3:B132),B$3:B132,1))=YEAR(B132))*IF(ISNUMBER(L$3:L132),L$3:L132,0)),""))</f>
        <v/>
      </c>
      <c r="N132" s="6"/>
      <c r="O132" s="7" t="str">
        <f>IF(AND(B132="",ISNUMBER(B133)),CHOOSE(MONTH(B133),"GENNAIO","FEBBRAIO","MARZO","APRILE","MAGGIO","GIUGNO","LUGLIO","AGOSTO","SETTEMBRE","OTTOBRE","NOVEMBRE","DICEMBRE")&amp;" "&amp;YEAR(B133),"")</f>
        <v/>
      </c>
      <c r="P132" s="12" t="str">
        <f>IF(K132=0.2,"CASA","")</f>
        <v/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" customHeight="1" x14ac:dyDescent="0.2">
      <c r="A133" s="5" t="str">
        <f>IF(AND(B133="",ISNUMBER(B134)),CHOOSE(MONTH(B134),"GENNAIO","FEBBRAIO","MARZO","APRILE","MAGGIO","GIUGNO","LUGLIO","AGOSTO","SETTEMBRE","OTTOBRE","NOVEMBRE","DICEMBRE")&amp;" "&amp;YEAR(B134),"")</f>
        <v/>
      </c>
      <c r="B133" s="11"/>
      <c r="C133" s="12"/>
      <c r="D133" s="12" t="str">
        <f>IF(C133="","",C133-IF(C132&lt;&gt;"",C132,IF(C131&lt;&gt;"",C131,IF(C130&lt;&gt;"",C130,0))))</f>
        <v/>
      </c>
      <c r="E133" s="12"/>
      <c r="F133" s="12"/>
      <c r="G133" s="9" t="str">
        <f>IF(AND(E133="",F133=""),"",IF(OR(E133&gt;1,F133&gt;1),(F133-E133)/100,F133-E133))</f>
        <v/>
      </c>
      <c r="H133" s="12" t="str">
        <f>IF(G133="","",64*G133)</f>
        <v/>
      </c>
      <c r="I133" s="13"/>
      <c r="J133" s="13" t="str">
        <f>IFERROR(IF(OR(D133="",D133=0),"",I133/D133*100),"")</f>
        <v/>
      </c>
      <c r="K133" s="14"/>
      <c r="L133" s="13" t="str">
        <f>IF(I133="","",I133*K133)</f>
        <v/>
      </c>
      <c r="M133" s="13" t="str">
        <f>IF(B133="","",IFERROR(SUMPRODUCT(ISNUMBER(B$3:B133)*(MONTH(IF(ISNUMBER(B$3:B133),B$3:B133,1))=MONTH(B133))*(YEAR(IF(ISNUMBER(B$3:B133),B$3:B133,1))=YEAR(B133))*IF(ISNUMBER(L$3:L133),L$3:L133,0)),""))</f>
        <v/>
      </c>
      <c r="N133" s="6"/>
      <c r="O133" s="7" t="str">
        <f>IF(AND(B133="",ISNUMBER(B134)),CHOOSE(MONTH(B134),"GENNAIO","FEBBRAIO","MARZO","APRILE","MAGGIO","GIUGNO","LUGLIO","AGOSTO","SETTEMBRE","OTTOBRE","NOVEMBRE","DICEMBRE")&amp;" "&amp;YEAR(B134),"")</f>
        <v/>
      </c>
      <c r="P133" s="12" t="str">
        <f>IF(K133=0.2,"CASA","")</f>
        <v/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" customHeight="1" x14ac:dyDescent="0.2">
      <c r="A134" s="5" t="str">
        <f>IF(AND(B134="",ISNUMBER(B135)),CHOOSE(MONTH(B135),"GENNAIO","FEBBRAIO","MARZO","APRILE","MAGGIO","GIUGNO","LUGLIO","AGOSTO","SETTEMBRE","OTTOBRE","NOVEMBRE","DICEMBRE")&amp;" "&amp;YEAR(B135),"")</f>
        <v/>
      </c>
      <c r="B134" s="11"/>
      <c r="C134" s="12"/>
      <c r="D134" s="12" t="str">
        <f>IF(C134="","",C134-IF(C133&lt;&gt;"",C133,IF(C132&lt;&gt;"",C132,IF(C131&lt;&gt;"",C131,0))))</f>
        <v/>
      </c>
      <c r="E134" s="12"/>
      <c r="F134" s="12"/>
      <c r="G134" s="9" t="str">
        <f>IF(AND(E134="",F134=""),"",IF(OR(E134&gt;1,F134&gt;1),(F134-E134)/100,F134-E134))</f>
        <v/>
      </c>
      <c r="H134" s="12" t="str">
        <f>IF(G134="","",64*G134)</f>
        <v/>
      </c>
      <c r="I134" s="13"/>
      <c r="J134" s="13" t="str">
        <f>IFERROR(IF(OR(D134="",D134=0),"",I134/D134*100),"")</f>
        <v/>
      </c>
      <c r="K134" s="14"/>
      <c r="L134" s="13" t="str">
        <f>IF(I134="","",I134*K134)</f>
        <v/>
      </c>
      <c r="M134" s="13" t="str">
        <f>IF(B134="","",IFERROR(SUMPRODUCT(ISNUMBER(B$3:B134)*(MONTH(IF(ISNUMBER(B$3:B134),B$3:B134,1))=MONTH(B134))*(YEAR(IF(ISNUMBER(B$3:B134),B$3:B134,1))=YEAR(B134))*IF(ISNUMBER(L$3:L134),L$3:L134,0)),""))</f>
        <v/>
      </c>
      <c r="N134" s="6"/>
      <c r="O134" s="7" t="str">
        <f>IF(AND(B134="",ISNUMBER(B135)),CHOOSE(MONTH(B135),"GENNAIO","FEBBRAIO","MARZO","APRILE","MAGGIO","GIUGNO","LUGLIO","AGOSTO","SETTEMBRE","OTTOBRE","NOVEMBRE","DICEMBRE")&amp;" "&amp;YEAR(B135),"")</f>
        <v/>
      </c>
      <c r="P134" s="12" t="str">
        <f>IF(K134=0.2,"CASA","")</f>
        <v/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" customHeight="1" x14ac:dyDescent="0.2">
      <c r="A135" s="5" t="str">
        <f>IF(AND(B135="",ISNUMBER(B136)),CHOOSE(MONTH(B136),"GENNAIO","FEBBRAIO","MARZO","APRILE","MAGGIO","GIUGNO","LUGLIO","AGOSTO","SETTEMBRE","OTTOBRE","NOVEMBRE","DICEMBRE")&amp;" "&amp;YEAR(B136),"")</f>
        <v/>
      </c>
      <c r="B135" s="11"/>
      <c r="C135" s="12"/>
      <c r="D135" s="12" t="str">
        <f>IF(C135="","",C135-IF(C134&lt;&gt;"",C134,IF(C133&lt;&gt;"",C133,IF(C132&lt;&gt;"",C132,0))))</f>
        <v/>
      </c>
      <c r="E135" s="12"/>
      <c r="F135" s="12"/>
      <c r="G135" s="9" t="str">
        <f>IF(AND(E135="",F135=""),"",IF(OR(E135&gt;1,F135&gt;1),(F135-E135)/100,F135-E135))</f>
        <v/>
      </c>
      <c r="H135" s="12" t="str">
        <f>IF(G135="","",64*G135)</f>
        <v/>
      </c>
      <c r="I135" s="13"/>
      <c r="J135" s="13" t="str">
        <f>IFERROR(IF(OR(D135="",D135=0),"",I135/D135*100),"")</f>
        <v/>
      </c>
      <c r="K135" s="14"/>
      <c r="L135" s="13" t="str">
        <f>IF(I135="","",I135*K135)</f>
        <v/>
      </c>
      <c r="M135" s="13" t="str">
        <f>IF(B135="","",IFERROR(SUMPRODUCT(ISNUMBER(B$3:B135)*(MONTH(IF(ISNUMBER(B$3:B135),B$3:B135,1))=MONTH(B135))*(YEAR(IF(ISNUMBER(B$3:B135),B$3:B135,1))=YEAR(B135))*IF(ISNUMBER(L$3:L135),L$3:L135,0)),""))</f>
        <v/>
      </c>
      <c r="N135" s="6"/>
      <c r="O135" s="7" t="str">
        <f>IF(AND(B135="",ISNUMBER(B136)),CHOOSE(MONTH(B136),"GENNAIO","FEBBRAIO","MARZO","APRILE","MAGGIO","GIUGNO","LUGLIO","AGOSTO","SETTEMBRE","OTTOBRE","NOVEMBRE","DICEMBRE")&amp;" "&amp;YEAR(B136),"")</f>
        <v/>
      </c>
      <c r="P135" s="12" t="str">
        <f>IF(K135=0.2,"CASA","")</f>
        <v/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" customHeight="1" x14ac:dyDescent="0.2">
      <c r="A136" s="5" t="str">
        <f>IF(AND(B136="",ISNUMBER(B137)),CHOOSE(MONTH(B137),"GENNAIO","FEBBRAIO","MARZO","APRILE","MAGGIO","GIUGNO","LUGLIO","AGOSTO","SETTEMBRE","OTTOBRE","NOVEMBRE","DICEMBRE")&amp;" "&amp;YEAR(B137),"")</f>
        <v/>
      </c>
      <c r="B136" s="11"/>
      <c r="C136" s="12"/>
      <c r="D136" s="12" t="str">
        <f>IF(C136="","",C136-IF(C135&lt;&gt;"",C135,IF(C134&lt;&gt;"",C134,IF(C133&lt;&gt;"",C133,0))))</f>
        <v/>
      </c>
      <c r="E136" s="12"/>
      <c r="F136" s="12"/>
      <c r="G136" s="9" t="str">
        <f>IF(AND(E136="",F136=""),"",IF(OR(E136&gt;1,F136&gt;1),(F136-E136)/100,F136-E136))</f>
        <v/>
      </c>
      <c r="H136" s="12" t="str">
        <f>IF(G136="","",64*G136)</f>
        <v/>
      </c>
      <c r="I136" s="13"/>
      <c r="J136" s="13" t="str">
        <f>IFERROR(IF(OR(D136="",D136=0),"",I136/D136*100),"")</f>
        <v/>
      </c>
      <c r="K136" s="14"/>
      <c r="L136" s="13" t="str">
        <f>IF(I136="","",I136*K136)</f>
        <v/>
      </c>
      <c r="M136" s="13" t="str">
        <f>IF(B136="","",IFERROR(SUMPRODUCT(ISNUMBER(B$3:B136)*(MONTH(IF(ISNUMBER(B$3:B136),B$3:B136,1))=MONTH(B136))*(YEAR(IF(ISNUMBER(B$3:B136),B$3:B136,1))=YEAR(B136))*IF(ISNUMBER(L$3:L136),L$3:L136,0)),""))</f>
        <v/>
      </c>
      <c r="N136" s="6"/>
      <c r="O136" s="7" t="str">
        <f>IF(AND(B136="",ISNUMBER(B137)),CHOOSE(MONTH(B137),"GENNAIO","FEBBRAIO","MARZO","APRILE","MAGGIO","GIUGNO","LUGLIO","AGOSTO","SETTEMBRE","OTTOBRE","NOVEMBRE","DICEMBRE")&amp;" "&amp;YEAR(B137),"")</f>
        <v/>
      </c>
      <c r="P136" s="12" t="str">
        <f>IF(K136=0.2,"CASA","")</f>
        <v/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" customHeight="1" x14ac:dyDescent="0.2">
      <c r="A137" s="5" t="str">
        <f>IF(AND(B137="",ISNUMBER(B138)),CHOOSE(MONTH(B138),"GENNAIO","FEBBRAIO","MARZO","APRILE","MAGGIO","GIUGNO","LUGLIO","AGOSTO","SETTEMBRE","OTTOBRE","NOVEMBRE","DICEMBRE")&amp;" "&amp;YEAR(B138),"")</f>
        <v/>
      </c>
      <c r="B137" s="11"/>
      <c r="C137" s="12"/>
      <c r="D137" s="12" t="str">
        <f>IF(C137="","",C137-IF(C136&lt;&gt;"",C136,IF(C135&lt;&gt;"",C135,IF(C134&lt;&gt;"",C134,0))))</f>
        <v/>
      </c>
      <c r="E137" s="12"/>
      <c r="F137" s="12"/>
      <c r="G137" s="9" t="str">
        <f>IF(AND(E137="",F137=""),"",IF(OR(E137&gt;1,F137&gt;1),(F137-E137)/100,F137-E137))</f>
        <v/>
      </c>
      <c r="H137" s="12" t="str">
        <f>IF(G137="","",64*G137)</f>
        <v/>
      </c>
      <c r="I137" s="13"/>
      <c r="J137" s="13" t="str">
        <f>IFERROR(IF(OR(D137="",D137=0),"",I137/D137*100),"")</f>
        <v/>
      </c>
      <c r="K137" s="14"/>
      <c r="L137" s="13" t="str">
        <f>IF(I137="","",I137*K137)</f>
        <v/>
      </c>
      <c r="M137" s="13" t="str">
        <f>IF(B137="","",IFERROR(SUMPRODUCT(ISNUMBER(B$3:B137)*(MONTH(IF(ISNUMBER(B$3:B137),B$3:B137,1))=MONTH(B137))*(YEAR(IF(ISNUMBER(B$3:B137),B$3:B137,1))=YEAR(B137))*IF(ISNUMBER(L$3:L137),L$3:L137,0)),""))</f>
        <v/>
      </c>
      <c r="N137" s="6"/>
      <c r="O137" s="7" t="str">
        <f>IF(AND(B137="",ISNUMBER(B138)),CHOOSE(MONTH(B138),"GENNAIO","FEBBRAIO","MARZO","APRILE","MAGGIO","GIUGNO","LUGLIO","AGOSTO","SETTEMBRE","OTTOBRE","NOVEMBRE","DICEMBRE")&amp;" "&amp;YEAR(B138),"")</f>
        <v/>
      </c>
      <c r="P137" s="12" t="str">
        <f>IF(K137=0.2,"CASA","")</f>
        <v/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" customHeight="1" x14ac:dyDescent="0.2">
      <c r="A138" s="5" t="str">
        <f>IF(AND(B138="",ISNUMBER(B139)),CHOOSE(MONTH(B139),"GENNAIO","FEBBRAIO","MARZO","APRILE","MAGGIO","GIUGNO","LUGLIO","AGOSTO","SETTEMBRE","OTTOBRE","NOVEMBRE","DICEMBRE")&amp;" "&amp;YEAR(B139),"")</f>
        <v/>
      </c>
      <c r="B138" s="11"/>
      <c r="C138" s="12"/>
      <c r="D138" s="12" t="str">
        <f>IF(C138="","",C138-IF(C137&lt;&gt;"",C137,IF(C136&lt;&gt;"",C136,IF(C135&lt;&gt;"",C135,0))))</f>
        <v/>
      </c>
      <c r="E138" s="12"/>
      <c r="F138" s="12"/>
      <c r="G138" s="9" t="str">
        <f>IF(AND(E138="",F138=""),"",IF(OR(E138&gt;1,F138&gt;1),(F138-E138)/100,F138-E138))</f>
        <v/>
      </c>
      <c r="H138" s="12" t="str">
        <f>IF(G138="","",64*G138)</f>
        <v/>
      </c>
      <c r="I138" s="13"/>
      <c r="J138" s="13" t="str">
        <f>IFERROR(IF(OR(D138="",D138=0),"",I138/D138*100),"")</f>
        <v/>
      </c>
      <c r="K138" s="14"/>
      <c r="L138" s="13" t="str">
        <f>IF(I138="","",I138*K138)</f>
        <v/>
      </c>
      <c r="M138" s="13" t="str">
        <f>IF(B138="","",IFERROR(SUMPRODUCT(ISNUMBER(B$3:B138)*(MONTH(IF(ISNUMBER(B$3:B138),B$3:B138,1))=MONTH(B138))*(YEAR(IF(ISNUMBER(B$3:B138),B$3:B138,1))=YEAR(B138))*IF(ISNUMBER(L$3:L138),L$3:L138,0)),""))</f>
        <v/>
      </c>
      <c r="N138" s="6"/>
      <c r="O138" s="7" t="str">
        <f>IF(AND(B138="",ISNUMBER(B139)),CHOOSE(MONTH(B139),"GENNAIO","FEBBRAIO","MARZO","APRILE","MAGGIO","GIUGNO","LUGLIO","AGOSTO","SETTEMBRE","OTTOBRE","NOVEMBRE","DICEMBRE")&amp;" "&amp;YEAR(B139),"")</f>
        <v/>
      </c>
      <c r="P138" s="12" t="str">
        <f>IF(K138=0.2,"CASA","")</f>
        <v/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" customHeight="1" x14ac:dyDescent="0.2">
      <c r="A139" s="5" t="str">
        <f>IF(AND(B139="",ISNUMBER(B140)),CHOOSE(MONTH(B140),"GENNAIO","FEBBRAIO","MARZO","APRILE","MAGGIO","GIUGNO","LUGLIO","AGOSTO","SETTEMBRE","OTTOBRE","NOVEMBRE","DICEMBRE")&amp;" "&amp;YEAR(B140),"")</f>
        <v/>
      </c>
      <c r="B139" s="11"/>
      <c r="C139" s="12"/>
      <c r="D139" s="12" t="str">
        <f>IF(C139="","",C139-IF(C138&lt;&gt;"",C138,IF(C137&lt;&gt;"",C137,IF(C136&lt;&gt;"",C136,0))))</f>
        <v/>
      </c>
      <c r="E139" s="12"/>
      <c r="F139" s="12"/>
      <c r="G139" s="9" t="str">
        <f>IF(AND(E139="",F139=""),"",IF(OR(E139&gt;1,F139&gt;1),(F139-E139)/100,F139-E139))</f>
        <v/>
      </c>
      <c r="H139" s="12" t="str">
        <f>IF(G139="","",64*G139)</f>
        <v/>
      </c>
      <c r="I139" s="13"/>
      <c r="J139" s="13" t="str">
        <f>IFERROR(IF(OR(D139="",D139=0),"",I139/D139*100),"")</f>
        <v/>
      </c>
      <c r="K139" s="14"/>
      <c r="L139" s="13" t="str">
        <f>IF(I139="","",I139*K139)</f>
        <v/>
      </c>
      <c r="M139" s="13" t="str">
        <f>IF(B139="","",IFERROR(SUMPRODUCT(ISNUMBER(B$3:B139)*(MONTH(IF(ISNUMBER(B$3:B139),B$3:B139,1))=MONTH(B139))*(YEAR(IF(ISNUMBER(B$3:B139),B$3:B139,1))=YEAR(B139))*IF(ISNUMBER(L$3:L139),L$3:L139,0)),""))</f>
        <v/>
      </c>
      <c r="N139" s="6"/>
      <c r="O139" s="7" t="str">
        <f>IF(AND(B139="",ISNUMBER(B140)),CHOOSE(MONTH(B140),"GENNAIO","FEBBRAIO","MARZO","APRILE","MAGGIO","GIUGNO","LUGLIO","AGOSTO","SETTEMBRE","OTTOBRE","NOVEMBRE","DICEMBRE")&amp;" "&amp;YEAR(B140),"")</f>
        <v/>
      </c>
      <c r="P139" s="12" t="str">
        <f>IF(K139=0.2,"CASA","")</f>
        <v/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" customHeight="1" x14ac:dyDescent="0.2">
      <c r="A140" s="5" t="str">
        <f>IF(AND(B140="",ISNUMBER(B141)),CHOOSE(MONTH(B141),"GENNAIO","FEBBRAIO","MARZO","APRILE","MAGGIO","GIUGNO","LUGLIO","AGOSTO","SETTEMBRE","OTTOBRE","NOVEMBRE","DICEMBRE")&amp;" "&amp;YEAR(B141),"")</f>
        <v/>
      </c>
      <c r="B140" s="11"/>
      <c r="C140" s="12"/>
      <c r="D140" s="12" t="str">
        <f>IF(C140="","",C140-IF(C139&lt;&gt;"",C139,IF(C138&lt;&gt;"",C138,IF(C137&lt;&gt;"",C137,0))))</f>
        <v/>
      </c>
      <c r="E140" s="12"/>
      <c r="F140" s="12"/>
      <c r="G140" s="9" t="str">
        <f>IF(AND(E140="",F140=""),"",IF(OR(E140&gt;1,F140&gt;1),(F140-E140)/100,F140-E140))</f>
        <v/>
      </c>
      <c r="H140" s="12" t="str">
        <f>IF(G140="","",64*G140)</f>
        <v/>
      </c>
      <c r="I140" s="13"/>
      <c r="J140" s="13" t="str">
        <f>IFERROR(IF(OR(D140="",D140=0),"",I140/D140*100),"")</f>
        <v/>
      </c>
      <c r="K140" s="14"/>
      <c r="L140" s="13" t="str">
        <f>IF(I140="","",I140*K140)</f>
        <v/>
      </c>
      <c r="M140" s="13" t="str">
        <f>IF(B140="","",IFERROR(SUMPRODUCT(ISNUMBER(B$3:B140)*(MONTH(IF(ISNUMBER(B$3:B140),B$3:B140,1))=MONTH(B140))*(YEAR(IF(ISNUMBER(B$3:B140),B$3:B140,1))=YEAR(B140))*IF(ISNUMBER(L$3:L140),L$3:L140,0)),""))</f>
        <v/>
      </c>
      <c r="N140" s="6"/>
      <c r="O140" s="7" t="str">
        <f>IF(AND(B140="",ISNUMBER(B141)),CHOOSE(MONTH(B141),"GENNAIO","FEBBRAIO","MARZO","APRILE","MAGGIO","GIUGNO","LUGLIO","AGOSTO","SETTEMBRE","OTTOBRE","NOVEMBRE","DICEMBRE")&amp;" "&amp;YEAR(B141),"")</f>
        <v/>
      </c>
      <c r="P140" s="12" t="str">
        <f>IF(K140=0.2,"CASA","")</f>
        <v/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" customHeight="1" x14ac:dyDescent="0.2">
      <c r="A141" s="5" t="str">
        <f>IF(AND(B141="",ISNUMBER(B142)),CHOOSE(MONTH(B142),"GENNAIO","FEBBRAIO","MARZO","APRILE","MAGGIO","GIUGNO","LUGLIO","AGOSTO","SETTEMBRE","OTTOBRE","NOVEMBRE","DICEMBRE")&amp;" "&amp;YEAR(B142),"")</f>
        <v/>
      </c>
      <c r="B141" s="11"/>
      <c r="C141" s="12"/>
      <c r="D141" s="12" t="str">
        <f>IF(C141="","",C141-IF(C140&lt;&gt;"",C140,IF(C139&lt;&gt;"",C139,IF(C138&lt;&gt;"",C138,0))))</f>
        <v/>
      </c>
      <c r="E141" s="12"/>
      <c r="F141" s="12"/>
      <c r="G141" s="9" t="str">
        <f>IF(AND(E141="",F141=""),"",IF(OR(E141&gt;1,F141&gt;1),(F141-E141)/100,F141-E141))</f>
        <v/>
      </c>
      <c r="H141" s="12" t="str">
        <f>IF(G141="","",64*G141)</f>
        <v/>
      </c>
      <c r="I141" s="13"/>
      <c r="J141" s="13" t="str">
        <f>IFERROR(IF(OR(D141="",D141=0),"",I141/D141*100),"")</f>
        <v/>
      </c>
      <c r="K141" s="14"/>
      <c r="L141" s="13" t="str">
        <f>IF(I141="","",I141*K141)</f>
        <v/>
      </c>
      <c r="M141" s="13" t="str">
        <f>IF(B141="","",IFERROR(SUMPRODUCT(ISNUMBER(B$3:B141)*(MONTH(IF(ISNUMBER(B$3:B141),B$3:B141,1))=MONTH(B141))*(YEAR(IF(ISNUMBER(B$3:B141),B$3:B141,1))=YEAR(B141))*IF(ISNUMBER(L$3:L141),L$3:L141,0)),""))</f>
        <v/>
      </c>
      <c r="N141" s="6"/>
      <c r="O141" s="7" t="str">
        <f>IF(AND(B141="",ISNUMBER(B142)),CHOOSE(MONTH(B142),"GENNAIO","FEBBRAIO","MARZO","APRILE","MAGGIO","GIUGNO","LUGLIO","AGOSTO","SETTEMBRE","OTTOBRE","NOVEMBRE","DICEMBRE")&amp;" "&amp;YEAR(B142),"")</f>
        <v/>
      </c>
      <c r="P141" s="12" t="str">
        <f>IF(K141=0.2,"CASA","")</f>
        <v/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" customHeight="1" x14ac:dyDescent="0.2">
      <c r="A142" s="5" t="str">
        <f>IF(AND(B142="",ISNUMBER(B143)),CHOOSE(MONTH(B143),"GENNAIO","FEBBRAIO","MARZO","APRILE","MAGGIO","GIUGNO","LUGLIO","AGOSTO","SETTEMBRE","OTTOBRE","NOVEMBRE","DICEMBRE")&amp;" "&amp;YEAR(B143),"")</f>
        <v/>
      </c>
      <c r="B142" s="11"/>
      <c r="C142" s="12"/>
      <c r="D142" s="12" t="str">
        <f>IF(C142="","",C142-IF(C141&lt;&gt;"",C141,IF(C140&lt;&gt;"",C140,IF(C139&lt;&gt;"",C139,0))))</f>
        <v/>
      </c>
      <c r="E142" s="12"/>
      <c r="F142" s="12"/>
      <c r="G142" s="9" t="str">
        <f>IF(AND(E142="",F142=""),"",IF(OR(E142&gt;1,F142&gt;1),(F142-E142)/100,F142-E142))</f>
        <v/>
      </c>
      <c r="H142" s="12" t="str">
        <f>IF(G142="","",64*G142)</f>
        <v/>
      </c>
      <c r="I142" s="13"/>
      <c r="J142" s="13" t="str">
        <f>IFERROR(IF(OR(D142="",D142=0),"",I142/D142*100),"")</f>
        <v/>
      </c>
      <c r="K142" s="14"/>
      <c r="L142" s="13" t="str">
        <f>IF(I142="","",I142*K142)</f>
        <v/>
      </c>
      <c r="M142" s="13" t="str">
        <f>IF(B142="","",IFERROR(SUMPRODUCT(ISNUMBER(B$3:B142)*(MONTH(IF(ISNUMBER(B$3:B142),B$3:B142,1))=MONTH(B142))*(YEAR(IF(ISNUMBER(B$3:B142),B$3:B142,1))=YEAR(B142))*IF(ISNUMBER(L$3:L142),L$3:L142,0)),""))</f>
        <v/>
      </c>
      <c r="N142" s="6"/>
      <c r="O142" s="7" t="str">
        <f>IF(AND(B142="",ISNUMBER(B143)),CHOOSE(MONTH(B143),"GENNAIO","FEBBRAIO","MARZO","APRILE","MAGGIO","GIUGNO","LUGLIO","AGOSTO","SETTEMBRE","OTTOBRE","NOVEMBRE","DICEMBRE")&amp;" "&amp;YEAR(B143),"")</f>
        <v/>
      </c>
      <c r="P142" s="12" t="str">
        <f>IF(K142=0.2,"CASA","")</f>
        <v/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" customHeight="1" x14ac:dyDescent="0.2">
      <c r="A143" s="5" t="str">
        <f>IF(AND(B143="",ISNUMBER(B144)),CHOOSE(MONTH(B144),"GENNAIO","FEBBRAIO","MARZO","APRILE","MAGGIO","GIUGNO","LUGLIO","AGOSTO","SETTEMBRE","OTTOBRE","NOVEMBRE","DICEMBRE")&amp;" "&amp;YEAR(B144),"")</f>
        <v/>
      </c>
      <c r="B143" s="11"/>
      <c r="C143" s="12"/>
      <c r="D143" s="12" t="str">
        <f>IF(C143="","",C143-IF(C142&lt;&gt;"",C142,IF(C141&lt;&gt;"",C141,IF(C140&lt;&gt;"",C140,0))))</f>
        <v/>
      </c>
      <c r="E143" s="12"/>
      <c r="F143" s="12"/>
      <c r="G143" s="9" t="str">
        <f>IF(AND(E143="",F143=""),"",IF(OR(E143&gt;1,F143&gt;1),(F143-E143)/100,F143-E143))</f>
        <v/>
      </c>
      <c r="H143" s="12" t="str">
        <f>IF(G143="","",64*G143)</f>
        <v/>
      </c>
      <c r="I143" s="13"/>
      <c r="J143" s="13" t="str">
        <f>IFERROR(IF(OR(D143="",D143=0),"",I143/D143*100),"")</f>
        <v/>
      </c>
      <c r="K143" s="14"/>
      <c r="L143" s="13" t="str">
        <f>IF(I143="","",I143*K143)</f>
        <v/>
      </c>
      <c r="M143" s="13" t="str">
        <f>IF(B143="","",IFERROR(SUMPRODUCT(ISNUMBER(B$3:B143)*(MONTH(IF(ISNUMBER(B$3:B143),B$3:B143,1))=MONTH(B143))*(YEAR(IF(ISNUMBER(B$3:B143),B$3:B143,1))=YEAR(B143))*IF(ISNUMBER(L$3:L143),L$3:L143,0)),""))</f>
        <v/>
      </c>
      <c r="N143" s="6"/>
      <c r="O143" s="7" t="str">
        <f>IF(AND(B143="",ISNUMBER(B144)),CHOOSE(MONTH(B144),"GENNAIO","FEBBRAIO","MARZO","APRILE","MAGGIO","GIUGNO","LUGLIO","AGOSTO","SETTEMBRE","OTTOBRE","NOVEMBRE","DICEMBRE")&amp;" "&amp;YEAR(B144),"")</f>
        <v/>
      </c>
      <c r="P143" s="12" t="str">
        <f>IF(K143=0.2,"CASA","")</f>
        <v/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" customHeight="1" x14ac:dyDescent="0.2">
      <c r="A144" s="5" t="str">
        <f>IF(AND(B144="",ISNUMBER(B145)),CHOOSE(MONTH(B145),"GENNAIO","FEBBRAIO","MARZO","APRILE","MAGGIO","GIUGNO","LUGLIO","AGOSTO","SETTEMBRE","OTTOBRE","NOVEMBRE","DICEMBRE")&amp;" "&amp;YEAR(B145),"")</f>
        <v/>
      </c>
      <c r="B144" s="11"/>
      <c r="C144" s="12"/>
      <c r="D144" s="12" t="str">
        <f>IF(C144="","",C144-IF(C143&lt;&gt;"",C143,IF(C142&lt;&gt;"",C142,IF(C141&lt;&gt;"",C141,0))))</f>
        <v/>
      </c>
      <c r="E144" s="12"/>
      <c r="F144" s="12"/>
      <c r="G144" s="9" t="str">
        <f>IF(AND(E144="",F144=""),"",IF(OR(E144&gt;1,F144&gt;1),(F144-E144)/100,F144-E144))</f>
        <v/>
      </c>
      <c r="H144" s="12" t="str">
        <f>IF(G144="","",64*G144)</f>
        <v/>
      </c>
      <c r="I144" s="13"/>
      <c r="J144" s="13" t="str">
        <f>IFERROR(IF(OR(D144="",D144=0),"",I144/D144*100),"")</f>
        <v/>
      </c>
      <c r="K144" s="14"/>
      <c r="L144" s="13" t="str">
        <f>IF(I144="","",I144*K144)</f>
        <v/>
      </c>
      <c r="M144" s="13" t="str">
        <f>IF(B144="","",IFERROR(SUMPRODUCT(ISNUMBER(B$3:B144)*(MONTH(IF(ISNUMBER(B$3:B144),B$3:B144,1))=MONTH(B144))*(YEAR(IF(ISNUMBER(B$3:B144),B$3:B144,1))=YEAR(B144))*IF(ISNUMBER(L$3:L144),L$3:L144,0)),""))</f>
        <v/>
      </c>
      <c r="N144" s="6"/>
      <c r="O144" s="7" t="str">
        <f>IF(AND(B144="",ISNUMBER(B145)),CHOOSE(MONTH(B145),"GENNAIO","FEBBRAIO","MARZO","APRILE","MAGGIO","GIUGNO","LUGLIO","AGOSTO","SETTEMBRE","OTTOBRE","NOVEMBRE","DICEMBRE")&amp;" "&amp;YEAR(B145),"")</f>
        <v/>
      </c>
      <c r="P144" s="12" t="str">
        <f>IF(K144=0.2,"CASA","")</f>
        <v/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" customHeight="1" x14ac:dyDescent="0.2">
      <c r="A145" s="5" t="str">
        <f>IF(AND(B145="",ISNUMBER(B146)),CHOOSE(MONTH(B146),"GENNAIO","FEBBRAIO","MARZO","APRILE","MAGGIO","GIUGNO","LUGLIO","AGOSTO","SETTEMBRE","OTTOBRE","NOVEMBRE","DICEMBRE")&amp;" "&amp;YEAR(B146),"")</f>
        <v/>
      </c>
      <c r="B145" s="11"/>
      <c r="C145" s="12"/>
      <c r="D145" s="12" t="str">
        <f>IF(C145="","",C145-IF(C144&lt;&gt;"",C144,IF(C143&lt;&gt;"",C143,IF(C142&lt;&gt;"",C142,0))))</f>
        <v/>
      </c>
      <c r="E145" s="12"/>
      <c r="F145" s="12"/>
      <c r="G145" s="9" t="str">
        <f>IF(AND(E145="",F145=""),"",IF(OR(E145&gt;1,F145&gt;1),(F145-E145)/100,F145-E145))</f>
        <v/>
      </c>
      <c r="H145" s="12" t="str">
        <f>IF(G145="","",64*G145)</f>
        <v/>
      </c>
      <c r="I145" s="13"/>
      <c r="J145" s="13" t="str">
        <f>IFERROR(IF(OR(D145="",D145=0),"",I145/D145*100),"")</f>
        <v/>
      </c>
      <c r="K145" s="14"/>
      <c r="L145" s="13" t="str">
        <f>IF(I145="","",I145*K145)</f>
        <v/>
      </c>
      <c r="M145" s="13" t="str">
        <f>IF(B145="","",IFERROR(SUMPRODUCT(ISNUMBER(B$3:B145)*(MONTH(IF(ISNUMBER(B$3:B145),B$3:B145,1))=MONTH(B145))*(YEAR(IF(ISNUMBER(B$3:B145),B$3:B145,1))=YEAR(B145))*IF(ISNUMBER(L$3:L145),L$3:L145,0)),""))</f>
        <v/>
      </c>
      <c r="N145" s="6"/>
      <c r="O145" s="7" t="str">
        <f>IF(AND(B145="",ISNUMBER(B146)),CHOOSE(MONTH(B146),"GENNAIO","FEBBRAIO","MARZO","APRILE","MAGGIO","GIUGNO","LUGLIO","AGOSTO","SETTEMBRE","OTTOBRE","NOVEMBRE","DICEMBRE")&amp;" "&amp;YEAR(B146),"")</f>
        <v/>
      </c>
      <c r="P145" s="12" t="str">
        <f>IF(K145=0.2,"CASA","")</f>
        <v/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" customHeight="1" x14ac:dyDescent="0.2">
      <c r="A146" s="5" t="str">
        <f>IF(AND(B146="",ISNUMBER(B147)),CHOOSE(MONTH(B147),"GENNAIO","FEBBRAIO","MARZO","APRILE","MAGGIO","GIUGNO","LUGLIO","AGOSTO","SETTEMBRE","OTTOBRE","NOVEMBRE","DICEMBRE")&amp;" "&amp;YEAR(B147),"")</f>
        <v/>
      </c>
      <c r="B146" s="11"/>
      <c r="C146" s="12"/>
      <c r="D146" s="12" t="str">
        <f>IF(C146="","",C146-IF(C145&lt;&gt;"",C145,IF(C144&lt;&gt;"",C144,IF(C143&lt;&gt;"",C143,0))))</f>
        <v/>
      </c>
      <c r="E146" s="12"/>
      <c r="F146" s="12"/>
      <c r="G146" s="9" t="str">
        <f>IF(AND(E146="",F146=""),"",IF(OR(E146&gt;1,F146&gt;1),(F146-E146)/100,F146-E146))</f>
        <v/>
      </c>
      <c r="H146" s="12" t="str">
        <f>IF(G146="","",64*G146)</f>
        <v/>
      </c>
      <c r="I146" s="13"/>
      <c r="J146" s="13" t="str">
        <f>IFERROR(IF(OR(D146="",D146=0),"",I146/D146*100),"")</f>
        <v/>
      </c>
      <c r="K146" s="14"/>
      <c r="L146" s="13" t="str">
        <f>IF(I146="","",I146*K146)</f>
        <v/>
      </c>
      <c r="M146" s="13" t="str">
        <f>IF(B146="","",IFERROR(SUMPRODUCT(ISNUMBER(B$3:B146)*(MONTH(IF(ISNUMBER(B$3:B146),B$3:B146,1))=MONTH(B146))*(YEAR(IF(ISNUMBER(B$3:B146),B$3:B146,1))=YEAR(B146))*IF(ISNUMBER(L$3:L146),L$3:L146,0)),""))</f>
        <v/>
      </c>
      <c r="N146" s="6"/>
      <c r="O146" s="7" t="str">
        <f>IF(AND(B146="",ISNUMBER(B147)),CHOOSE(MONTH(B147),"GENNAIO","FEBBRAIO","MARZO","APRILE","MAGGIO","GIUGNO","LUGLIO","AGOSTO","SETTEMBRE","OTTOBRE","NOVEMBRE","DICEMBRE")&amp;" "&amp;YEAR(B147),"")</f>
        <v/>
      </c>
      <c r="P146" s="12" t="str">
        <f>IF(K146=0.2,"CASA","")</f>
        <v/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" customHeight="1" x14ac:dyDescent="0.2">
      <c r="A147" s="5" t="str">
        <f>IF(AND(B147="",ISNUMBER(B148)),CHOOSE(MONTH(B148),"GENNAIO","FEBBRAIO","MARZO","APRILE","MAGGIO","GIUGNO","LUGLIO","AGOSTO","SETTEMBRE","OTTOBRE","NOVEMBRE","DICEMBRE")&amp;" "&amp;YEAR(B148),"")</f>
        <v/>
      </c>
      <c r="B147" s="11"/>
      <c r="C147" s="12"/>
      <c r="D147" s="12" t="str">
        <f>IF(C147="","",C147-IF(C146&lt;&gt;"",C146,IF(C145&lt;&gt;"",C145,IF(C144&lt;&gt;"",C144,0))))</f>
        <v/>
      </c>
      <c r="E147" s="12"/>
      <c r="F147" s="12"/>
      <c r="G147" s="9" t="str">
        <f>IF(AND(E147="",F147=""),"",IF(OR(E147&gt;1,F147&gt;1),(F147-E147)/100,F147-E147))</f>
        <v/>
      </c>
      <c r="H147" s="12" t="str">
        <f>IF(G147="","",64*G147)</f>
        <v/>
      </c>
      <c r="I147" s="13"/>
      <c r="J147" s="13" t="str">
        <f>IFERROR(IF(OR(D147="",D147=0),"",I147/D147*100),"")</f>
        <v/>
      </c>
      <c r="K147" s="14"/>
      <c r="L147" s="13" t="str">
        <f>IF(I147="","",I147*K147)</f>
        <v/>
      </c>
      <c r="M147" s="13" t="str">
        <f>IF(B147="","",IFERROR(SUMPRODUCT(ISNUMBER(B$3:B147)*(MONTH(IF(ISNUMBER(B$3:B147),B$3:B147,1))=MONTH(B147))*(YEAR(IF(ISNUMBER(B$3:B147),B$3:B147,1))=YEAR(B147))*IF(ISNUMBER(L$3:L147),L$3:L147,0)),""))</f>
        <v/>
      </c>
      <c r="N147" s="6"/>
      <c r="O147" s="7" t="str">
        <f>IF(AND(B147="",ISNUMBER(B148)),CHOOSE(MONTH(B148),"GENNAIO","FEBBRAIO","MARZO","APRILE","MAGGIO","GIUGNO","LUGLIO","AGOSTO","SETTEMBRE","OTTOBRE","NOVEMBRE","DICEMBRE")&amp;" "&amp;YEAR(B148),"")</f>
        <v/>
      </c>
      <c r="P147" s="12" t="str">
        <f>IF(K147=0.2,"CASA","")</f>
        <v/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" customHeight="1" x14ac:dyDescent="0.2">
      <c r="A148" s="5" t="str">
        <f>IF(AND(B148="",ISNUMBER(B149)),CHOOSE(MONTH(B149),"GENNAIO","FEBBRAIO","MARZO","APRILE","MAGGIO","GIUGNO","LUGLIO","AGOSTO","SETTEMBRE","OTTOBRE","NOVEMBRE","DICEMBRE")&amp;" "&amp;YEAR(B149),"")</f>
        <v/>
      </c>
      <c r="B148" s="11"/>
      <c r="C148" s="12"/>
      <c r="D148" s="12" t="str">
        <f>IF(C148="","",C148-IF(C147&lt;&gt;"",C147,IF(C146&lt;&gt;"",C146,IF(C145&lt;&gt;"",C145,0))))</f>
        <v/>
      </c>
      <c r="E148" s="12"/>
      <c r="F148" s="12"/>
      <c r="G148" s="9" t="str">
        <f>IF(AND(E148="",F148=""),"",IF(OR(E148&gt;1,F148&gt;1),(F148-E148)/100,F148-E148))</f>
        <v/>
      </c>
      <c r="H148" s="12" t="str">
        <f>IF(G148="","",64*G148)</f>
        <v/>
      </c>
      <c r="I148" s="13"/>
      <c r="J148" s="13" t="str">
        <f>IFERROR(IF(OR(D148="",D148=0),"",I148/D148*100),"")</f>
        <v/>
      </c>
      <c r="K148" s="14"/>
      <c r="L148" s="13" t="str">
        <f>IF(I148="","",I148*K148)</f>
        <v/>
      </c>
      <c r="M148" s="13" t="str">
        <f>IF(B148="","",IFERROR(SUMPRODUCT(ISNUMBER(B$3:B148)*(MONTH(IF(ISNUMBER(B$3:B148),B$3:B148,1))=MONTH(B148))*(YEAR(IF(ISNUMBER(B$3:B148),B$3:B148,1))=YEAR(B148))*IF(ISNUMBER(L$3:L148),L$3:L148,0)),""))</f>
        <v/>
      </c>
      <c r="N148" s="6"/>
      <c r="O148" s="7" t="str">
        <f>IF(AND(B148="",ISNUMBER(B149)),CHOOSE(MONTH(B149),"GENNAIO","FEBBRAIO","MARZO","APRILE","MAGGIO","GIUGNO","LUGLIO","AGOSTO","SETTEMBRE","OTTOBRE","NOVEMBRE","DICEMBRE")&amp;" "&amp;YEAR(B149),"")</f>
        <v/>
      </c>
      <c r="P148" s="12" t="str">
        <f>IF(K148=0.2,"CASA","")</f>
        <v/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" customHeight="1" x14ac:dyDescent="0.2">
      <c r="A149" s="5" t="str">
        <f>IF(AND(B149="",ISNUMBER(B150)),CHOOSE(MONTH(B150),"GENNAIO","FEBBRAIO","MARZO","APRILE","MAGGIO","GIUGNO","LUGLIO","AGOSTO","SETTEMBRE","OTTOBRE","NOVEMBRE","DICEMBRE")&amp;" "&amp;YEAR(B150),"")</f>
        <v/>
      </c>
      <c r="B149" s="11"/>
      <c r="C149" s="12"/>
      <c r="D149" s="12" t="str">
        <f>IF(C149="","",C149-IF(C148&lt;&gt;"",C148,IF(C147&lt;&gt;"",C147,IF(C146&lt;&gt;"",C146,0))))</f>
        <v/>
      </c>
      <c r="E149" s="12"/>
      <c r="F149" s="12"/>
      <c r="G149" s="9" t="str">
        <f>IF(AND(E149="",F149=""),"",IF(OR(E149&gt;1,F149&gt;1),(F149-E149)/100,F149-E149))</f>
        <v/>
      </c>
      <c r="H149" s="12" t="str">
        <f>IF(G149="","",64*G149)</f>
        <v/>
      </c>
      <c r="I149" s="13"/>
      <c r="J149" s="13" t="str">
        <f>IFERROR(IF(OR(D149="",D149=0),"",I149/D149*100),"")</f>
        <v/>
      </c>
      <c r="K149" s="14"/>
      <c r="L149" s="13" t="str">
        <f>IF(I149="","",I149*K149)</f>
        <v/>
      </c>
      <c r="M149" s="13" t="str">
        <f>IF(B149="","",IFERROR(SUMPRODUCT(ISNUMBER(B$3:B149)*(MONTH(IF(ISNUMBER(B$3:B149),B$3:B149,1))=MONTH(B149))*(YEAR(IF(ISNUMBER(B$3:B149),B$3:B149,1))=YEAR(B149))*IF(ISNUMBER(L$3:L149),L$3:L149,0)),""))</f>
        <v/>
      </c>
      <c r="N149" s="6"/>
      <c r="O149" s="7" t="str">
        <f>IF(AND(B149="",ISNUMBER(B150)),CHOOSE(MONTH(B150),"GENNAIO","FEBBRAIO","MARZO","APRILE","MAGGIO","GIUGNO","LUGLIO","AGOSTO","SETTEMBRE","OTTOBRE","NOVEMBRE","DICEMBRE")&amp;" "&amp;YEAR(B150),"")</f>
        <v/>
      </c>
      <c r="P149" s="12" t="str">
        <f>IF(K149=0.2,"CASA","")</f>
        <v/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" customHeight="1" x14ac:dyDescent="0.2">
      <c r="A150" s="5" t="str">
        <f>IF(AND(B150="",ISNUMBER(B151)),CHOOSE(MONTH(B151),"GENNAIO","FEBBRAIO","MARZO","APRILE","MAGGIO","GIUGNO","LUGLIO","AGOSTO","SETTEMBRE","OTTOBRE","NOVEMBRE","DICEMBRE")&amp;" "&amp;YEAR(B151),"")</f>
        <v/>
      </c>
      <c r="B150" s="11"/>
      <c r="C150" s="12"/>
      <c r="D150" s="12" t="str">
        <f>IF(C150="","",C150-IF(C149&lt;&gt;"",C149,IF(C148&lt;&gt;"",C148,IF(C147&lt;&gt;"",C147,0))))</f>
        <v/>
      </c>
      <c r="E150" s="12"/>
      <c r="F150" s="12"/>
      <c r="G150" s="9" t="str">
        <f>IF(AND(E150="",F150=""),"",IF(OR(E150&gt;1,F150&gt;1),(F150-E150)/100,F150-E150))</f>
        <v/>
      </c>
      <c r="H150" s="12" t="str">
        <f>IF(G150="","",64*G150)</f>
        <v/>
      </c>
      <c r="I150" s="13"/>
      <c r="J150" s="13" t="str">
        <f>IFERROR(IF(OR(D150="",D150=0),"",I150/D150*100),"")</f>
        <v/>
      </c>
      <c r="K150" s="14"/>
      <c r="L150" s="13" t="str">
        <f>IF(I150="","",I150*K150)</f>
        <v/>
      </c>
      <c r="M150" s="13" t="str">
        <f>IF(B150="","",IFERROR(SUMPRODUCT(ISNUMBER(B$3:B150)*(MONTH(IF(ISNUMBER(B$3:B150),B$3:B150,1))=MONTH(B150))*(YEAR(IF(ISNUMBER(B$3:B150),B$3:B150,1))=YEAR(B150))*IF(ISNUMBER(L$3:L150),L$3:L150,0)),""))</f>
        <v/>
      </c>
      <c r="N150" s="6"/>
      <c r="O150" s="7" t="str">
        <f>IF(AND(B150="",ISNUMBER(B151)),CHOOSE(MONTH(B151),"GENNAIO","FEBBRAIO","MARZO","APRILE","MAGGIO","GIUGNO","LUGLIO","AGOSTO","SETTEMBRE","OTTOBRE","NOVEMBRE","DICEMBRE")&amp;" "&amp;YEAR(B151),"")</f>
        <v/>
      </c>
      <c r="P150" s="12" t="str">
        <f>IF(K150=0.2,"CASA","")</f>
        <v/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" customHeight="1" x14ac:dyDescent="0.2">
      <c r="A151" s="5" t="str">
        <f>IF(AND(B151="",ISNUMBER(B152)),CHOOSE(MONTH(B152),"GENNAIO","FEBBRAIO","MARZO","APRILE","MAGGIO","GIUGNO","LUGLIO","AGOSTO","SETTEMBRE","OTTOBRE","NOVEMBRE","DICEMBRE")&amp;" "&amp;YEAR(B152),"")</f>
        <v/>
      </c>
      <c r="B151" s="11"/>
      <c r="C151" s="12"/>
      <c r="D151" s="12" t="str">
        <f>IF(C151="","",C151-IF(C150&lt;&gt;"",C150,IF(C149&lt;&gt;"",C149,IF(C148&lt;&gt;"",C148,0))))</f>
        <v/>
      </c>
      <c r="E151" s="12"/>
      <c r="F151" s="12"/>
      <c r="G151" s="9" t="str">
        <f>IF(AND(E151="",F151=""),"",IF(OR(E151&gt;1,F151&gt;1),(F151-E151)/100,F151-E151))</f>
        <v/>
      </c>
      <c r="H151" s="12" t="str">
        <f>IF(G151="","",64*G151)</f>
        <v/>
      </c>
      <c r="I151" s="13"/>
      <c r="J151" s="13" t="str">
        <f>IFERROR(IF(OR(D151="",D151=0),"",I151/D151*100),"")</f>
        <v/>
      </c>
      <c r="K151" s="14"/>
      <c r="L151" s="13" t="str">
        <f>IF(I151="","",I151*K151)</f>
        <v/>
      </c>
      <c r="M151" s="13" t="str">
        <f>IF(B151="","",IFERROR(SUMPRODUCT(ISNUMBER(B$3:B151)*(MONTH(IF(ISNUMBER(B$3:B151),B$3:B151,1))=MONTH(B151))*(YEAR(IF(ISNUMBER(B$3:B151),B$3:B151,1))=YEAR(B151))*IF(ISNUMBER(L$3:L151),L$3:L151,0)),""))</f>
        <v/>
      </c>
      <c r="N151" s="6"/>
      <c r="O151" s="7" t="str">
        <f>IF(AND(B151="",ISNUMBER(B152)),CHOOSE(MONTH(B152),"GENNAIO","FEBBRAIO","MARZO","APRILE","MAGGIO","GIUGNO","LUGLIO","AGOSTO","SETTEMBRE","OTTOBRE","NOVEMBRE","DICEMBRE")&amp;" "&amp;YEAR(B152),"")</f>
        <v/>
      </c>
      <c r="P151" s="12" t="str">
        <f>IF(K151=0.2,"CASA","")</f>
        <v/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" customHeight="1" x14ac:dyDescent="0.2">
      <c r="A152" s="5" t="str">
        <f>IF(AND(B152="",ISNUMBER(B153)),CHOOSE(MONTH(B153),"GENNAIO","FEBBRAIO","MARZO","APRILE","MAGGIO","GIUGNO","LUGLIO","AGOSTO","SETTEMBRE","OTTOBRE","NOVEMBRE","DICEMBRE")&amp;" "&amp;YEAR(B153),"")</f>
        <v/>
      </c>
      <c r="B152" s="11"/>
      <c r="C152" s="12"/>
      <c r="D152" s="12" t="str">
        <f>IF(C152="","",C152-IF(C151&lt;&gt;"",C151,IF(C150&lt;&gt;"",C150,IF(C149&lt;&gt;"",C149,0))))</f>
        <v/>
      </c>
      <c r="E152" s="12"/>
      <c r="F152" s="12"/>
      <c r="G152" s="9" t="str">
        <f>IF(AND(E152="",F152=""),"",IF(OR(E152&gt;1,F152&gt;1),(F152-E152)/100,F152-E152))</f>
        <v/>
      </c>
      <c r="H152" s="12" t="str">
        <f>IF(G152="","",64*G152)</f>
        <v/>
      </c>
      <c r="I152" s="13"/>
      <c r="J152" s="13" t="str">
        <f>IFERROR(IF(OR(D152="",D152=0),"",I152/D152*100),"")</f>
        <v/>
      </c>
      <c r="K152" s="14"/>
      <c r="L152" s="13" t="str">
        <f>IF(I152="","",I152*K152)</f>
        <v/>
      </c>
      <c r="M152" s="13" t="str">
        <f>IF(B152="","",IFERROR(SUMPRODUCT(ISNUMBER(B$3:B152)*(MONTH(IF(ISNUMBER(B$3:B152),B$3:B152,1))=MONTH(B152))*(YEAR(IF(ISNUMBER(B$3:B152),B$3:B152,1))=YEAR(B152))*IF(ISNUMBER(L$3:L152),L$3:L152,0)),""))</f>
        <v/>
      </c>
      <c r="N152" s="6"/>
      <c r="O152" s="7" t="str">
        <f>IF(AND(B152="",ISNUMBER(B153)),CHOOSE(MONTH(B153),"GENNAIO","FEBBRAIO","MARZO","APRILE","MAGGIO","GIUGNO","LUGLIO","AGOSTO","SETTEMBRE","OTTOBRE","NOVEMBRE","DICEMBRE")&amp;" "&amp;YEAR(B153),"")</f>
        <v/>
      </c>
      <c r="P152" s="12" t="str">
        <f>IF(K152=0.2,"CASA","")</f>
        <v/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" customHeight="1" x14ac:dyDescent="0.2">
      <c r="A153" s="5" t="str">
        <f>IF(AND(B153="",ISNUMBER(B154)),CHOOSE(MONTH(B154),"GENNAIO","FEBBRAIO","MARZO","APRILE","MAGGIO","GIUGNO","LUGLIO","AGOSTO","SETTEMBRE","OTTOBRE","NOVEMBRE","DICEMBRE")&amp;" "&amp;YEAR(B154),"")</f>
        <v/>
      </c>
      <c r="B153" s="11"/>
      <c r="C153" s="12"/>
      <c r="D153" s="12" t="str">
        <f>IF(C153="","",C153-IF(C152&lt;&gt;"",C152,IF(C151&lt;&gt;"",C151,IF(C150&lt;&gt;"",C150,0))))</f>
        <v/>
      </c>
      <c r="E153" s="12"/>
      <c r="F153" s="12"/>
      <c r="G153" s="9" t="str">
        <f>IF(AND(E153="",F153=""),"",IF(OR(E153&gt;1,F153&gt;1),(F153-E153)/100,F153-E153))</f>
        <v/>
      </c>
      <c r="H153" s="12" t="str">
        <f>IF(G153="","",64*G153)</f>
        <v/>
      </c>
      <c r="I153" s="13"/>
      <c r="J153" s="13" t="str">
        <f>IFERROR(IF(OR(D153="",D153=0),"",I153/D153*100),"")</f>
        <v/>
      </c>
      <c r="K153" s="14"/>
      <c r="L153" s="13" t="str">
        <f>IF(I153="","",I153*K153)</f>
        <v/>
      </c>
      <c r="M153" s="13" t="str">
        <f>IF(B153="","",IFERROR(SUMPRODUCT(ISNUMBER(B$3:B153)*(MONTH(IF(ISNUMBER(B$3:B153),B$3:B153,1))=MONTH(B153))*(YEAR(IF(ISNUMBER(B$3:B153),B$3:B153,1))=YEAR(B153))*IF(ISNUMBER(L$3:L153),L$3:L153,0)),""))</f>
        <v/>
      </c>
      <c r="N153" s="6"/>
      <c r="O153" s="7" t="str">
        <f>IF(AND(B153="",ISNUMBER(B154)),CHOOSE(MONTH(B154),"GENNAIO","FEBBRAIO","MARZO","APRILE","MAGGIO","GIUGNO","LUGLIO","AGOSTO","SETTEMBRE","OTTOBRE","NOVEMBRE","DICEMBRE")&amp;" "&amp;YEAR(B154),"")</f>
        <v/>
      </c>
      <c r="P153" s="12" t="str">
        <f>IF(K153=0.2,"CASA","")</f>
        <v/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" customHeight="1" x14ac:dyDescent="0.2">
      <c r="A154" s="5" t="str">
        <f>IF(AND(B154="",ISNUMBER(B155)),CHOOSE(MONTH(B155),"GENNAIO","FEBBRAIO","MARZO","APRILE","MAGGIO","GIUGNO","LUGLIO","AGOSTO","SETTEMBRE","OTTOBRE","NOVEMBRE","DICEMBRE")&amp;" "&amp;YEAR(B155),"")</f>
        <v/>
      </c>
      <c r="B154" s="11"/>
      <c r="C154" s="12"/>
      <c r="D154" s="12" t="str">
        <f>IF(C154="","",C154-IF(C153&lt;&gt;"",C153,IF(C152&lt;&gt;"",C152,IF(C151&lt;&gt;"",C151,0))))</f>
        <v/>
      </c>
      <c r="E154" s="12"/>
      <c r="F154" s="12"/>
      <c r="G154" s="9" t="str">
        <f>IF(AND(E154="",F154=""),"",IF(OR(E154&gt;1,F154&gt;1),(F154-E154)/100,F154-E154))</f>
        <v/>
      </c>
      <c r="H154" s="12" t="str">
        <f>IF(G154="","",64*G154)</f>
        <v/>
      </c>
      <c r="I154" s="13"/>
      <c r="J154" s="13" t="str">
        <f>IFERROR(IF(OR(D154="",D154=0),"",I154/D154*100),"")</f>
        <v/>
      </c>
      <c r="K154" s="14"/>
      <c r="L154" s="13" t="str">
        <f>IF(I154="","",I154*K154)</f>
        <v/>
      </c>
      <c r="M154" s="13" t="str">
        <f>IF(B154="","",IFERROR(SUMPRODUCT(ISNUMBER(B$3:B154)*(MONTH(IF(ISNUMBER(B$3:B154),B$3:B154,1))=MONTH(B154))*(YEAR(IF(ISNUMBER(B$3:B154),B$3:B154,1))=YEAR(B154))*IF(ISNUMBER(L$3:L154),L$3:L154,0)),""))</f>
        <v/>
      </c>
      <c r="N154" s="6"/>
      <c r="O154" s="7" t="str">
        <f>IF(AND(B154="",ISNUMBER(B155)),CHOOSE(MONTH(B155),"GENNAIO","FEBBRAIO","MARZO","APRILE","MAGGIO","GIUGNO","LUGLIO","AGOSTO","SETTEMBRE","OTTOBRE","NOVEMBRE","DICEMBRE")&amp;" "&amp;YEAR(B155),"")</f>
        <v/>
      </c>
      <c r="P154" s="12" t="str">
        <f>IF(K154=0.2,"CASA","")</f>
        <v/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" customHeight="1" x14ac:dyDescent="0.2">
      <c r="A155" s="5" t="str">
        <f>IF(AND(B155="",ISNUMBER(B156)),CHOOSE(MONTH(B156),"GENNAIO","FEBBRAIO","MARZO","APRILE","MAGGIO","GIUGNO","LUGLIO","AGOSTO","SETTEMBRE","OTTOBRE","NOVEMBRE","DICEMBRE")&amp;" "&amp;YEAR(B156),"")</f>
        <v/>
      </c>
      <c r="B155" s="11"/>
      <c r="C155" s="12"/>
      <c r="D155" s="12" t="str">
        <f>IF(C155="","",C155-IF(C154&lt;&gt;"",C154,IF(C153&lt;&gt;"",C153,IF(C152&lt;&gt;"",C152,0))))</f>
        <v/>
      </c>
      <c r="E155" s="12"/>
      <c r="F155" s="12"/>
      <c r="G155" s="9" t="str">
        <f>IF(AND(E155="",F155=""),"",IF(OR(E155&gt;1,F155&gt;1),(F155-E155)/100,F155-E155))</f>
        <v/>
      </c>
      <c r="H155" s="12" t="str">
        <f>IF(G155="","",64*G155)</f>
        <v/>
      </c>
      <c r="I155" s="13"/>
      <c r="J155" s="13" t="str">
        <f>IFERROR(IF(OR(D155="",D155=0),"",I155/D155*100),"")</f>
        <v/>
      </c>
      <c r="K155" s="14"/>
      <c r="L155" s="13" t="str">
        <f>IF(I155="","",I155*K155)</f>
        <v/>
      </c>
      <c r="M155" s="13" t="str">
        <f>IF(B155="","",IFERROR(SUMPRODUCT(ISNUMBER(B$3:B155)*(MONTH(IF(ISNUMBER(B$3:B155),B$3:B155,1))=MONTH(B155))*(YEAR(IF(ISNUMBER(B$3:B155),B$3:B155,1))=YEAR(B155))*IF(ISNUMBER(L$3:L155),L$3:L155,0)),""))</f>
        <v/>
      </c>
      <c r="N155" s="6"/>
      <c r="O155" s="7" t="str">
        <f>IF(AND(B155="",ISNUMBER(B156)),CHOOSE(MONTH(B156),"GENNAIO","FEBBRAIO","MARZO","APRILE","MAGGIO","GIUGNO","LUGLIO","AGOSTO","SETTEMBRE","OTTOBRE","NOVEMBRE","DICEMBRE")&amp;" "&amp;YEAR(B156),"")</f>
        <v/>
      </c>
      <c r="P155" s="12" t="str">
        <f>IF(K155=0.2,"CASA","")</f>
        <v/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" customHeight="1" x14ac:dyDescent="0.2">
      <c r="A156" s="5" t="str">
        <f>IF(AND(B156="",ISNUMBER(B157)),CHOOSE(MONTH(B157),"GENNAIO","FEBBRAIO","MARZO","APRILE","MAGGIO","GIUGNO","LUGLIO","AGOSTO","SETTEMBRE","OTTOBRE","NOVEMBRE","DICEMBRE")&amp;" "&amp;YEAR(B157),"")</f>
        <v/>
      </c>
      <c r="B156" s="11"/>
      <c r="C156" s="12"/>
      <c r="D156" s="12" t="str">
        <f>IF(C156="","",C156-IF(C155&lt;&gt;"",C155,IF(C154&lt;&gt;"",C154,IF(C153&lt;&gt;"",C153,0))))</f>
        <v/>
      </c>
      <c r="E156" s="12"/>
      <c r="F156" s="12"/>
      <c r="G156" s="9" t="str">
        <f>IF(AND(E156="",F156=""),"",IF(OR(E156&gt;1,F156&gt;1),(F156-E156)/100,F156-E156))</f>
        <v/>
      </c>
      <c r="H156" s="12" t="str">
        <f>IF(G156="","",64*G156)</f>
        <v/>
      </c>
      <c r="I156" s="13"/>
      <c r="J156" s="13" t="str">
        <f>IFERROR(IF(OR(D156="",D156=0),"",I156/D156*100),"")</f>
        <v/>
      </c>
      <c r="K156" s="14"/>
      <c r="L156" s="13" t="str">
        <f>IF(I156="","",I156*K156)</f>
        <v/>
      </c>
      <c r="M156" s="13" t="str">
        <f>IF(B156="","",IFERROR(SUMPRODUCT(ISNUMBER(B$3:B156)*(MONTH(IF(ISNUMBER(B$3:B156),B$3:B156,1))=MONTH(B156))*(YEAR(IF(ISNUMBER(B$3:B156),B$3:B156,1))=YEAR(B156))*IF(ISNUMBER(L$3:L156),L$3:L156,0)),""))</f>
        <v/>
      </c>
      <c r="N156" s="6"/>
      <c r="O156" s="7" t="str">
        <f>IF(AND(B156="",ISNUMBER(B157)),CHOOSE(MONTH(B157),"GENNAIO","FEBBRAIO","MARZO","APRILE","MAGGIO","GIUGNO","LUGLIO","AGOSTO","SETTEMBRE","OTTOBRE","NOVEMBRE","DICEMBRE")&amp;" "&amp;YEAR(B157),"")</f>
        <v/>
      </c>
      <c r="P156" s="12" t="str">
        <f>IF(K156=0.2,"CASA","")</f>
        <v/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" customHeight="1" x14ac:dyDescent="0.2">
      <c r="A157" s="5" t="str">
        <f>IF(AND(B157="",ISNUMBER(B158)),CHOOSE(MONTH(B158),"GENNAIO","FEBBRAIO","MARZO","APRILE","MAGGIO","GIUGNO","LUGLIO","AGOSTO","SETTEMBRE","OTTOBRE","NOVEMBRE","DICEMBRE")&amp;" "&amp;YEAR(B158),"")</f>
        <v/>
      </c>
      <c r="B157" s="11"/>
      <c r="C157" s="12"/>
      <c r="D157" s="12" t="str">
        <f>IF(C157="","",C157-IF(C156&lt;&gt;"",C156,IF(C155&lt;&gt;"",C155,IF(C154&lt;&gt;"",C154,0))))</f>
        <v/>
      </c>
      <c r="E157" s="12"/>
      <c r="F157" s="12"/>
      <c r="G157" s="9" t="str">
        <f>IF(AND(E157="",F157=""),"",IF(OR(E157&gt;1,F157&gt;1),(F157-E157)/100,F157-E157))</f>
        <v/>
      </c>
      <c r="H157" s="12" t="str">
        <f>IF(G157="","",64*G157)</f>
        <v/>
      </c>
      <c r="I157" s="13"/>
      <c r="J157" s="13" t="str">
        <f>IFERROR(IF(OR(D157="",D157=0),"",I157/D157*100),"")</f>
        <v/>
      </c>
      <c r="K157" s="14"/>
      <c r="L157" s="13" t="str">
        <f>IF(I157="","",I157*K157)</f>
        <v/>
      </c>
      <c r="M157" s="13" t="str">
        <f>IF(B157="","",IFERROR(SUMPRODUCT(ISNUMBER(B$3:B157)*(MONTH(IF(ISNUMBER(B$3:B157),B$3:B157,1))=MONTH(B157))*(YEAR(IF(ISNUMBER(B$3:B157),B$3:B157,1))=YEAR(B157))*IF(ISNUMBER(L$3:L157),L$3:L157,0)),""))</f>
        <v/>
      </c>
      <c r="N157" s="6"/>
      <c r="O157" s="7" t="str">
        <f>IF(AND(B157="",ISNUMBER(B158)),CHOOSE(MONTH(B158),"GENNAIO","FEBBRAIO","MARZO","APRILE","MAGGIO","GIUGNO","LUGLIO","AGOSTO","SETTEMBRE","OTTOBRE","NOVEMBRE","DICEMBRE")&amp;" "&amp;YEAR(B158),"")</f>
        <v/>
      </c>
      <c r="P157" s="12" t="str">
        <f>IF(K157=0.2,"CASA","")</f>
        <v/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" customHeight="1" x14ac:dyDescent="0.2">
      <c r="A158" s="5" t="str">
        <f>IF(AND(B158="",ISNUMBER(B159)),CHOOSE(MONTH(B159),"GENNAIO","FEBBRAIO","MARZO","APRILE","MAGGIO","GIUGNO","LUGLIO","AGOSTO","SETTEMBRE","OTTOBRE","NOVEMBRE","DICEMBRE")&amp;" "&amp;YEAR(B159),"")</f>
        <v/>
      </c>
      <c r="B158" s="11"/>
      <c r="C158" s="12"/>
      <c r="D158" s="12" t="str">
        <f>IF(C158="","",C158-IF(C157&lt;&gt;"",C157,IF(C156&lt;&gt;"",C156,IF(C155&lt;&gt;"",C155,0))))</f>
        <v/>
      </c>
      <c r="E158" s="12"/>
      <c r="F158" s="12"/>
      <c r="G158" s="9" t="str">
        <f>IF(AND(E158="",F158=""),"",IF(OR(E158&gt;1,F158&gt;1),(F158-E158)/100,F158-E158))</f>
        <v/>
      </c>
      <c r="H158" s="12" t="str">
        <f>IF(G158="","",64*G158)</f>
        <v/>
      </c>
      <c r="I158" s="13"/>
      <c r="J158" s="13" t="str">
        <f>IFERROR(IF(OR(D158="",D158=0),"",I158/D158*100),"")</f>
        <v/>
      </c>
      <c r="K158" s="14"/>
      <c r="L158" s="13" t="str">
        <f>IF(I158="","",I158*K158)</f>
        <v/>
      </c>
      <c r="M158" s="13" t="str">
        <f>IF(B158="","",IFERROR(SUMPRODUCT(ISNUMBER(B$3:B158)*(MONTH(IF(ISNUMBER(B$3:B158),B$3:B158,1))=MONTH(B158))*(YEAR(IF(ISNUMBER(B$3:B158),B$3:B158,1))=YEAR(B158))*IF(ISNUMBER(L$3:L158),L$3:L158,0)),""))</f>
        <v/>
      </c>
      <c r="N158" s="6"/>
      <c r="O158" s="7" t="str">
        <f>IF(AND(B158="",ISNUMBER(B159)),CHOOSE(MONTH(B159),"GENNAIO","FEBBRAIO","MARZO","APRILE","MAGGIO","GIUGNO","LUGLIO","AGOSTO","SETTEMBRE","OTTOBRE","NOVEMBRE","DICEMBRE")&amp;" "&amp;YEAR(B159),"")</f>
        <v/>
      </c>
      <c r="P158" s="12" t="str">
        <f>IF(K158=0.2,"CASA","")</f>
        <v/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" customHeight="1" x14ac:dyDescent="0.2">
      <c r="A159" s="5" t="str">
        <f>IF(AND(B159="",ISNUMBER(B160)),CHOOSE(MONTH(B160),"GENNAIO","FEBBRAIO","MARZO","APRILE","MAGGIO","GIUGNO","LUGLIO","AGOSTO","SETTEMBRE","OTTOBRE","NOVEMBRE","DICEMBRE")&amp;" "&amp;YEAR(B160),"")</f>
        <v/>
      </c>
      <c r="B159" s="11"/>
      <c r="C159" s="12"/>
      <c r="D159" s="12" t="str">
        <f>IF(C159="","",C159-IF(C158&lt;&gt;"",C158,IF(C157&lt;&gt;"",C157,IF(C156&lt;&gt;"",C156,0))))</f>
        <v/>
      </c>
      <c r="E159" s="12"/>
      <c r="F159" s="12"/>
      <c r="G159" s="9" t="str">
        <f>IF(AND(E159="",F159=""),"",IF(OR(E159&gt;1,F159&gt;1),(F159-E159)/100,F159-E159))</f>
        <v/>
      </c>
      <c r="H159" s="12" t="str">
        <f>IF(G159="","",64*G159)</f>
        <v/>
      </c>
      <c r="I159" s="13"/>
      <c r="J159" s="13" t="str">
        <f>IFERROR(IF(OR(D159="",D159=0),"",I159/D159*100),"")</f>
        <v/>
      </c>
      <c r="K159" s="14"/>
      <c r="L159" s="13" t="str">
        <f>IF(I159="","",I159*K159)</f>
        <v/>
      </c>
      <c r="M159" s="13" t="str">
        <f>IF(B159="","",IFERROR(SUMPRODUCT(ISNUMBER(B$3:B159)*(MONTH(IF(ISNUMBER(B$3:B159),B$3:B159,1))=MONTH(B159))*(YEAR(IF(ISNUMBER(B$3:B159),B$3:B159,1))=YEAR(B159))*IF(ISNUMBER(L$3:L159),L$3:L159,0)),""))</f>
        <v/>
      </c>
      <c r="N159" s="6"/>
      <c r="O159" s="7" t="str">
        <f>IF(AND(B159="",ISNUMBER(B160)),CHOOSE(MONTH(B160),"GENNAIO","FEBBRAIO","MARZO","APRILE","MAGGIO","GIUGNO","LUGLIO","AGOSTO","SETTEMBRE","OTTOBRE","NOVEMBRE","DICEMBRE")&amp;" "&amp;YEAR(B160),"")</f>
        <v/>
      </c>
      <c r="P159" s="12" t="str">
        <f>IF(K159=0.2,"CASA","")</f>
        <v/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" customHeight="1" x14ac:dyDescent="0.2">
      <c r="A160" s="5" t="str">
        <f>IF(AND(B160="",ISNUMBER(B161)),CHOOSE(MONTH(B161),"GENNAIO","FEBBRAIO","MARZO","APRILE","MAGGIO","GIUGNO","LUGLIO","AGOSTO","SETTEMBRE","OTTOBRE","NOVEMBRE","DICEMBRE")&amp;" "&amp;YEAR(B161),"")</f>
        <v/>
      </c>
      <c r="B160" s="11"/>
      <c r="C160" s="12"/>
      <c r="D160" s="12" t="str">
        <f>IF(C160="","",C160-IF(C159&lt;&gt;"",C159,IF(C158&lt;&gt;"",C158,IF(C157&lt;&gt;"",C157,0))))</f>
        <v/>
      </c>
      <c r="E160" s="12"/>
      <c r="F160" s="12"/>
      <c r="G160" s="9" t="str">
        <f>IF(AND(E160="",F160=""),"",IF(OR(E160&gt;1,F160&gt;1),(F160-E160)/100,F160-E160))</f>
        <v/>
      </c>
      <c r="H160" s="12" t="str">
        <f>IF(G160="","",64*G160)</f>
        <v/>
      </c>
      <c r="I160" s="13"/>
      <c r="J160" s="13" t="str">
        <f>IFERROR(IF(OR(D160="",D160=0),"",I160/D160*100),"")</f>
        <v/>
      </c>
      <c r="K160" s="14"/>
      <c r="L160" s="13" t="str">
        <f>IF(I160="","",I160*K160)</f>
        <v/>
      </c>
      <c r="M160" s="13" t="str">
        <f>IF(B160="","",IFERROR(SUMPRODUCT(ISNUMBER(B$3:B160)*(MONTH(IF(ISNUMBER(B$3:B160),B$3:B160,1))=MONTH(B160))*(YEAR(IF(ISNUMBER(B$3:B160),B$3:B160,1))=YEAR(B160))*IF(ISNUMBER(L$3:L160),L$3:L160,0)),""))</f>
        <v/>
      </c>
      <c r="N160" s="6"/>
      <c r="O160" s="7" t="str">
        <f>IF(AND(B160="",ISNUMBER(B161)),CHOOSE(MONTH(B161),"GENNAIO","FEBBRAIO","MARZO","APRILE","MAGGIO","GIUGNO","LUGLIO","AGOSTO","SETTEMBRE","OTTOBRE","NOVEMBRE","DICEMBRE")&amp;" "&amp;YEAR(B161),"")</f>
        <v/>
      </c>
      <c r="P160" s="12" t="str">
        <f>IF(K160=0.2,"CASA","")</f>
        <v/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" customHeight="1" x14ac:dyDescent="0.2">
      <c r="A161" s="5" t="str">
        <f>IF(AND(B161="",ISNUMBER(B162)),CHOOSE(MONTH(B162),"GENNAIO","FEBBRAIO","MARZO","APRILE","MAGGIO","GIUGNO","LUGLIO","AGOSTO","SETTEMBRE","OTTOBRE","NOVEMBRE","DICEMBRE")&amp;" "&amp;YEAR(B162),"")</f>
        <v/>
      </c>
      <c r="B161" s="11"/>
      <c r="C161" s="12"/>
      <c r="D161" s="12" t="str">
        <f>IF(C161="","",C161-IF(C160&lt;&gt;"",C160,IF(C159&lt;&gt;"",C159,IF(C158&lt;&gt;"",C158,0))))</f>
        <v/>
      </c>
      <c r="E161" s="12"/>
      <c r="F161" s="12"/>
      <c r="G161" s="9" t="str">
        <f>IF(AND(E161="",F161=""),"",IF(OR(E161&gt;1,F161&gt;1),(F161-E161)/100,F161-E161))</f>
        <v/>
      </c>
      <c r="H161" s="12" t="str">
        <f>IF(G161="","",64*G161)</f>
        <v/>
      </c>
      <c r="I161" s="13"/>
      <c r="J161" s="13" t="str">
        <f>IFERROR(IF(OR(D161="",D161=0),"",I161/D161*100),"")</f>
        <v/>
      </c>
      <c r="K161" s="14"/>
      <c r="L161" s="13" t="str">
        <f>IF(I161="","",I161*K161)</f>
        <v/>
      </c>
      <c r="M161" s="13" t="str">
        <f>IF(B161="","",IFERROR(SUMPRODUCT(ISNUMBER(B$3:B161)*(MONTH(IF(ISNUMBER(B$3:B161),B$3:B161,1))=MONTH(B161))*(YEAR(IF(ISNUMBER(B$3:B161),B$3:B161,1))=YEAR(B161))*IF(ISNUMBER(L$3:L161),L$3:L161,0)),""))</f>
        <v/>
      </c>
      <c r="N161" s="6"/>
      <c r="O161" s="7" t="str">
        <f>IF(AND(B161="",ISNUMBER(B162)),CHOOSE(MONTH(B162),"GENNAIO","FEBBRAIO","MARZO","APRILE","MAGGIO","GIUGNO","LUGLIO","AGOSTO","SETTEMBRE","OTTOBRE","NOVEMBRE","DICEMBRE")&amp;" "&amp;YEAR(B162),"")</f>
        <v/>
      </c>
      <c r="P161" s="12" t="str">
        <f>IF(K161=0.2,"CASA","")</f>
        <v/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" customHeight="1" x14ac:dyDescent="0.2">
      <c r="A162" s="5" t="str">
        <f>IF(AND(B162="",ISNUMBER(B163)),CHOOSE(MONTH(B163),"GENNAIO","FEBBRAIO","MARZO","APRILE","MAGGIO","GIUGNO","LUGLIO","AGOSTO","SETTEMBRE","OTTOBRE","NOVEMBRE","DICEMBRE")&amp;" "&amp;YEAR(B163),"")</f>
        <v/>
      </c>
      <c r="B162" s="11"/>
      <c r="C162" s="12"/>
      <c r="D162" s="12" t="str">
        <f>IF(C162="","",C162-IF(C161&lt;&gt;"",C161,IF(C160&lt;&gt;"",C160,IF(C159&lt;&gt;"",C159,0))))</f>
        <v/>
      </c>
      <c r="E162" s="12"/>
      <c r="F162" s="12"/>
      <c r="G162" s="9" t="str">
        <f>IF(AND(E162="",F162=""),"",IF(OR(E162&gt;1,F162&gt;1),(F162-E162)/100,F162-E162))</f>
        <v/>
      </c>
      <c r="H162" s="12" t="str">
        <f>IF(G162="","",64*G162)</f>
        <v/>
      </c>
      <c r="I162" s="13"/>
      <c r="J162" s="13" t="str">
        <f>IFERROR(IF(OR(D162="",D162=0),"",I162/D162*100),"")</f>
        <v/>
      </c>
      <c r="K162" s="14"/>
      <c r="L162" s="13" t="str">
        <f>IF(I162="","",I162*K162)</f>
        <v/>
      </c>
      <c r="M162" s="13" t="str">
        <f>IF(B162="","",IFERROR(SUMPRODUCT(ISNUMBER(B$3:B162)*(MONTH(IF(ISNUMBER(B$3:B162),B$3:B162,1))=MONTH(B162))*(YEAR(IF(ISNUMBER(B$3:B162),B$3:B162,1))=YEAR(B162))*IF(ISNUMBER(L$3:L162),L$3:L162,0)),""))</f>
        <v/>
      </c>
      <c r="N162" s="6"/>
      <c r="O162" s="7" t="str">
        <f>IF(AND(B162="",ISNUMBER(B163)),CHOOSE(MONTH(B163),"GENNAIO","FEBBRAIO","MARZO","APRILE","MAGGIO","GIUGNO","LUGLIO","AGOSTO","SETTEMBRE","OTTOBRE","NOVEMBRE","DICEMBRE")&amp;" "&amp;YEAR(B163),"")</f>
        <v/>
      </c>
      <c r="P162" s="12" t="str">
        <f>IF(K162=0.2,"CASA","")</f>
        <v/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" customHeight="1" x14ac:dyDescent="0.2">
      <c r="A163" s="5" t="str">
        <f>IF(AND(B163="",ISNUMBER(B164)),CHOOSE(MONTH(B164),"GENNAIO","FEBBRAIO","MARZO","APRILE","MAGGIO","GIUGNO","LUGLIO","AGOSTO","SETTEMBRE","OTTOBRE","NOVEMBRE","DICEMBRE")&amp;" "&amp;YEAR(B164),"")</f>
        <v/>
      </c>
      <c r="B163" s="11"/>
      <c r="C163" s="12"/>
      <c r="D163" s="12" t="str">
        <f>IF(C163="","",C163-IF(C162&lt;&gt;"",C162,IF(C161&lt;&gt;"",C161,IF(C160&lt;&gt;"",C160,0))))</f>
        <v/>
      </c>
      <c r="E163" s="12"/>
      <c r="F163" s="12"/>
      <c r="G163" s="9" t="str">
        <f>IF(AND(E163="",F163=""),"",IF(OR(E163&gt;1,F163&gt;1),(F163-E163)/100,F163-E163))</f>
        <v/>
      </c>
      <c r="H163" s="12" t="str">
        <f>IF(G163="","",64*G163)</f>
        <v/>
      </c>
      <c r="I163" s="13"/>
      <c r="J163" s="13" t="str">
        <f>IFERROR(IF(OR(D163="",D163=0),"",I163/D163*100),"")</f>
        <v/>
      </c>
      <c r="K163" s="14"/>
      <c r="L163" s="13" t="str">
        <f>IF(I163="","",I163*K163)</f>
        <v/>
      </c>
      <c r="M163" s="13" t="str">
        <f>IF(B163="","",IFERROR(SUMPRODUCT(ISNUMBER(B$3:B163)*(MONTH(IF(ISNUMBER(B$3:B163),B$3:B163,1))=MONTH(B163))*(YEAR(IF(ISNUMBER(B$3:B163),B$3:B163,1))=YEAR(B163))*IF(ISNUMBER(L$3:L163),L$3:L163,0)),""))</f>
        <v/>
      </c>
      <c r="N163" s="6"/>
      <c r="O163" s="7" t="str">
        <f>IF(AND(B163="",ISNUMBER(B164)),CHOOSE(MONTH(B164),"GENNAIO","FEBBRAIO","MARZO","APRILE","MAGGIO","GIUGNO","LUGLIO","AGOSTO","SETTEMBRE","OTTOBRE","NOVEMBRE","DICEMBRE")&amp;" "&amp;YEAR(B164),"")</f>
        <v/>
      </c>
      <c r="P163" s="12" t="str">
        <f>IF(K163=0.2,"CASA","")</f>
        <v/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" customHeight="1" x14ac:dyDescent="0.2">
      <c r="A164" s="5" t="str">
        <f>IF(AND(B164="",ISNUMBER(B165)),CHOOSE(MONTH(B165),"GENNAIO","FEBBRAIO","MARZO","APRILE","MAGGIO","GIUGNO","LUGLIO","AGOSTO","SETTEMBRE","OTTOBRE","NOVEMBRE","DICEMBRE")&amp;" "&amp;YEAR(B165),"")</f>
        <v/>
      </c>
      <c r="B164" s="11"/>
      <c r="C164" s="12"/>
      <c r="D164" s="12" t="str">
        <f>IF(C164="","",C164-IF(C163&lt;&gt;"",C163,IF(C162&lt;&gt;"",C162,IF(C161&lt;&gt;"",C161,0))))</f>
        <v/>
      </c>
      <c r="E164" s="12"/>
      <c r="F164" s="12"/>
      <c r="G164" s="9" t="str">
        <f>IF(AND(E164="",F164=""),"",IF(OR(E164&gt;1,F164&gt;1),(F164-E164)/100,F164-E164))</f>
        <v/>
      </c>
      <c r="H164" s="12" t="str">
        <f>IF(G164="","",64*G164)</f>
        <v/>
      </c>
      <c r="I164" s="13"/>
      <c r="J164" s="13" t="str">
        <f>IFERROR(IF(OR(D164="",D164=0),"",I164/D164*100),"")</f>
        <v/>
      </c>
      <c r="K164" s="14"/>
      <c r="L164" s="13" t="str">
        <f>IF(I164="","",I164*K164)</f>
        <v/>
      </c>
      <c r="M164" s="13" t="str">
        <f>IF(B164="","",IFERROR(SUMPRODUCT(ISNUMBER(B$3:B164)*(MONTH(IF(ISNUMBER(B$3:B164),B$3:B164,1))=MONTH(B164))*(YEAR(IF(ISNUMBER(B$3:B164),B$3:B164,1))=YEAR(B164))*IF(ISNUMBER(L$3:L164),L$3:L164,0)),""))</f>
        <v/>
      </c>
      <c r="N164" s="6"/>
      <c r="O164" s="7" t="str">
        <f>IF(AND(B164="",ISNUMBER(B165)),CHOOSE(MONTH(B165),"GENNAIO","FEBBRAIO","MARZO","APRILE","MAGGIO","GIUGNO","LUGLIO","AGOSTO","SETTEMBRE","OTTOBRE","NOVEMBRE","DICEMBRE")&amp;" "&amp;YEAR(B165),"")</f>
        <v/>
      </c>
      <c r="P164" s="12" t="str">
        <f>IF(K164=0.2,"CASA","")</f>
        <v/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" customHeight="1" x14ac:dyDescent="0.2">
      <c r="A165" s="5" t="str">
        <f>IF(AND(B165="",ISNUMBER(B166)),CHOOSE(MONTH(B166),"GENNAIO","FEBBRAIO","MARZO","APRILE","MAGGIO","GIUGNO","LUGLIO","AGOSTO","SETTEMBRE","OTTOBRE","NOVEMBRE","DICEMBRE")&amp;" "&amp;YEAR(B166),"")</f>
        <v/>
      </c>
      <c r="B165" s="11"/>
      <c r="C165" s="12"/>
      <c r="D165" s="12" t="str">
        <f>IF(C165="","",C165-IF(C164&lt;&gt;"",C164,IF(C163&lt;&gt;"",C163,IF(C162&lt;&gt;"",C162,0))))</f>
        <v/>
      </c>
      <c r="E165" s="12"/>
      <c r="F165" s="12"/>
      <c r="G165" s="9" t="str">
        <f>IF(AND(E165="",F165=""),"",IF(OR(E165&gt;1,F165&gt;1),(F165-E165)/100,F165-E165))</f>
        <v/>
      </c>
      <c r="H165" s="12" t="str">
        <f>IF(G165="","",64*G165)</f>
        <v/>
      </c>
      <c r="I165" s="13"/>
      <c r="J165" s="13" t="str">
        <f>IFERROR(IF(OR(D165="",D165=0),"",I165/D165*100),"")</f>
        <v/>
      </c>
      <c r="K165" s="14"/>
      <c r="L165" s="13" t="str">
        <f>IF(I165="","",I165*K165)</f>
        <v/>
      </c>
      <c r="M165" s="13" t="str">
        <f>IF(B165="","",IFERROR(SUMPRODUCT(ISNUMBER(B$3:B165)*(MONTH(IF(ISNUMBER(B$3:B165),B$3:B165,1))=MONTH(B165))*(YEAR(IF(ISNUMBER(B$3:B165),B$3:B165,1))=YEAR(B165))*IF(ISNUMBER(L$3:L165),L$3:L165,0)),""))</f>
        <v/>
      </c>
      <c r="N165" s="6"/>
      <c r="O165" s="7" t="str">
        <f>IF(AND(B165="",ISNUMBER(B166)),CHOOSE(MONTH(B166),"GENNAIO","FEBBRAIO","MARZO","APRILE","MAGGIO","GIUGNO","LUGLIO","AGOSTO","SETTEMBRE","OTTOBRE","NOVEMBRE","DICEMBRE")&amp;" "&amp;YEAR(B166),"")</f>
        <v/>
      </c>
      <c r="P165" s="12" t="str">
        <f>IF(K165=0.2,"CASA","")</f>
        <v/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" customHeight="1" x14ac:dyDescent="0.2">
      <c r="A166" s="5" t="str">
        <f>IF(AND(B166="",ISNUMBER(B167)),CHOOSE(MONTH(B167),"GENNAIO","FEBBRAIO","MARZO","APRILE","MAGGIO","GIUGNO","LUGLIO","AGOSTO","SETTEMBRE","OTTOBRE","NOVEMBRE","DICEMBRE")&amp;" "&amp;YEAR(B167),"")</f>
        <v/>
      </c>
      <c r="B166" s="11"/>
      <c r="C166" s="12"/>
      <c r="D166" s="12" t="str">
        <f>IF(C166="","",C166-IF(C165&lt;&gt;"",C165,IF(C164&lt;&gt;"",C164,IF(C163&lt;&gt;"",C163,0))))</f>
        <v/>
      </c>
      <c r="E166" s="12"/>
      <c r="F166" s="12"/>
      <c r="G166" s="9" t="str">
        <f>IF(AND(E166="",F166=""),"",IF(OR(E166&gt;1,F166&gt;1),(F166-E166)/100,F166-E166))</f>
        <v/>
      </c>
      <c r="H166" s="12" t="str">
        <f>IF(G166="","",64*G166)</f>
        <v/>
      </c>
      <c r="I166" s="13"/>
      <c r="J166" s="13" t="str">
        <f>IFERROR(IF(OR(D166="",D166=0),"",I166/D166*100),"")</f>
        <v/>
      </c>
      <c r="K166" s="14"/>
      <c r="L166" s="13" t="str">
        <f>IF(I166="","",I166*K166)</f>
        <v/>
      </c>
      <c r="M166" s="13" t="str">
        <f>IF(B166="","",IFERROR(SUMPRODUCT(ISNUMBER(B$3:B166)*(MONTH(IF(ISNUMBER(B$3:B166),B$3:B166,1))=MONTH(B166))*(YEAR(IF(ISNUMBER(B$3:B166),B$3:B166,1))=YEAR(B166))*IF(ISNUMBER(L$3:L166),L$3:L166,0)),""))</f>
        <v/>
      </c>
      <c r="N166" s="6"/>
      <c r="O166" s="7" t="str">
        <f>IF(AND(B166="",ISNUMBER(B167)),CHOOSE(MONTH(B167),"GENNAIO","FEBBRAIO","MARZO","APRILE","MAGGIO","GIUGNO","LUGLIO","AGOSTO","SETTEMBRE","OTTOBRE","NOVEMBRE","DICEMBRE")&amp;" "&amp;YEAR(B167),"")</f>
        <v/>
      </c>
      <c r="P166" s="12" t="str">
        <f>IF(K166=0.2,"CASA","")</f>
        <v/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" customHeight="1" x14ac:dyDescent="0.2">
      <c r="A167" s="5" t="str">
        <f>IF(AND(B167="",ISNUMBER(B168)),CHOOSE(MONTH(B168),"GENNAIO","FEBBRAIO","MARZO","APRILE","MAGGIO","GIUGNO","LUGLIO","AGOSTO","SETTEMBRE","OTTOBRE","NOVEMBRE","DICEMBRE")&amp;" "&amp;YEAR(B168),"")</f>
        <v/>
      </c>
      <c r="B167" s="11"/>
      <c r="C167" s="12"/>
      <c r="D167" s="12" t="str">
        <f>IF(C167="","",C167-IF(C166&lt;&gt;"",C166,IF(C165&lt;&gt;"",C165,IF(C164&lt;&gt;"",C164,0))))</f>
        <v/>
      </c>
      <c r="E167" s="12"/>
      <c r="F167" s="12"/>
      <c r="G167" s="9" t="str">
        <f>IF(AND(E167="",F167=""),"",IF(OR(E167&gt;1,F167&gt;1),(F167-E167)/100,F167-E167))</f>
        <v/>
      </c>
      <c r="H167" s="12" t="str">
        <f>IF(G167="","",64*G167)</f>
        <v/>
      </c>
      <c r="I167" s="13"/>
      <c r="J167" s="13" t="str">
        <f>IFERROR(IF(OR(D167="",D167=0),"",I167/D167*100),"")</f>
        <v/>
      </c>
      <c r="K167" s="14"/>
      <c r="L167" s="13" t="str">
        <f>IF(I167="","",I167*K167)</f>
        <v/>
      </c>
      <c r="M167" s="13" t="str">
        <f>IF(B167="","",IFERROR(SUMPRODUCT(ISNUMBER(B$3:B167)*(MONTH(IF(ISNUMBER(B$3:B167),B$3:B167,1))=MONTH(B167))*(YEAR(IF(ISNUMBER(B$3:B167),B$3:B167,1))=YEAR(B167))*IF(ISNUMBER(L$3:L167),L$3:L167,0)),""))</f>
        <v/>
      </c>
      <c r="N167" s="6"/>
      <c r="O167" s="7" t="str">
        <f>IF(AND(B167="",ISNUMBER(B168)),CHOOSE(MONTH(B168),"GENNAIO","FEBBRAIO","MARZO","APRILE","MAGGIO","GIUGNO","LUGLIO","AGOSTO","SETTEMBRE","OTTOBRE","NOVEMBRE","DICEMBRE")&amp;" "&amp;YEAR(B168),"")</f>
        <v/>
      </c>
      <c r="P167" s="12" t="str">
        <f>IF(K167=0.2,"CASA","")</f>
        <v/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" customHeight="1" x14ac:dyDescent="0.2">
      <c r="A168" s="5" t="str">
        <f>IF(AND(B168="",ISNUMBER(B169)),CHOOSE(MONTH(B169),"GENNAIO","FEBBRAIO","MARZO","APRILE","MAGGIO","GIUGNO","LUGLIO","AGOSTO","SETTEMBRE","OTTOBRE","NOVEMBRE","DICEMBRE")&amp;" "&amp;YEAR(B169),"")</f>
        <v/>
      </c>
      <c r="B168" s="11"/>
      <c r="C168" s="12"/>
      <c r="D168" s="12" t="str">
        <f>IF(C168="","",C168-IF(C167&lt;&gt;"",C167,IF(C166&lt;&gt;"",C166,IF(C165&lt;&gt;"",C165,0))))</f>
        <v/>
      </c>
      <c r="E168" s="12"/>
      <c r="F168" s="12"/>
      <c r="G168" s="9" t="str">
        <f>IF(AND(E168="",F168=""),"",IF(OR(E168&gt;1,F168&gt;1),(F168-E168)/100,F168-E168))</f>
        <v/>
      </c>
      <c r="H168" s="12" t="str">
        <f>IF(G168="","",64*G168)</f>
        <v/>
      </c>
      <c r="I168" s="13"/>
      <c r="J168" s="13" t="str">
        <f>IFERROR(IF(OR(D168="",D168=0),"",I168/D168*100),"")</f>
        <v/>
      </c>
      <c r="K168" s="14"/>
      <c r="L168" s="13" t="str">
        <f>IF(I168="","",I168*K168)</f>
        <v/>
      </c>
      <c r="M168" s="13" t="str">
        <f>IF(B168="","",IFERROR(SUMPRODUCT(ISNUMBER(B$3:B168)*(MONTH(IF(ISNUMBER(B$3:B168),B$3:B168,1))=MONTH(B168))*(YEAR(IF(ISNUMBER(B$3:B168),B$3:B168,1))=YEAR(B168))*IF(ISNUMBER(L$3:L168),L$3:L168,0)),""))</f>
        <v/>
      </c>
      <c r="N168" s="6"/>
      <c r="O168" s="7" t="str">
        <f>IF(AND(B168="",ISNUMBER(B169)),CHOOSE(MONTH(B169),"GENNAIO","FEBBRAIO","MARZO","APRILE","MAGGIO","GIUGNO","LUGLIO","AGOSTO","SETTEMBRE","OTTOBRE","NOVEMBRE","DICEMBRE")&amp;" "&amp;YEAR(B169),"")</f>
        <v/>
      </c>
      <c r="P168" s="12" t="str">
        <f>IF(K168=0.2,"CASA","")</f>
        <v/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" customHeight="1" x14ac:dyDescent="0.2">
      <c r="A169" s="5" t="str">
        <f>IF(AND(B169="",ISNUMBER(B170)),CHOOSE(MONTH(B170),"GENNAIO","FEBBRAIO","MARZO","APRILE","MAGGIO","GIUGNO","LUGLIO","AGOSTO","SETTEMBRE","OTTOBRE","NOVEMBRE","DICEMBRE")&amp;" "&amp;YEAR(B170),"")</f>
        <v/>
      </c>
      <c r="B169" s="11"/>
      <c r="C169" s="12"/>
      <c r="D169" s="12" t="str">
        <f>IF(C169="","",C169-IF(C168&lt;&gt;"",C168,IF(C167&lt;&gt;"",C167,IF(C166&lt;&gt;"",C166,0))))</f>
        <v/>
      </c>
      <c r="E169" s="12"/>
      <c r="F169" s="12"/>
      <c r="G169" s="9" t="str">
        <f>IF(AND(E169="",F169=""),"",IF(OR(E169&gt;1,F169&gt;1),(F169-E169)/100,F169-E169))</f>
        <v/>
      </c>
      <c r="H169" s="12" t="str">
        <f>IF(G169="","",64*G169)</f>
        <v/>
      </c>
      <c r="I169" s="13"/>
      <c r="J169" s="13" t="str">
        <f>IFERROR(IF(OR(D169="",D169=0),"",I169/D169*100),"")</f>
        <v/>
      </c>
      <c r="K169" s="14"/>
      <c r="L169" s="13" t="str">
        <f>IF(I169="","",I169*K169)</f>
        <v/>
      </c>
      <c r="M169" s="13" t="str">
        <f>IF(B169="","",IFERROR(SUMPRODUCT(ISNUMBER(B$3:B169)*(MONTH(IF(ISNUMBER(B$3:B169),B$3:B169,1))=MONTH(B169))*(YEAR(IF(ISNUMBER(B$3:B169),B$3:B169,1))=YEAR(B169))*IF(ISNUMBER(L$3:L169),L$3:L169,0)),""))</f>
        <v/>
      </c>
      <c r="N169" s="6"/>
      <c r="O169" s="7" t="str">
        <f>IF(AND(B169="",ISNUMBER(B170)),CHOOSE(MONTH(B170),"GENNAIO","FEBBRAIO","MARZO","APRILE","MAGGIO","GIUGNO","LUGLIO","AGOSTO","SETTEMBRE","OTTOBRE","NOVEMBRE","DICEMBRE")&amp;" "&amp;YEAR(B170),"")</f>
        <v/>
      </c>
      <c r="P169" s="12" t="str">
        <f>IF(K169=0.2,"CASA","")</f>
        <v/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" customHeight="1" x14ac:dyDescent="0.2">
      <c r="A170" s="5" t="str">
        <f>IF(AND(B170="",ISNUMBER(B171)),CHOOSE(MONTH(B171),"GENNAIO","FEBBRAIO","MARZO","APRILE","MAGGIO","GIUGNO","LUGLIO","AGOSTO","SETTEMBRE","OTTOBRE","NOVEMBRE","DICEMBRE")&amp;" "&amp;YEAR(B171),"")</f>
        <v/>
      </c>
      <c r="B170" s="11"/>
      <c r="C170" s="12"/>
      <c r="D170" s="12" t="str">
        <f>IF(C170="","",C170-IF(C169&lt;&gt;"",C169,IF(C168&lt;&gt;"",C168,IF(C167&lt;&gt;"",C167,0))))</f>
        <v/>
      </c>
      <c r="E170" s="12"/>
      <c r="F170" s="12"/>
      <c r="G170" s="9" t="str">
        <f>IF(AND(E170="",F170=""),"",IF(OR(E170&gt;1,F170&gt;1),(F170-E170)/100,F170-E170))</f>
        <v/>
      </c>
      <c r="H170" s="12" t="str">
        <f>IF(G170="","",64*G170)</f>
        <v/>
      </c>
      <c r="I170" s="13"/>
      <c r="J170" s="13" t="str">
        <f>IFERROR(IF(OR(D170="",D170=0),"",I170/D170*100),"")</f>
        <v/>
      </c>
      <c r="K170" s="14"/>
      <c r="L170" s="13" t="str">
        <f>IF(I170="","",I170*K170)</f>
        <v/>
      </c>
      <c r="M170" s="13" t="str">
        <f>IF(B170="","",IFERROR(SUMPRODUCT(ISNUMBER(B$3:B170)*(MONTH(IF(ISNUMBER(B$3:B170),B$3:B170,1))=MONTH(B170))*(YEAR(IF(ISNUMBER(B$3:B170),B$3:B170,1))=YEAR(B170))*IF(ISNUMBER(L$3:L170),L$3:L170,0)),""))</f>
        <v/>
      </c>
      <c r="N170" s="6"/>
      <c r="O170" s="7" t="str">
        <f>IF(AND(B170="",ISNUMBER(B171)),CHOOSE(MONTH(B171),"GENNAIO","FEBBRAIO","MARZO","APRILE","MAGGIO","GIUGNO","LUGLIO","AGOSTO","SETTEMBRE","OTTOBRE","NOVEMBRE","DICEMBRE")&amp;" "&amp;YEAR(B171),"")</f>
        <v/>
      </c>
      <c r="P170" s="12" t="str">
        <f>IF(K170=0.2,"CASA","")</f>
        <v/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" customHeight="1" x14ac:dyDescent="0.2">
      <c r="A171" s="5" t="str">
        <f>IF(AND(B171="",ISNUMBER(B172)),CHOOSE(MONTH(B172),"GENNAIO","FEBBRAIO","MARZO","APRILE","MAGGIO","GIUGNO","LUGLIO","AGOSTO","SETTEMBRE","OTTOBRE","NOVEMBRE","DICEMBRE")&amp;" "&amp;YEAR(B172),"")</f>
        <v/>
      </c>
      <c r="B171" s="11"/>
      <c r="C171" s="12"/>
      <c r="D171" s="12" t="str">
        <f>IF(C171="","",C171-IF(C170&lt;&gt;"",C170,IF(C169&lt;&gt;"",C169,IF(C168&lt;&gt;"",C168,0))))</f>
        <v/>
      </c>
      <c r="E171" s="12"/>
      <c r="F171" s="12"/>
      <c r="G171" s="9" t="str">
        <f>IF(AND(E171="",F171=""),"",IF(OR(E171&gt;1,F171&gt;1),(F171-E171)/100,F171-E171))</f>
        <v/>
      </c>
      <c r="H171" s="12" t="str">
        <f>IF(G171="","",64*G171)</f>
        <v/>
      </c>
      <c r="I171" s="13"/>
      <c r="J171" s="13" t="str">
        <f>IFERROR(IF(OR(D171="",D171=0),"",I171/D171*100),"")</f>
        <v/>
      </c>
      <c r="K171" s="14"/>
      <c r="L171" s="13" t="str">
        <f>IF(I171="","",I171*K171)</f>
        <v/>
      </c>
      <c r="M171" s="13" t="str">
        <f>IF(B171="","",IFERROR(SUMPRODUCT(ISNUMBER(B$3:B171)*(MONTH(IF(ISNUMBER(B$3:B171),B$3:B171,1))=MONTH(B171))*(YEAR(IF(ISNUMBER(B$3:B171),B$3:B171,1))=YEAR(B171))*IF(ISNUMBER(L$3:L171),L$3:L171,0)),""))</f>
        <v/>
      </c>
      <c r="N171" s="6"/>
      <c r="O171" s="7" t="str">
        <f>IF(AND(B171="",ISNUMBER(B172)),CHOOSE(MONTH(B172),"GENNAIO","FEBBRAIO","MARZO","APRILE","MAGGIO","GIUGNO","LUGLIO","AGOSTO","SETTEMBRE","OTTOBRE","NOVEMBRE","DICEMBRE")&amp;" "&amp;YEAR(B172),"")</f>
        <v/>
      </c>
      <c r="P171" s="12" t="str">
        <f>IF(K171=0.2,"CASA","")</f>
        <v/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" customHeight="1" x14ac:dyDescent="0.2">
      <c r="A172" s="5" t="str">
        <f>IF(AND(B172="",ISNUMBER(B173)),CHOOSE(MONTH(B173),"GENNAIO","FEBBRAIO","MARZO","APRILE","MAGGIO","GIUGNO","LUGLIO","AGOSTO","SETTEMBRE","OTTOBRE","NOVEMBRE","DICEMBRE")&amp;" "&amp;YEAR(B173),"")</f>
        <v/>
      </c>
      <c r="B172" s="11"/>
      <c r="C172" s="12"/>
      <c r="D172" s="12" t="str">
        <f>IF(C172="","",C172-IF(C171&lt;&gt;"",C171,IF(C170&lt;&gt;"",C170,IF(C169&lt;&gt;"",C169,0))))</f>
        <v/>
      </c>
      <c r="E172" s="12"/>
      <c r="F172" s="12"/>
      <c r="G172" s="9" t="str">
        <f>IF(AND(E172="",F172=""),"",IF(OR(E172&gt;1,F172&gt;1),(F172-E172)/100,F172-E172))</f>
        <v/>
      </c>
      <c r="H172" s="12" t="str">
        <f>IF(G172="","",64*G172)</f>
        <v/>
      </c>
      <c r="I172" s="13"/>
      <c r="J172" s="13" t="str">
        <f>IFERROR(IF(OR(D172="",D172=0),"",I172/D172*100),"")</f>
        <v/>
      </c>
      <c r="K172" s="14"/>
      <c r="L172" s="13" t="str">
        <f>IF(I172="","",I172*K172)</f>
        <v/>
      </c>
      <c r="M172" s="13" t="str">
        <f>IF(B172="","",IFERROR(SUMPRODUCT(ISNUMBER(B$3:B172)*(MONTH(IF(ISNUMBER(B$3:B172),B$3:B172,1))=MONTH(B172))*(YEAR(IF(ISNUMBER(B$3:B172),B$3:B172,1))=YEAR(B172))*IF(ISNUMBER(L$3:L172),L$3:L172,0)),""))</f>
        <v/>
      </c>
      <c r="N172" s="6"/>
      <c r="O172" s="7" t="str">
        <f>IF(AND(B172="",ISNUMBER(B173)),CHOOSE(MONTH(B173),"GENNAIO","FEBBRAIO","MARZO","APRILE","MAGGIO","GIUGNO","LUGLIO","AGOSTO","SETTEMBRE","OTTOBRE","NOVEMBRE","DICEMBRE")&amp;" "&amp;YEAR(B173),"")</f>
        <v/>
      </c>
      <c r="P172" s="12" t="str">
        <f>IF(K172=0.2,"CASA","")</f>
        <v/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" customHeight="1" x14ac:dyDescent="0.2">
      <c r="A173" s="5" t="str">
        <f>IF(AND(B173="",ISNUMBER(B174)),CHOOSE(MONTH(B174),"GENNAIO","FEBBRAIO","MARZO","APRILE","MAGGIO","GIUGNO","LUGLIO","AGOSTO","SETTEMBRE","OTTOBRE","NOVEMBRE","DICEMBRE")&amp;" "&amp;YEAR(B174),"")</f>
        <v/>
      </c>
      <c r="B173" s="11"/>
      <c r="C173" s="12"/>
      <c r="D173" s="12" t="str">
        <f>IF(C173="","",C173-IF(C172&lt;&gt;"",C172,IF(C171&lt;&gt;"",C171,IF(C170&lt;&gt;"",C170,0))))</f>
        <v/>
      </c>
      <c r="E173" s="12"/>
      <c r="F173" s="12"/>
      <c r="G173" s="9" t="str">
        <f>IF(AND(E173="",F173=""),"",IF(OR(E173&gt;1,F173&gt;1),(F173-E173)/100,F173-E173))</f>
        <v/>
      </c>
      <c r="H173" s="12" t="str">
        <f>IF(G173="","",64*G173)</f>
        <v/>
      </c>
      <c r="I173" s="13"/>
      <c r="J173" s="13" t="str">
        <f>IFERROR(IF(OR(D173="",D173=0),"",I173/D173*100),"")</f>
        <v/>
      </c>
      <c r="K173" s="14"/>
      <c r="L173" s="13" t="str">
        <f>IF(I173="","",I173*K173)</f>
        <v/>
      </c>
      <c r="M173" s="13" t="str">
        <f>IF(B173="","",IFERROR(SUMPRODUCT(ISNUMBER(B$3:B173)*(MONTH(IF(ISNUMBER(B$3:B173),B$3:B173,1))=MONTH(B173))*(YEAR(IF(ISNUMBER(B$3:B173),B$3:B173,1))=YEAR(B173))*IF(ISNUMBER(L$3:L173),L$3:L173,0)),""))</f>
        <v/>
      </c>
      <c r="N173" s="6"/>
      <c r="O173" s="7" t="str">
        <f>IF(AND(B173="",ISNUMBER(B174)),CHOOSE(MONTH(B174),"GENNAIO","FEBBRAIO","MARZO","APRILE","MAGGIO","GIUGNO","LUGLIO","AGOSTO","SETTEMBRE","OTTOBRE","NOVEMBRE","DICEMBRE")&amp;" "&amp;YEAR(B174),"")</f>
        <v/>
      </c>
      <c r="P173" s="12" t="str">
        <f>IF(K173=0.2,"CASA","")</f>
        <v/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" customHeight="1" x14ac:dyDescent="0.2">
      <c r="A174" s="5" t="str">
        <f>IF(AND(B174="",ISNUMBER(B175)),CHOOSE(MONTH(B175),"GENNAIO","FEBBRAIO","MARZO","APRILE","MAGGIO","GIUGNO","LUGLIO","AGOSTO","SETTEMBRE","OTTOBRE","NOVEMBRE","DICEMBRE")&amp;" "&amp;YEAR(B175),"")</f>
        <v/>
      </c>
      <c r="B174" s="11"/>
      <c r="C174" s="12"/>
      <c r="D174" s="12" t="str">
        <f>IF(C174="","",C174-IF(C173&lt;&gt;"",C173,IF(C172&lt;&gt;"",C172,IF(C171&lt;&gt;"",C171,0))))</f>
        <v/>
      </c>
      <c r="E174" s="12"/>
      <c r="F174" s="12"/>
      <c r="G174" s="9" t="str">
        <f>IF(AND(E174="",F174=""),"",IF(OR(E174&gt;1,F174&gt;1),(F174-E174)/100,F174-E174))</f>
        <v/>
      </c>
      <c r="H174" s="12" t="str">
        <f>IF(G174="","",64*G174)</f>
        <v/>
      </c>
      <c r="I174" s="13"/>
      <c r="J174" s="13" t="str">
        <f>IFERROR(IF(OR(D174="",D174=0),"",I174/D174*100),"")</f>
        <v/>
      </c>
      <c r="K174" s="14"/>
      <c r="L174" s="13" t="str">
        <f>IF(I174="","",I174*K174)</f>
        <v/>
      </c>
      <c r="M174" s="13" t="str">
        <f>IF(B174="","",IFERROR(SUMPRODUCT(ISNUMBER(B$3:B174)*(MONTH(IF(ISNUMBER(B$3:B174),B$3:B174,1))=MONTH(B174))*(YEAR(IF(ISNUMBER(B$3:B174),B$3:B174,1))=YEAR(B174))*IF(ISNUMBER(L$3:L174),L$3:L174,0)),""))</f>
        <v/>
      </c>
      <c r="N174" s="6"/>
      <c r="O174" s="7" t="str">
        <f>IF(AND(B174="",ISNUMBER(B175)),CHOOSE(MONTH(B175),"GENNAIO","FEBBRAIO","MARZO","APRILE","MAGGIO","GIUGNO","LUGLIO","AGOSTO","SETTEMBRE","OTTOBRE","NOVEMBRE","DICEMBRE")&amp;" "&amp;YEAR(B175),"")</f>
        <v/>
      </c>
      <c r="P174" s="12" t="str">
        <f>IF(K174=0.2,"CASA","")</f>
        <v/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" customHeight="1" x14ac:dyDescent="0.2">
      <c r="A175" s="5" t="str">
        <f>IF(AND(B175="",ISNUMBER(B176)),CHOOSE(MONTH(B176),"GENNAIO","FEBBRAIO","MARZO","APRILE","MAGGIO","GIUGNO","LUGLIO","AGOSTO","SETTEMBRE","OTTOBRE","NOVEMBRE","DICEMBRE")&amp;" "&amp;YEAR(B176),"")</f>
        <v/>
      </c>
      <c r="B175" s="11"/>
      <c r="C175" s="12"/>
      <c r="D175" s="12" t="str">
        <f>IF(C175="","",C175-IF(C174&lt;&gt;"",C174,IF(C173&lt;&gt;"",C173,IF(C172&lt;&gt;"",C172,0))))</f>
        <v/>
      </c>
      <c r="E175" s="12"/>
      <c r="F175" s="12"/>
      <c r="G175" s="9" t="str">
        <f>IF(AND(E175="",F175=""),"",IF(OR(E175&gt;1,F175&gt;1),(F175-E175)/100,F175-E175))</f>
        <v/>
      </c>
      <c r="H175" s="12" t="str">
        <f>IF(G175="","",64*G175)</f>
        <v/>
      </c>
      <c r="I175" s="13"/>
      <c r="J175" s="13" t="str">
        <f>IFERROR(IF(OR(D175="",D175=0),"",I175/D175*100),"")</f>
        <v/>
      </c>
      <c r="K175" s="14"/>
      <c r="L175" s="13" t="str">
        <f>IF(I175="","",I175*K175)</f>
        <v/>
      </c>
      <c r="M175" s="13" t="str">
        <f>IF(B175="","",IFERROR(SUMPRODUCT(ISNUMBER(B$3:B175)*(MONTH(IF(ISNUMBER(B$3:B175),B$3:B175,1))=MONTH(B175))*(YEAR(IF(ISNUMBER(B$3:B175),B$3:B175,1))=YEAR(B175))*IF(ISNUMBER(L$3:L175),L$3:L175,0)),""))</f>
        <v/>
      </c>
      <c r="N175" s="6"/>
      <c r="O175" s="7" t="str">
        <f>IF(AND(B175="",ISNUMBER(B176)),CHOOSE(MONTH(B176),"GENNAIO","FEBBRAIO","MARZO","APRILE","MAGGIO","GIUGNO","LUGLIO","AGOSTO","SETTEMBRE","OTTOBRE","NOVEMBRE","DICEMBRE")&amp;" "&amp;YEAR(B176),"")</f>
        <v/>
      </c>
      <c r="P175" s="12" t="str">
        <f>IF(K175=0.2,"CASA","")</f>
        <v/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" customHeight="1" x14ac:dyDescent="0.2">
      <c r="A176" s="5" t="str">
        <f>IF(AND(B176="",ISNUMBER(B177)),CHOOSE(MONTH(B177),"GENNAIO","FEBBRAIO","MARZO","APRILE","MAGGIO","GIUGNO","LUGLIO","AGOSTO","SETTEMBRE","OTTOBRE","NOVEMBRE","DICEMBRE")&amp;" "&amp;YEAR(B177),"")</f>
        <v/>
      </c>
      <c r="B176" s="11"/>
      <c r="C176" s="12"/>
      <c r="D176" s="12" t="str">
        <f>IF(C176="","",C176-IF(C175&lt;&gt;"",C175,IF(C174&lt;&gt;"",C174,IF(C173&lt;&gt;"",C173,0))))</f>
        <v/>
      </c>
      <c r="E176" s="12"/>
      <c r="F176" s="12"/>
      <c r="G176" s="9" t="str">
        <f>IF(AND(E176="",F176=""),"",IF(OR(E176&gt;1,F176&gt;1),(F176-E176)/100,F176-E176))</f>
        <v/>
      </c>
      <c r="H176" s="12" t="str">
        <f>IF(G176="","",64*G176)</f>
        <v/>
      </c>
      <c r="I176" s="13"/>
      <c r="J176" s="13" t="str">
        <f>IFERROR(IF(OR(D176="",D176=0),"",I176/D176*100),"")</f>
        <v/>
      </c>
      <c r="K176" s="14"/>
      <c r="L176" s="13" t="str">
        <f>IF(I176="","",I176*K176)</f>
        <v/>
      </c>
      <c r="M176" s="13" t="str">
        <f>IF(B176="","",IFERROR(SUMPRODUCT(ISNUMBER(B$3:B176)*(MONTH(IF(ISNUMBER(B$3:B176),B$3:B176,1))=MONTH(B176))*(YEAR(IF(ISNUMBER(B$3:B176),B$3:B176,1))=YEAR(B176))*IF(ISNUMBER(L$3:L176),L$3:L176,0)),""))</f>
        <v/>
      </c>
      <c r="N176" s="6"/>
      <c r="O176" s="7" t="str">
        <f>IF(AND(B176="",ISNUMBER(B177)),CHOOSE(MONTH(B177),"GENNAIO","FEBBRAIO","MARZO","APRILE","MAGGIO","GIUGNO","LUGLIO","AGOSTO","SETTEMBRE","OTTOBRE","NOVEMBRE","DICEMBRE")&amp;" "&amp;YEAR(B177),"")</f>
        <v/>
      </c>
      <c r="P176" s="12" t="str">
        <f>IF(K176=0.2,"CASA","")</f>
        <v/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" customHeight="1" x14ac:dyDescent="0.2">
      <c r="A177" s="5" t="str">
        <f>IF(AND(B177="",ISNUMBER(B178)),CHOOSE(MONTH(B178),"GENNAIO","FEBBRAIO","MARZO","APRILE","MAGGIO","GIUGNO","LUGLIO","AGOSTO","SETTEMBRE","OTTOBRE","NOVEMBRE","DICEMBRE")&amp;" "&amp;YEAR(B178),"")</f>
        <v/>
      </c>
      <c r="B177" s="11"/>
      <c r="C177" s="12"/>
      <c r="D177" s="12" t="str">
        <f>IF(C177="","",C177-IF(C176&lt;&gt;"",C176,IF(C175&lt;&gt;"",C175,IF(C174&lt;&gt;"",C174,0))))</f>
        <v/>
      </c>
      <c r="E177" s="12"/>
      <c r="F177" s="12"/>
      <c r="G177" s="9" t="str">
        <f>IF(AND(E177="",F177=""),"",IF(OR(E177&gt;1,F177&gt;1),(F177-E177)/100,F177-E177))</f>
        <v/>
      </c>
      <c r="H177" s="12" t="str">
        <f>IF(G177="","",64*G177)</f>
        <v/>
      </c>
      <c r="I177" s="13"/>
      <c r="J177" s="13" t="str">
        <f>IFERROR(IF(OR(D177="",D177=0),"",I177/D177*100),"")</f>
        <v/>
      </c>
      <c r="K177" s="14"/>
      <c r="L177" s="13" t="str">
        <f>IF(I177="","",I177*K177)</f>
        <v/>
      </c>
      <c r="M177" s="13" t="str">
        <f>IF(B177="","",IFERROR(SUMPRODUCT(ISNUMBER(B$3:B177)*(MONTH(IF(ISNUMBER(B$3:B177),B$3:B177,1))=MONTH(B177))*(YEAR(IF(ISNUMBER(B$3:B177),B$3:B177,1))=YEAR(B177))*IF(ISNUMBER(L$3:L177),L$3:L177,0)),""))</f>
        <v/>
      </c>
      <c r="N177" s="6"/>
      <c r="O177" s="7" t="str">
        <f>IF(AND(B177="",ISNUMBER(B178)),CHOOSE(MONTH(B178),"GENNAIO","FEBBRAIO","MARZO","APRILE","MAGGIO","GIUGNO","LUGLIO","AGOSTO","SETTEMBRE","OTTOBRE","NOVEMBRE","DICEMBRE")&amp;" "&amp;YEAR(B178),"")</f>
        <v/>
      </c>
      <c r="P177" s="12" t="str">
        <f>IF(K177=0.2,"CASA","")</f>
        <v/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" customHeight="1" x14ac:dyDescent="0.2">
      <c r="A178" s="5" t="str">
        <f>IF(AND(B178="",ISNUMBER(B179)),CHOOSE(MONTH(B179),"GENNAIO","FEBBRAIO","MARZO","APRILE","MAGGIO","GIUGNO","LUGLIO","AGOSTO","SETTEMBRE","OTTOBRE","NOVEMBRE","DICEMBRE")&amp;" "&amp;YEAR(B179),"")</f>
        <v/>
      </c>
      <c r="B178" s="11"/>
      <c r="C178" s="12"/>
      <c r="D178" s="12" t="str">
        <f>IF(C178="","",C178-IF(C177&lt;&gt;"",C177,IF(C176&lt;&gt;"",C176,IF(C175&lt;&gt;"",C175,0))))</f>
        <v/>
      </c>
      <c r="E178" s="12"/>
      <c r="F178" s="12"/>
      <c r="G178" s="9" t="str">
        <f>IF(AND(E178="",F178=""),"",IF(OR(E178&gt;1,F178&gt;1),(F178-E178)/100,F178-E178))</f>
        <v/>
      </c>
      <c r="H178" s="12" t="str">
        <f>IF(G178="","",64*G178)</f>
        <v/>
      </c>
      <c r="I178" s="13"/>
      <c r="J178" s="13" t="str">
        <f>IFERROR(IF(OR(D178="",D178=0),"",I178/D178*100),"")</f>
        <v/>
      </c>
      <c r="K178" s="14"/>
      <c r="L178" s="13" t="str">
        <f>IF(I178="","",I178*K178)</f>
        <v/>
      </c>
      <c r="M178" s="13" t="str">
        <f>IF(B178="","",IFERROR(SUMPRODUCT(ISNUMBER(B$3:B178)*(MONTH(IF(ISNUMBER(B$3:B178),B$3:B178,1))=MONTH(B178))*(YEAR(IF(ISNUMBER(B$3:B178),B$3:B178,1))=YEAR(B178))*IF(ISNUMBER(L$3:L178),L$3:L178,0)),""))</f>
        <v/>
      </c>
      <c r="N178" s="6"/>
      <c r="O178" s="7" t="str">
        <f>IF(AND(B178="",ISNUMBER(B179)),CHOOSE(MONTH(B179),"GENNAIO","FEBBRAIO","MARZO","APRILE","MAGGIO","GIUGNO","LUGLIO","AGOSTO","SETTEMBRE","OTTOBRE","NOVEMBRE","DICEMBRE")&amp;" "&amp;YEAR(B179),"")</f>
        <v/>
      </c>
      <c r="P178" s="12" t="str">
        <f>IF(K178=0.2,"CASA","")</f>
        <v/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" customHeight="1" x14ac:dyDescent="0.2">
      <c r="A179" s="5" t="str">
        <f>IF(AND(B179="",ISNUMBER(B180)),CHOOSE(MONTH(B180),"GENNAIO","FEBBRAIO","MARZO","APRILE","MAGGIO","GIUGNO","LUGLIO","AGOSTO","SETTEMBRE","OTTOBRE","NOVEMBRE","DICEMBRE")&amp;" "&amp;YEAR(B180),"")</f>
        <v/>
      </c>
      <c r="B179" s="11"/>
      <c r="C179" s="12"/>
      <c r="D179" s="12" t="str">
        <f>IF(C179="","",C179-IF(C178&lt;&gt;"",C178,IF(C177&lt;&gt;"",C177,IF(C176&lt;&gt;"",C176,0))))</f>
        <v/>
      </c>
      <c r="E179" s="12"/>
      <c r="F179" s="12"/>
      <c r="G179" s="9" t="str">
        <f>IF(AND(E179="",F179=""),"",IF(OR(E179&gt;1,F179&gt;1),(F179-E179)/100,F179-E179))</f>
        <v/>
      </c>
      <c r="H179" s="12" t="str">
        <f>IF(G179="","",64*G179)</f>
        <v/>
      </c>
      <c r="I179" s="13"/>
      <c r="J179" s="13" t="str">
        <f>IFERROR(IF(OR(D179="",D179=0),"",I179/D179*100),"")</f>
        <v/>
      </c>
      <c r="K179" s="14"/>
      <c r="L179" s="13" t="str">
        <f>IF(I179="","",I179*K179)</f>
        <v/>
      </c>
      <c r="M179" s="13" t="str">
        <f>IF(B179="","",IFERROR(SUMPRODUCT(ISNUMBER(B$3:B179)*(MONTH(IF(ISNUMBER(B$3:B179),B$3:B179,1))=MONTH(B179))*(YEAR(IF(ISNUMBER(B$3:B179),B$3:B179,1))=YEAR(B179))*IF(ISNUMBER(L$3:L179),L$3:L179,0)),""))</f>
        <v/>
      </c>
      <c r="N179" s="6"/>
      <c r="O179" s="7" t="str">
        <f>IF(AND(B179="",ISNUMBER(B180)),CHOOSE(MONTH(B180),"GENNAIO","FEBBRAIO","MARZO","APRILE","MAGGIO","GIUGNO","LUGLIO","AGOSTO","SETTEMBRE","OTTOBRE","NOVEMBRE","DICEMBRE")&amp;" "&amp;YEAR(B180),"")</f>
        <v/>
      </c>
      <c r="P179" s="12" t="str">
        <f>IF(K179=0.2,"CASA","")</f>
        <v/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" customHeight="1" x14ac:dyDescent="0.2">
      <c r="A180" s="5" t="str">
        <f>IF(AND(B180="",ISNUMBER(B181)),CHOOSE(MONTH(B181),"GENNAIO","FEBBRAIO","MARZO","APRILE","MAGGIO","GIUGNO","LUGLIO","AGOSTO","SETTEMBRE","OTTOBRE","NOVEMBRE","DICEMBRE")&amp;" "&amp;YEAR(B181),"")</f>
        <v/>
      </c>
      <c r="B180" s="11"/>
      <c r="C180" s="12"/>
      <c r="D180" s="12" t="str">
        <f>IF(C180="","",C180-IF(C179&lt;&gt;"",C179,IF(C178&lt;&gt;"",C178,IF(C177&lt;&gt;"",C177,0))))</f>
        <v/>
      </c>
      <c r="E180" s="12"/>
      <c r="F180" s="12"/>
      <c r="G180" s="9" t="str">
        <f>IF(AND(E180="",F180=""),"",IF(OR(E180&gt;1,F180&gt;1),(F180-E180)/100,F180-E180))</f>
        <v/>
      </c>
      <c r="H180" s="12" t="str">
        <f>IF(G180="","",64*G180)</f>
        <v/>
      </c>
      <c r="I180" s="13"/>
      <c r="J180" s="13" t="str">
        <f>IFERROR(IF(OR(D180="",D180=0),"",I180/D180*100),"")</f>
        <v/>
      </c>
      <c r="K180" s="14"/>
      <c r="L180" s="13" t="str">
        <f>IF(I180="","",I180*K180)</f>
        <v/>
      </c>
      <c r="M180" s="13" t="str">
        <f>IF(B180="","",IFERROR(SUMPRODUCT(ISNUMBER(B$3:B180)*(MONTH(IF(ISNUMBER(B$3:B180),B$3:B180,1))=MONTH(B180))*(YEAR(IF(ISNUMBER(B$3:B180),B$3:B180,1))=YEAR(B180))*IF(ISNUMBER(L$3:L180),L$3:L180,0)),""))</f>
        <v/>
      </c>
      <c r="N180" s="6"/>
      <c r="O180" s="7" t="str">
        <f>IF(AND(B180="",ISNUMBER(B181)),CHOOSE(MONTH(B181),"GENNAIO","FEBBRAIO","MARZO","APRILE","MAGGIO","GIUGNO","LUGLIO","AGOSTO","SETTEMBRE","OTTOBRE","NOVEMBRE","DICEMBRE")&amp;" "&amp;YEAR(B181),"")</f>
        <v/>
      </c>
      <c r="P180" s="12" t="str">
        <f>IF(K180=0.2,"CASA","")</f>
        <v/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" customHeight="1" x14ac:dyDescent="0.2">
      <c r="A181" s="5" t="str">
        <f>IF(AND(B181="",ISNUMBER(B182)),CHOOSE(MONTH(B182),"GENNAIO","FEBBRAIO","MARZO","APRILE","MAGGIO","GIUGNO","LUGLIO","AGOSTO","SETTEMBRE","OTTOBRE","NOVEMBRE","DICEMBRE")&amp;" "&amp;YEAR(B182),"")</f>
        <v/>
      </c>
      <c r="B181" s="11"/>
      <c r="C181" s="12"/>
      <c r="D181" s="12" t="str">
        <f>IF(C181="","",C181-IF(C180&lt;&gt;"",C180,IF(C179&lt;&gt;"",C179,IF(C178&lt;&gt;"",C178,0))))</f>
        <v/>
      </c>
      <c r="E181" s="12"/>
      <c r="F181" s="12"/>
      <c r="G181" s="9" t="str">
        <f>IF(AND(E181="",F181=""),"",IF(OR(E181&gt;1,F181&gt;1),(F181-E181)/100,F181-E181))</f>
        <v/>
      </c>
      <c r="H181" s="12" t="str">
        <f>IF(G181="","",64*G181)</f>
        <v/>
      </c>
      <c r="I181" s="13"/>
      <c r="J181" s="13" t="str">
        <f>IFERROR(IF(OR(D181="",D181=0),"",I181/D181*100),"")</f>
        <v/>
      </c>
      <c r="K181" s="14"/>
      <c r="L181" s="13" t="str">
        <f>IF(I181="","",I181*K181)</f>
        <v/>
      </c>
      <c r="M181" s="13" t="str">
        <f>IF(B181="","",IFERROR(SUMPRODUCT(ISNUMBER(B$3:B181)*(MONTH(IF(ISNUMBER(B$3:B181),B$3:B181,1))=MONTH(B181))*(YEAR(IF(ISNUMBER(B$3:B181),B$3:B181,1))=YEAR(B181))*IF(ISNUMBER(L$3:L181),L$3:L181,0)),""))</f>
        <v/>
      </c>
      <c r="N181" s="6"/>
      <c r="O181" s="7" t="str">
        <f>IF(AND(B181="",ISNUMBER(B182)),CHOOSE(MONTH(B182),"GENNAIO","FEBBRAIO","MARZO","APRILE","MAGGIO","GIUGNO","LUGLIO","AGOSTO","SETTEMBRE","OTTOBRE","NOVEMBRE","DICEMBRE")&amp;" "&amp;YEAR(B182),"")</f>
        <v/>
      </c>
      <c r="P181" s="12" t="str">
        <f>IF(K181=0.2,"CASA","")</f>
        <v/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" customHeight="1" x14ac:dyDescent="0.2">
      <c r="A182" s="5" t="str">
        <f>IF(AND(B182="",ISNUMBER(B183)),CHOOSE(MONTH(B183),"GENNAIO","FEBBRAIO","MARZO","APRILE","MAGGIO","GIUGNO","LUGLIO","AGOSTO","SETTEMBRE","OTTOBRE","NOVEMBRE","DICEMBRE")&amp;" "&amp;YEAR(B183),"")</f>
        <v/>
      </c>
      <c r="B182" s="11"/>
      <c r="C182" s="12"/>
      <c r="D182" s="12" t="str">
        <f>IF(C182="","",C182-IF(C181&lt;&gt;"",C181,IF(C180&lt;&gt;"",C180,IF(C179&lt;&gt;"",C179,0))))</f>
        <v/>
      </c>
      <c r="E182" s="12"/>
      <c r="F182" s="12"/>
      <c r="G182" s="9" t="str">
        <f>IF(AND(E182="",F182=""),"",IF(OR(E182&gt;1,F182&gt;1),(F182-E182)/100,F182-E182))</f>
        <v/>
      </c>
      <c r="H182" s="12" t="str">
        <f>IF(G182="","",64*G182)</f>
        <v/>
      </c>
      <c r="I182" s="13"/>
      <c r="J182" s="13" t="str">
        <f>IFERROR(IF(OR(D182="",D182=0),"",I182/D182*100),"")</f>
        <v/>
      </c>
      <c r="K182" s="14"/>
      <c r="L182" s="13" t="str">
        <f>IF(I182="","",I182*K182)</f>
        <v/>
      </c>
      <c r="M182" s="13" t="str">
        <f>IF(B182="","",IFERROR(SUMPRODUCT(ISNUMBER(B$3:B182)*(MONTH(IF(ISNUMBER(B$3:B182),B$3:B182,1))=MONTH(B182))*(YEAR(IF(ISNUMBER(B$3:B182),B$3:B182,1))=YEAR(B182))*IF(ISNUMBER(L$3:L182),L$3:L182,0)),""))</f>
        <v/>
      </c>
      <c r="N182" s="6"/>
      <c r="O182" s="7" t="str">
        <f>IF(AND(B182="",ISNUMBER(B183)),CHOOSE(MONTH(B183),"GENNAIO","FEBBRAIO","MARZO","APRILE","MAGGIO","GIUGNO","LUGLIO","AGOSTO","SETTEMBRE","OTTOBRE","NOVEMBRE","DICEMBRE")&amp;" "&amp;YEAR(B183),"")</f>
        <v/>
      </c>
      <c r="P182" s="12" t="str">
        <f>IF(K182=0.2,"CASA","")</f>
        <v/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" customHeight="1" x14ac:dyDescent="0.2">
      <c r="A183" s="5" t="str">
        <f>IF(AND(B183="",ISNUMBER(B184)),CHOOSE(MONTH(B184),"GENNAIO","FEBBRAIO","MARZO","APRILE","MAGGIO","GIUGNO","LUGLIO","AGOSTO","SETTEMBRE","OTTOBRE","NOVEMBRE","DICEMBRE")&amp;" "&amp;YEAR(B184),"")</f>
        <v/>
      </c>
      <c r="B183" s="11"/>
      <c r="C183" s="12"/>
      <c r="D183" s="12" t="str">
        <f>IF(C183="","",C183-IF(C182&lt;&gt;"",C182,IF(C181&lt;&gt;"",C181,IF(C180&lt;&gt;"",C180,0))))</f>
        <v/>
      </c>
      <c r="E183" s="12"/>
      <c r="F183" s="12"/>
      <c r="G183" s="9" t="str">
        <f>IF(AND(E183="",F183=""),"",IF(OR(E183&gt;1,F183&gt;1),(F183-E183)/100,F183-E183))</f>
        <v/>
      </c>
      <c r="H183" s="12" t="str">
        <f>IF(G183="","",64*G183)</f>
        <v/>
      </c>
      <c r="I183" s="13"/>
      <c r="J183" s="13" t="str">
        <f>IFERROR(IF(OR(D183="",D183=0),"",I183/D183*100),"")</f>
        <v/>
      </c>
      <c r="K183" s="14"/>
      <c r="L183" s="13" t="str">
        <f>IF(I183="","",I183*K183)</f>
        <v/>
      </c>
      <c r="M183" s="13" t="str">
        <f>IF(B183="","",IFERROR(SUMPRODUCT(ISNUMBER(B$3:B183)*(MONTH(IF(ISNUMBER(B$3:B183),B$3:B183,1))=MONTH(B183))*(YEAR(IF(ISNUMBER(B$3:B183),B$3:B183,1))=YEAR(B183))*IF(ISNUMBER(L$3:L183),L$3:L183,0)),""))</f>
        <v/>
      </c>
      <c r="N183" s="6"/>
      <c r="O183" s="7" t="str">
        <f>IF(AND(B183="",ISNUMBER(B184)),CHOOSE(MONTH(B184),"GENNAIO","FEBBRAIO","MARZO","APRILE","MAGGIO","GIUGNO","LUGLIO","AGOSTO","SETTEMBRE","OTTOBRE","NOVEMBRE","DICEMBRE")&amp;" "&amp;YEAR(B184),"")</f>
        <v/>
      </c>
      <c r="P183" s="12" t="str">
        <f>IF(K183=0.2,"CASA","")</f>
        <v/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" customHeight="1" x14ac:dyDescent="0.2">
      <c r="A184" s="5" t="str">
        <f>IF(AND(B184="",ISNUMBER(B185)),CHOOSE(MONTH(B185),"GENNAIO","FEBBRAIO","MARZO","APRILE","MAGGIO","GIUGNO","LUGLIO","AGOSTO","SETTEMBRE","OTTOBRE","NOVEMBRE","DICEMBRE")&amp;" "&amp;YEAR(B185),"")</f>
        <v/>
      </c>
      <c r="B184" s="11"/>
      <c r="C184" s="12"/>
      <c r="D184" s="12" t="str">
        <f>IF(C184="","",C184-IF(C183&lt;&gt;"",C183,IF(C182&lt;&gt;"",C182,IF(C181&lt;&gt;"",C181,0))))</f>
        <v/>
      </c>
      <c r="E184" s="12"/>
      <c r="F184" s="12"/>
      <c r="G184" s="9" t="str">
        <f>IF(AND(E184="",F184=""),"",IF(OR(E184&gt;1,F184&gt;1),(F184-E184)/100,F184-E184))</f>
        <v/>
      </c>
      <c r="H184" s="12" t="str">
        <f>IF(G184="","",64*G184)</f>
        <v/>
      </c>
      <c r="I184" s="13"/>
      <c r="J184" s="13" t="str">
        <f>IFERROR(IF(OR(D184="",D184=0),"",I184/D184*100),"")</f>
        <v/>
      </c>
      <c r="K184" s="14"/>
      <c r="L184" s="13" t="str">
        <f>IF(I184="","",I184*K184)</f>
        <v/>
      </c>
      <c r="M184" s="13" t="str">
        <f>IF(B184="","",IFERROR(SUMPRODUCT(ISNUMBER(B$3:B184)*(MONTH(IF(ISNUMBER(B$3:B184),B$3:B184,1))=MONTH(B184))*(YEAR(IF(ISNUMBER(B$3:B184),B$3:B184,1))=YEAR(B184))*IF(ISNUMBER(L$3:L184),L$3:L184,0)),""))</f>
        <v/>
      </c>
      <c r="N184" s="6"/>
      <c r="O184" s="7" t="str">
        <f>IF(AND(B184="",ISNUMBER(B185)),CHOOSE(MONTH(B185),"GENNAIO","FEBBRAIO","MARZO","APRILE","MAGGIO","GIUGNO","LUGLIO","AGOSTO","SETTEMBRE","OTTOBRE","NOVEMBRE","DICEMBRE")&amp;" "&amp;YEAR(B185),"")</f>
        <v/>
      </c>
      <c r="P184" s="12" t="str">
        <f>IF(K184=0.2,"CASA","")</f>
        <v/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" customHeight="1" x14ac:dyDescent="0.2">
      <c r="A185" s="5" t="str">
        <f>IF(AND(B185="",ISNUMBER(B186)),CHOOSE(MONTH(B186),"GENNAIO","FEBBRAIO","MARZO","APRILE","MAGGIO","GIUGNO","LUGLIO","AGOSTO","SETTEMBRE","OTTOBRE","NOVEMBRE","DICEMBRE")&amp;" "&amp;YEAR(B186),"")</f>
        <v/>
      </c>
      <c r="B185" s="11"/>
      <c r="C185" s="12"/>
      <c r="D185" s="12" t="str">
        <f>IF(C185="","",C185-IF(C184&lt;&gt;"",C184,IF(C183&lt;&gt;"",C183,IF(C182&lt;&gt;"",C182,0))))</f>
        <v/>
      </c>
      <c r="E185" s="12"/>
      <c r="F185" s="12"/>
      <c r="G185" s="9" t="str">
        <f>IF(AND(E185="",F185=""),"",IF(OR(E185&gt;1,F185&gt;1),(F185-E185)/100,F185-E185))</f>
        <v/>
      </c>
      <c r="H185" s="12" t="str">
        <f>IF(G185="","",64*G185)</f>
        <v/>
      </c>
      <c r="I185" s="13"/>
      <c r="J185" s="13" t="str">
        <f>IFERROR(IF(OR(D185="",D185=0),"",I185/D185*100),"")</f>
        <v/>
      </c>
      <c r="K185" s="14"/>
      <c r="L185" s="13" t="str">
        <f>IF(I185="","",I185*K185)</f>
        <v/>
      </c>
      <c r="M185" s="13" t="str">
        <f>IF(B185="","",IFERROR(SUMPRODUCT(ISNUMBER(B$3:B185)*(MONTH(IF(ISNUMBER(B$3:B185),B$3:B185,1))=MONTH(B185))*(YEAR(IF(ISNUMBER(B$3:B185),B$3:B185,1))=YEAR(B185))*IF(ISNUMBER(L$3:L185),L$3:L185,0)),""))</f>
        <v/>
      </c>
      <c r="N185" s="6"/>
      <c r="O185" s="7" t="str">
        <f>IF(AND(B185="",ISNUMBER(B186)),CHOOSE(MONTH(B186),"GENNAIO","FEBBRAIO","MARZO","APRILE","MAGGIO","GIUGNO","LUGLIO","AGOSTO","SETTEMBRE","OTTOBRE","NOVEMBRE","DICEMBRE")&amp;" "&amp;YEAR(B186),"")</f>
        <v/>
      </c>
      <c r="P185" s="12" t="str">
        <f>IF(K185=0.2,"CASA","")</f>
        <v/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" customHeight="1" x14ac:dyDescent="0.2">
      <c r="A186" s="5" t="str">
        <f>IF(AND(B186="",ISNUMBER(B187)),CHOOSE(MONTH(B187),"GENNAIO","FEBBRAIO","MARZO","APRILE","MAGGIO","GIUGNO","LUGLIO","AGOSTO","SETTEMBRE","OTTOBRE","NOVEMBRE","DICEMBRE")&amp;" "&amp;YEAR(B187),"")</f>
        <v/>
      </c>
      <c r="B186" s="11"/>
      <c r="C186" s="12"/>
      <c r="D186" s="12" t="str">
        <f>IF(C186="","",C186-IF(C185&lt;&gt;"",C185,IF(C184&lt;&gt;"",C184,IF(C183&lt;&gt;"",C183,0))))</f>
        <v/>
      </c>
      <c r="E186" s="12"/>
      <c r="F186" s="12"/>
      <c r="G186" s="9" t="str">
        <f>IF(AND(E186="",F186=""),"",IF(OR(E186&gt;1,F186&gt;1),(F186-E186)/100,F186-E186))</f>
        <v/>
      </c>
      <c r="H186" s="12" t="str">
        <f>IF(G186="","",64*G186)</f>
        <v/>
      </c>
      <c r="I186" s="13"/>
      <c r="J186" s="13" t="str">
        <f>IFERROR(IF(OR(D186="",D186=0),"",I186/D186*100),"")</f>
        <v/>
      </c>
      <c r="K186" s="14"/>
      <c r="L186" s="13" t="str">
        <f>IF(I186="","",I186*K186)</f>
        <v/>
      </c>
      <c r="M186" s="13" t="str">
        <f>IF(B186="","",IFERROR(SUMPRODUCT(ISNUMBER(B$3:B186)*(MONTH(IF(ISNUMBER(B$3:B186),B$3:B186,1))=MONTH(B186))*(YEAR(IF(ISNUMBER(B$3:B186),B$3:B186,1))=YEAR(B186))*IF(ISNUMBER(L$3:L186),L$3:L186,0)),""))</f>
        <v/>
      </c>
      <c r="N186" s="6"/>
      <c r="O186" s="7" t="str">
        <f>IF(AND(B186="",ISNUMBER(B187)),CHOOSE(MONTH(B187),"GENNAIO","FEBBRAIO","MARZO","APRILE","MAGGIO","GIUGNO","LUGLIO","AGOSTO","SETTEMBRE","OTTOBRE","NOVEMBRE","DICEMBRE")&amp;" "&amp;YEAR(B187),"")</f>
        <v/>
      </c>
      <c r="P186" s="12" t="str">
        <f>IF(K186=0.2,"CASA","")</f>
        <v/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" customHeight="1" x14ac:dyDescent="0.2">
      <c r="A187" s="5" t="str">
        <f>IF(AND(B187="",ISNUMBER(B188)),CHOOSE(MONTH(B188),"GENNAIO","FEBBRAIO","MARZO","APRILE","MAGGIO","GIUGNO","LUGLIO","AGOSTO","SETTEMBRE","OTTOBRE","NOVEMBRE","DICEMBRE")&amp;" "&amp;YEAR(B188),"")</f>
        <v/>
      </c>
      <c r="B187" s="11"/>
      <c r="C187" s="12"/>
      <c r="D187" s="12" t="str">
        <f>IF(C187="","",C187-IF(C186&lt;&gt;"",C186,IF(C185&lt;&gt;"",C185,IF(C184&lt;&gt;"",C184,0))))</f>
        <v/>
      </c>
      <c r="E187" s="12"/>
      <c r="F187" s="12"/>
      <c r="G187" s="9" t="str">
        <f>IF(AND(E187="",F187=""),"",IF(OR(E187&gt;1,F187&gt;1),(F187-E187)/100,F187-E187))</f>
        <v/>
      </c>
      <c r="H187" s="12" t="str">
        <f>IF(G187="","",64*G187)</f>
        <v/>
      </c>
      <c r="I187" s="13"/>
      <c r="J187" s="13" t="str">
        <f>IFERROR(IF(OR(D187="",D187=0),"",I187/D187*100),"")</f>
        <v/>
      </c>
      <c r="K187" s="14"/>
      <c r="L187" s="13" t="str">
        <f>IF(I187="","",I187*K187)</f>
        <v/>
      </c>
      <c r="M187" s="13" t="str">
        <f>IF(B187="","",IFERROR(SUMPRODUCT(ISNUMBER(B$3:B187)*(MONTH(IF(ISNUMBER(B$3:B187),B$3:B187,1))=MONTH(B187))*(YEAR(IF(ISNUMBER(B$3:B187),B$3:B187,1))=YEAR(B187))*IF(ISNUMBER(L$3:L187),L$3:L187,0)),""))</f>
        <v/>
      </c>
      <c r="N187" s="6"/>
      <c r="O187" s="7" t="str">
        <f>IF(AND(B187="",ISNUMBER(B188)),CHOOSE(MONTH(B188),"GENNAIO","FEBBRAIO","MARZO","APRILE","MAGGIO","GIUGNO","LUGLIO","AGOSTO","SETTEMBRE","OTTOBRE","NOVEMBRE","DICEMBRE")&amp;" "&amp;YEAR(B188),"")</f>
        <v/>
      </c>
      <c r="P187" s="12" t="str">
        <f>IF(K187=0.2,"CASA","")</f>
        <v/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" customHeight="1" x14ac:dyDescent="0.2">
      <c r="A188" s="5" t="str">
        <f>IF(AND(B188="",ISNUMBER(B189)),CHOOSE(MONTH(B189),"GENNAIO","FEBBRAIO","MARZO","APRILE","MAGGIO","GIUGNO","LUGLIO","AGOSTO","SETTEMBRE","OTTOBRE","NOVEMBRE","DICEMBRE")&amp;" "&amp;YEAR(B189),"")</f>
        <v/>
      </c>
      <c r="B188" s="11"/>
      <c r="C188" s="12"/>
      <c r="D188" s="12" t="str">
        <f>IF(C188="","",C188-IF(C187&lt;&gt;"",C187,IF(C186&lt;&gt;"",C186,IF(C185&lt;&gt;"",C185,0))))</f>
        <v/>
      </c>
      <c r="E188" s="12"/>
      <c r="F188" s="12"/>
      <c r="G188" s="9" t="str">
        <f>IF(AND(E188="",F188=""),"",IF(OR(E188&gt;1,F188&gt;1),(F188-E188)/100,F188-E188))</f>
        <v/>
      </c>
      <c r="H188" s="12" t="str">
        <f>IF(G188="","",64*G188)</f>
        <v/>
      </c>
      <c r="I188" s="13"/>
      <c r="J188" s="13" t="str">
        <f>IFERROR(IF(OR(D188="",D188=0),"",I188/D188*100),"")</f>
        <v/>
      </c>
      <c r="K188" s="14"/>
      <c r="L188" s="13" t="str">
        <f>IF(I188="","",I188*K188)</f>
        <v/>
      </c>
      <c r="M188" s="13" t="str">
        <f>IF(B188="","",IFERROR(SUMPRODUCT(ISNUMBER(B$3:B188)*(MONTH(IF(ISNUMBER(B$3:B188),B$3:B188,1))=MONTH(B188))*(YEAR(IF(ISNUMBER(B$3:B188),B$3:B188,1))=YEAR(B188))*IF(ISNUMBER(L$3:L188),L$3:L188,0)),""))</f>
        <v/>
      </c>
      <c r="N188" s="6"/>
      <c r="O188" s="7" t="str">
        <f>IF(AND(B188="",ISNUMBER(B189)),CHOOSE(MONTH(B189),"GENNAIO","FEBBRAIO","MARZO","APRILE","MAGGIO","GIUGNO","LUGLIO","AGOSTO","SETTEMBRE","OTTOBRE","NOVEMBRE","DICEMBRE")&amp;" "&amp;YEAR(B189),"")</f>
        <v/>
      </c>
      <c r="P188" s="12" t="str">
        <f>IF(K188=0.2,"CASA","")</f>
        <v/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" customHeight="1" x14ac:dyDescent="0.2">
      <c r="A189" s="5" t="str">
        <f>IF(AND(B189="",ISNUMBER(B190)),CHOOSE(MONTH(B190),"GENNAIO","FEBBRAIO","MARZO","APRILE","MAGGIO","GIUGNO","LUGLIO","AGOSTO","SETTEMBRE","OTTOBRE","NOVEMBRE","DICEMBRE")&amp;" "&amp;YEAR(B190),"")</f>
        <v/>
      </c>
      <c r="B189" s="11"/>
      <c r="C189" s="12"/>
      <c r="D189" s="12" t="str">
        <f>IF(C189="","",C189-IF(C188&lt;&gt;"",C188,IF(C187&lt;&gt;"",C187,IF(C186&lt;&gt;"",C186,0))))</f>
        <v/>
      </c>
      <c r="E189" s="12"/>
      <c r="F189" s="12"/>
      <c r="G189" s="9" t="str">
        <f>IF(AND(E189="",F189=""),"",IF(OR(E189&gt;1,F189&gt;1),(F189-E189)/100,F189-E189))</f>
        <v/>
      </c>
      <c r="H189" s="12" t="str">
        <f>IF(G189="","",64*G189)</f>
        <v/>
      </c>
      <c r="I189" s="13"/>
      <c r="J189" s="13" t="str">
        <f>IFERROR(IF(OR(D189="",D189=0),"",I189/D189*100),"")</f>
        <v/>
      </c>
      <c r="K189" s="14"/>
      <c r="L189" s="13" t="str">
        <f>IF(I189="","",I189*K189)</f>
        <v/>
      </c>
      <c r="M189" s="13" t="str">
        <f>IF(B189="","",IFERROR(SUMPRODUCT(ISNUMBER(B$3:B189)*(MONTH(IF(ISNUMBER(B$3:B189),B$3:B189,1))=MONTH(B189))*(YEAR(IF(ISNUMBER(B$3:B189),B$3:B189,1))=YEAR(B189))*IF(ISNUMBER(L$3:L189),L$3:L189,0)),""))</f>
        <v/>
      </c>
      <c r="N189" s="6"/>
      <c r="O189" s="7" t="str">
        <f>IF(AND(B189="",ISNUMBER(B190)),CHOOSE(MONTH(B190),"GENNAIO","FEBBRAIO","MARZO","APRILE","MAGGIO","GIUGNO","LUGLIO","AGOSTO","SETTEMBRE","OTTOBRE","NOVEMBRE","DICEMBRE")&amp;" "&amp;YEAR(B190),"")</f>
        <v/>
      </c>
      <c r="P189" s="12" t="str">
        <f>IF(K189=0.2,"CASA","")</f>
        <v/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" customHeight="1" x14ac:dyDescent="0.2">
      <c r="A190" s="5" t="str">
        <f>IF(AND(B190="",ISNUMBER(B191)),CHOOSE(MONTH(B191),"GENNAIO","FEBBRAIO","MARZO","APRILE","MAGGIO","GIUGNO","LUGLIO","AGOSTO","SETTEMBRE","OTTOBRE","NOVEMBRE","DICEMBRE")&amp;" "&amp;YEAR(B191),"")</f>
        <v/>
      </c>
      <c r="B190" s="11"/>
      <c r="C190" s="12"/>
      <c r="D190" s="12" t="str">
        <f>IF(C190="","",C190-IF(C189&lt;&gt;"",C189,IF(C188&lt;&gt;"",C188,IF(C187&lt;&gt;"",C187,0))))</f>
        <v/>
      </c>
      <c r="E190" s="12"/>
      <c r="F190" s="12"/>
      <c r="G190" s="9" t="str">
        <f>IF(AND(E190="",F190=""),"",IF(OR(E190&gt;1,F190&gt;1),(F190-E190)/100,F190-E190))</f>
        <v/>
      </c>
      <c r="H190" s="12" t="str">
        <f>IF(G190="","",64*G190)</f>
        <v/>
      </c>
      <c r="I190" s="13"/>
      <c r="J190" s="13" t="str">
        <f>IFERROR(IF(OR(D190="",D190=0),"",I190/D190*100),"")</f>
        <v/>
      </c>
      <c r="K190" s="14"/>
      <c r="L190" s="13" t="str">
        <f>IF(I190="","",I190*K190)</f>
        <v/>
      </c>
      <c r="M190" s="13" t="str">
        <f>IF(B190="","",IFERROR(SUMPRODUCT(ISNUMBER(B$3:B190)*(MONTH(IF(ISNUMBER(B$3:B190),B$3:B190,1))=MONTH(B190))*(YEAR(IF(ISNUMBER(B$3:B190),B$3:B190,1))=YEAR(B190))*IF(ISNUMBER(L$3:L190),L$3:L190,0)),""))</f>
        <v/>
      </c>
      <c r="N190" s="6"/>
      <c r="O190" s="7" t="str">
        <f>IF(AND(B190="",ISNUMBER(B191)),CHOOSE(MONTH(B191),"GENNAIO","FEBBRAIO","MARZO","APRILE","MAGGIO","GIUGNO","LUGLIO","AGOSTO","SETTEMBRE","OTTOBRE","NOVEMBRE","DICEMBRE")&amp;" "&amp;YEAR(B191),"")</f>
        <v/>
      </c>
      <c r="P190" s="12" t="str">
        <f>IF(K190=0.2,"CASA","")</f>
        <v/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" customHeight="1" x14ac:dyDescent="0.2">
      <c r="A191" s="5" t="str">
        <f>IF(AND(B191="",ISNUMBER(B192)),CHOOSE(MONTH(B192),"GENNAIO","FEBBRAIO","MARZO","APRILE","MAGGIO","GIUGNO","LUGLIO","AGOSTO","SETTEMBRE","OTTOBRE","NOVEMBRE","DICEMBRE")&amp;" "&amp;YEAR(B192),"")</f>
        <v/>
      </c>
      <c r="B191" s="11"/>
      <c r="C191" s="12"/>
      <c r="D191" s="12" t="str">
        <f>IF(C191="","",C191-IF(C190&lt;&gt;"",C190,IF(C189&lt;&gt;"",C189,IF(C188&lt;&gt;"",C188,0))))</f>
        <v/>
      </c>
      <c r="E191" s="12"/>
      <c r="F191" s="12"/>
      <c r="G191" s="9" t="str">
        <f>IF(AND(E191="",F191=""),"",IF(OR(E191&gt;1,F191&gt;1),(F191-E191)/100,F191-E191))</f>
        <v/>
      </c>
      <c r="H191" s="12" t="str">
        <f>IF(G191="","",64*G191)</f>
        <v/>
      </c>
      <c r="I191" s="13"/>
      <c r="J191" s="13" t="str">
        <f>IFERROR(IF(OR(D191="",D191=0),"",I191/D191*100),"")</f>
        <v/>
      </c>
      <c r="K191" s="14"/>
      <c r="L191" s="13" t="str">
        <f>IF(I191="","",I191*K191)</f>
        <v/>
      </c>
      <c r="M191" s="13" t="str">
        <f>IF(B191="","",IFERROR(SUMPRODUCT(ISNUMBER(B$3:B191)*(MONTH(IF(ISNUMBER(B$3:B191),B$3:B191,1))=MONTH(B191))*(YEAR(IF(ISNUMBER(B$3:B191),B$3:B191,1))=YEAR(B191))*IF(ISNUMBER(L$3:L191),L$3:L191,0)),""))</f>
        <v/>
      </c>
      <c r="N191" s="6"/>
      <c r="O191" s="7" t="str">
        <f>IF(AND(B191="",ISNUMBER(B192)),CHOOSE(MONTH(B192),"GENNAIO","FEBBRAIO","MARZO","APRILE","MAGGIO","GIUGNO","LUGLIO","AGOSTO","SETTEMBRE","OTTOBRE","NOVEMBRE","DICEMBRE")&amp;" "&amp;YEAR(B192),"")</f>
        <v/>
      </c>
      <c r="P191" s="12" t="str">
        <f>IF(K191=0.2,"CASA","")</f>
        <v/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" customHeight="1" x14ac:dyDescent="0.2">
      <c r="A192" s="5" t="str">
        <f>IF(AND(B192="",ISNUMBER(B193)),CHOOSE(MONTH(B193),"GENNAIO","FEBBRAIO","MARZO","APRILE","MAGGIO","GIUGNO","LUGLIO","AGOSTO","SETTEMBRE","OTTOBRE","NOVEMBRE","DICEMBRE")&amp;" "&amp;YEAR(B193),"")</f>
        <v/>
      </c>
      <c r="B192" s="11"/>
      <c r="C192" s="12"/>
      <c r="D192" s="12" t="str">
        <f>IF(C192="","",C192-IF(C191&lt;&gt;"",C191,IF(C190&lt;&gt;"",C190,IF(C189&lt;&gt;"",C189,0))))</f>
        <v/>
      </c>
      <c r="E192" s="12"/>
      <c r="F192" s="12"/>
      <c r="G192" s="9" t="str">
        <f>IF(AND(E192="",F192=""),"",IF(OR(E192&gt;1,F192&gt;1),(F192-E192)/100,F192-E192))</f>
        <v/>
      </c>
      <c r="H192" s="12" t="str">
        <f>IF(G192="","",64*G192)</f>
        <v/>
      </c>
      <c r="I192" s="13"/>
      <c r="J192" s="13" t="str">
        <f>IFERROR(IF(OR(D192="",D192=0),"",I192/D192*100),"")</f>
        <v/>
      </c>
      <c r="K192" s="14"/>
      <c r="L192" s="13" t="str">
        <f>IF(I192="","",I192*K192)</f>
        <v/>
      </c>
      <c r="M192" s="13" t="str">
        <f>IF(B192="","",IFERROR(SUMPRODUCT(ISNUMBER(B$3:B192)*(MONTH(IF(ISNUMBER(B$3:B192),B$3:B192,1))=MONTH(B192))*(YEAR(IF(ISNUMBER(B$3:B192),B$3:B192,1))=YEAR(B192))*IF(ISNUMBER(L$3:L192),L$3:L192,0)),""))</f>
        <v/>
      </c>
      <c r="N192" s="6"/>
      <c r="O192" s="7" t="str">
        <f>IF(AND(B192="",ISNUMBER(B193)),CHOOSE(MONTH(B193),"GENNAIO","FEBBRAIO","MARZO","APRILE","MAGGIO","GIUGNO","LUGLIO","AGOSTO","SETTEMBRE","OTTOBRE","NOVEMBRE","DICEMBRE")&amp;" "&amp;YEAR(B193),"")</f>
        <v/>
      </c>
      <c r="P192" s="12" t="str">
        <f>IF(K192=0.2,"CASA","")</f>
        <v/>
      </c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" customHeight="1" x14ac:dyDescent="0.2">
      <c r="A193" s="5" t="str">
        <f>IF(AND(B193="",ISNUMBER(B194)),CHOOSE(MONTH(B194),"GENNAIO","FEBBRAIO","MARZO","APRILE","MAGGIO","GIUGNO","LUGLIO","AGOSTO","SETTEMBRE","OTTOBRE","NOVEMBRE","DICEMBRE")&amp;" "&amp;YEAR(B194),"")</f>
        <v/>
      </c>
      <c r="B193" s="11"/>
      <c r="C193" s="12"/>
      <c r="D193" s="12" t="str">
        <f>IF(C193="","",C193-IF(C192&lt;&gt;"",C192,IF(C191&lt;&gt;"",C191,IF(C190&lt;&gt;"",C190,0))))</f>
        <v/>
      </c>
      <c r="E193" s="12"/>
      <c r="F193" s="12"/>
      <c r="G193" s="9" t="str">
        <f>IF(AND(E193="",F193=""),"",IF(OR(E193&gt;1,F193&gt;1),(F193-E193)/100,F193-E193))</f>
        <v/>
      </c>
      <c r="H193" s="12" t="str">
        <f>IF(G193="","",64*G193)</f>
        <v/>
      </c>
      <c r="I193" s="13"/>
      <c r="J193" s="13" t="str">
        <f>IFERROR(IF(OR(D193="",D193=0),"",I193/D193*100),"")</f>
        <v/>
      </c>
      <c r="K193" s="14"/>
      <c r="L193" s="13" t="str">
        <f>IF(I193="","",I193*K193)</f>
        <v/>
      </c>
      <c r="M193" s="13" t="str">
        <f>IF(B193="","",IFERROR(SUMPRODUCT(ISNUMBER(B$3:B193)*(MONTH(IF(ISNUMBER(B$3:B193),B$3:B193,1))=MONTH(B193))*(YEAR(IF(ISNUMBER(B$3:B193),B$3:B193,1))=YEAR(B193))*IF(ISNUMBER(L$3:L193),L$3:L193,0)),""))</f>
        <v/>
      </c>
      <c r="N193" s="6"/>
      <c r="O193" s="7" t="str">
        <f>IF(AND(B193="",ISNUMBER(B194)),CHOOSE(MONTH(B194),"GENNAIO","FEBBRAIO","MARZO","APRILE","MAGGIO","GIUGNO","LUGLIO","AGOSTO","SETTEMBRE","OTTOBRE","NOVEMBRE","DICEMBRE")&amp;" "&amp;YEAR(B194),"")</f>
        <v/>
      </c>
      <c r="P193" s="12" t="str">
        <f>IF(K193=0.2,"CASA","")</f>
        <v/>
      </c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" customHeight="1" x14ac:dyDescent="0.2">
      <c r="A194" s="5" t="str">
        <f>IF(AND(B194="",ISNUMBER(B195)),CHOOSE(MONTH(B195),"GENNAIO","FEBBRAIO","MARZO","APRILE","MAGGIO","GIUGNO","LUGLIO","AGOSTO","SETTEMBRE","OTTOBRE","NOVEMBRE","DICEMBRE")&amp;" "&amp;YEAR(B195),"")</f>
        <v/>
      </c>
      <c r="B194" s="11"/>
      <c r="C194" s="12"/>
      <c r="D194" s="12" t="str">
        <f>IF(C194="","",C194-IF(C193&lt;&gt;"",C193,IF(C192&lt;&gt;"",C192,IF(C191&lt;&gt;"",C191,0))))</f>
        <v/>
      </c>
      <c r="E194" s="12"/>
      <c r="F194" s="12"/>
      <c r="G194" s="9" t="str">
        <f>IF(AND(E194="",F194=""),"",IF(OR(E194&gt;1,F194&gt;1),(F194-E194)/100,F194-E194))</f>
        <v/>
      </c>
      <c r="H194" s="12" t="str">
        <f>IF(G194="","",64*G194)</f>
        <v/>
      </c>
      <c r="I194" s="13"/>
      <c r="J194" s="13" t="str">
        <f>IFERROR(IF(OR(D194="",D194=0),"",I194/D194*100),"")</f>
        <v/>
      </c>
      <c r="K194" s="14"/>
      <c r="L194" s="13" t="str">
        <f>IF(I194="","",I194*K194)</f>
        <v/>
      </c>
      <c r="M194" s="13" t="str">
        <f>IF(B194="","",IFERROR(SUMPRODUCT(ISNUMBER(B$3:B194)*(MONTH(IF(ISNUMBER(B$3:B194),B$3:B194,1))=MONTH(B194))*(YEAR(IF(ISNUMBER(B$3:B194),B$3:B194,1))=YEAR(B194))*IF(ISNUMBER(L$3:L194),L$3:L194,0)),""))</f>
        <v/>
      </c>
      <c r="N194" s="6"/>
      <c r="O194" s="7" t="str">
        <f>IF(AND(B194="",ISNUMBER(B195)),CHOOSE(MONTH(B195),"GENNAIO","FEBBRAIO","MARZO","APRILE","MAGGIO","GIUGNO","LUGLIO","AGOSTO","SETTEMBRE","OTTOBRE","NOVEMBRE","DICEMBRE")&amp;" "&amp;YEAR(B195),"")</f>
        <v/>
      </c>
      <c r="P194" s="12" t="str">
        <f>IF(K194=0.2,"CASA","")</f>
        <v/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" customHeight="1" x14ac:dyDescent="0.2">
      <c r="A195" s="5" t="str">
        <f>IF(AND(B195="",ISNUMBER(B196)),CHOOSE(MONTH(B196),"GENNAIO","FEBBRAIO","MARZO","APRILE","MAGGIO","GIUGNO","LUGLIO","AGOSTO","SETTEMBRE","OTTOBRE","NOVEMBRE","DICEMBRE")&amp;" "&amp;YEAR(B196),"")</f>
        <v/>
      </c>
      <c r="B195" s="11"/>
      <c r="C195" s="12"/>
      <c r="D195" s="12" t="str">
        <f>IF(C195="","",C195-IF(C194&lt;&gt;"",C194,IF(C193&lt;&gt;"",C193,IF(C192&lt;&gt;"",C192,0))))</f>
        <v/>
      </c>
      <c r="E195" s="12"/>
      <c r="F195" s="12"/>
      <c r="G195" s="9" t="str">
        <f>IF(AND(E195="",F195=""),"",IF(OR(E195&gt;1,F195&gt;1),(F195-E195)/100,F195-E195))</f>
        <v/>
      </c>
      <c r="H195" s="12" t="str">
        <f>IF(G195="","",64*G195)</f>
        <v/>
      </c>
      <c r="I195" s="13"/>
      <c r="J195" s="13" t="str">
        <f>IFERROR(IF(OR(D195="",D195=0),"",I195/D195*100),"")</f>
        <v/>
      </c>
      <c r="K195" s="14"/>
      <c r="L195" s="13" t="str">
        <f>IF(I195="","",I195*K195)</f>
        <v/>
      </c>
      <c r="M195" s="13" t="str">
        <f>IF(B195="","",IFERROR(SUMPRODUCT(ISNUMBER(B$3:B195)*(MONTH(IF(ISNUMBER(B$3:B195),B$3:B195,1))=MONTH(B195))*(YEAR(IF(ISNUMBER(B$3:B195),B$3:B195,1))=YEAR(B195))*IF(ISNUMBER(L$3:L195),L$3:L195,0)),""))</f>
        <v/>
      </c>
      <c r="N195" s="6"/>
      <c r="O195" s="7" t="str">
        <f>IF(AND(B195="",ISNUMBER(B196)),CHOOSE(MONTH(B196),"GENNAIO","FEBBRAIO","MARZO","APRILE","MAGGIO","GIUGNO","LUGLIO","AGOSTO","SETTEMBRE","OTTOBRE","NOVEMBRE","DICEMBRE")&amp;" "&amp;YEAR(B196),"")</f>
        <v/>
      </c>
      <c r="P195" s="12" t="str">
        <f>IF(K195=0.2,"CASA","")</f>
        <v/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" customHeight="1" x14ac:dyDescent="0.2">
      <c r="A196" s="5" t="str">
        <f>IF(AND(B196="",ISNUMBER(B197)),CHOOSE(MONTH(B197),"GENNAIO","FEBBRAIO","MARZO","APRILE","MAGGIO","GIUGNO","LUGLIO","AGOSTO","SETTEMBRE","OTTOBRE","NOVEMBRE","DICEMBRE")&amp;" "&amp;YEAR(B197),"")</f>
        <v/>
      </c>
      <c r="B196" s="11"/>
      <c r="C196" s="12"/>
      <c r="D196" s="12" t="str">
        <f>IF(C196="","",C196-IF(C195&lt;&gt;"",C195,IF(C194&lt;&gt;"",C194,IF(C193&lt;&gt;"",C193,0))))</f>
        <v/>
      </c>
      <c r="E196" s="12"/>
      <c r="F196" s="12"/>
      <c r="G196" s="9" t="str">
        <f>IF(AND(E196="",F196=""),"",IF(OR(E196&gt;1,F196&gt;1),(F196-E196)/100,F196-E196))</f>
        <v/>
      </c>
      <c r="H196" s="12" t="str">
        <f>IF(G196="","",64*G196)</f>
        <v/>
      </c>
      <c r="I196" s="13"/>
      <c r="J196" s="13" t="str">
        <f>IFERROR(IF(OR(D196="",D196=0),"",I196/D196*100),"")</f>
        <v/>
      </c>
      <c r="K196" s="14"/>
      <c r="L196" s="13" t="str">
        <f>IF(I196="","",I196*K196)</f>
        <v/>
      </c>
      <c r="M196" s="13" t="str">
        <f>IF(B196="","",IFERROR(SUMPRODUCT(ISNUMBER(B$3:B196)*(MONTH(IF(ISNUMBER(B$3:B196),B$3:B196,1))=MONTH(B196))*(YEAR(IF(ISNUMBER(B$3:B196),B$3:B196,1))=YEAR(B196))*IF(ISNUMBER(L$3:L196),L$3:L196,0)),""))</f>
        <v/>
      </c>
      <c r="N196" s="6"/>
      <c r="O196" s="7" t="str">
        <f>IF(AND(B196="",ISNUMBER(B197)),CHOOSE(MONTH(B197),"GENNAIO","FEBBRAIO","MARZO","APRILE","MAGGIO","GIUGNO","LUGLIO","AGOSTO","SETTEMBRE","OTTOBRE","NOVEMBRE","DICEMBRE")&amp;" "&amp;YEAR(B197),"")</f>
        <v/>
      </c>
      <c r="P196" s="12" t="str">
        <f>IF(K196=0.2,"CASA","")</f>
        <v/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" customHeight="1" x14ac:dyDescent="0.2">
      <c r="A197" s="5" t="str">
        <f>IF(AND(B197="",ISNUMBER(B198)),CHOOSE(MONTH(B198),"GENNAIO","FEBBRAIO","MARZO","APRILE","MAGGIO","GIUGNO","LUGLIO","AGOSTO","SETTEMBRE","OTTOBRE","NOVEMBRE","DICEMBRE")&amp;" "&amp;YEAR(B198),"")</f>
        <v/>
      </c>
      <c r="B197" s="11"/>
      <c r="C197" s="12"/>
      <c r="D197" s="12" t="str">
        <f>IF(C197="","",C197-IF(C196&lt;&gt;"",C196,IF(C195&lt;&gt;"",C195,IF(C194&lt;&gt;"",C194,0))))</f>
        <v/>
      </c>
      <c r="E197" s="12"/>
      <c r="F197" s="12"/>
      <c r="G197" s="9" t="str">
        <f>IF(AND(E197="",F197=""),"",IF(OR(E197&gt;1,F197&gt;1),(F197-E197)/100,F197-E197))</f>
        <v/>
      </c>
      <c r="H197" s="12" t="str">
        <f>IF(G197="","",64*G197)</f>
        <v/>
      </c>
      <c r="I197" s="13"/>
      <c r="J197" s="13" t="str">
        <f>IFERROR(IF(OR(D197="",D197=0),"",I197/D197*100),"")</f>
        <v/>
      </c>
      <c r="K197" s="14"/>
      <c r="L197" s="13" t="str">
        <f>IF(I197="","",I197*K197)</f>
        <v/>
      </c>
      <c r="M197" s="13" t="str">
        <f>IF(B197="","",IFERROR(SUMPRODUCT(ISNUMBER(B$3:B197)*(MONTH(IF(ISNUMBER(B$3:B197),B$3:B197,1))=MONTH(B197))*(YEAR(IF(ISNUMBER(B$3:B197),B$3:B197,1))=YEAR(B197))*IF(ISNUMBER(L$3:L197),L$3:L197,0)),""))</f>
        <v/>
      </c>
      <c r="N197" s="6"/>
      <c r="O197" s="7" t="str">
        <f>IF(AND(B197="",ISNUMBER(B198)),CHOOSE(MONTH(B198),"GENNAIO","FEBBRAIO","MARZO","APRILE","MAGGIO","GIUGNO","LUGLIO","AGOSTO","SETTEMBRE","OTTOBRE","NOVEMBRE","DICEMBRE")&amp;" "&amp;YEAR(B198),"")</f>
        <v/>
      </c>
      <c r="P197" s="12" t="str">
        <f>IF(K197=0.2,"CASA","")</f>
        <v/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" customHeight="1" x14ac:dyDescent="0.2">
      <c r="A198" s="5" t="str">
        <f>IF(AND(B198="",ISNUMBER(B199)),CHOOSE(MONTH(B199),"GENNAIO","FEBBRAIO","MARZO","APRILE","MAGGIO","GIUGNO","LUGLIO","AGOSTO","SETTEMBRE","OTTOBRE","NOVEMBRE","DICEMBRE")&amp;" "&amp;YEAR(B199),"")</f>
        <v/>
      </c>
      <c r="B198" s="11"/>
      <c r="C198" s="12"/>
      <c r="D198" s="12" t="str">
        <f>IF(C198="","",C198-IF(C197&lt;&gt;"",C197,IF(C196&lt;&gt;"",C196,IF(C195&lt;&gt;"",C195,0))))</f>
        <v/>
      </c>
      <c r="E198" s="12"/>
      <c r="F198" s="12"/>
      <c r="G198" s="9" t="str">
        <f>IF(AND(E198="",F198=""),"",IF(OR(E198&gt;1,F198&gt;1),(F198-E198)/100,F198-E198))</f>
        <v/>
      </c>
      <c r="H198" s="12" t="str">
        <f>IF(G198="","",64*G198)</f>
        <v/>
      </c>
      <c r="I198" s="13"/>
      <c r="J198" s="13" t="str">
        <f>IFERROR(IF(OR(D198="",D198=0),"",I198/D198*100),"")</f>
        <v/>
      </c>
      <c r="K198" s="14"/>
      <c r="L198" s="13" t="str">
        <f>IF(I198="","",I198*K198)</f>
        <v/>
      </c>
      <c r="M198" s="13" t="str">
        <f>IF(B198="","",IFERROR(SUMPRODUCT(ISNUMBER(B$3:B198)*(MONTH(IF(ISNUMBER(B$3:B198),B$3:B198,1))=MONTH(B198))*(YEAR(IF(ISNUMBER(B$3:B198),B$3:B198,1))=YEAR(B198))*IF(ISNUMBER(L$3:L198),L$3:L198,0)),""))</f>
        <v/>
      </c>
      <c r="N198" s="6"/>
      <c r="O198" s="7" t="str">
        <f>IF(AND(B198="",ISNUMBER(B199)),CHOOSE(MONTH(B199),"GENNAIO","FEBBRAIO","MARZO","APRILE","MAGGIO","GIUGNO","LUGLIO","AGOSTO","SETTEMBRE","OTTOBRE","NOVEMBRE","DICEMBRE")&amp;" "&amp;YEAR(B199),"")</f>
        <v/>
      </c>
      <c r="P198" s="12" t="str">
        <f>IF(K198=0.2,"CASA","")</f>
        <v/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" customHeight="1" x14ac:dyDescent="0.2">
      <c r="A199" s="5" t="str">
        <f>IF(AND(B199="",ISNUMBER(B200)),CHOOSE(MONTH(B200),"GENNAIO","FEBBRAIO","MARZO","APRILE","MAGGIO","GIUGNO","LUGLIO","AGOSTO","SETTEMBRE","OTTOBRE","NOVEMBRE","DICEMBRE")&amp;" "&amp;YEAR(B200),"")</f>
        <v/>
      </c>
      <c r="B199" s="11"/>
      <c r="C199" s="12"/>
      <c r="D199" s="12" t="str">
        <f>IF(C199="","",C199-IF(C198&lt;&gt;"",C198,IF(C197&lt;&gt;"",C197,IF(C196&lt;&gt;"",C196,0))))</f>
        <v/>
      </c>
      <c r="E199" s="12"/>
      <c r="F199" s="12"/>
      <c r="G199" s="9" t="str">
        <f>IF(AND(E199="",F199=""),"",IF(OR(E199&gt;1,F199&gt;1),(F199-E199)/100,F199-E199))</f>
        <v/>
      </c>
      <c r="H199" s="12" t="str">
        <f>IF(G199="","",64*G199)</f>
        <v/>
      </c>
      <c r="I199" s="13"/>
      <c r="J199" s="13" t="str">
        <f>IFERROR(IF(OR(D199="",D199=0),"",I199/D199*100),"")</f>
        <v/>
      </c>
      <c r="K199" s="14"/>
      <c r="L199" s="13" t="str">
        <f>IF(I199="","",I199*K199)</f>
        <v/>
      </c>
      <c r="M199" s="13" t="str">
        <f>IF(B199="","",IFERROR(SUMPRODUCT(ISNUMBER(B$3:B199)*(MONTH(IF(ISNUMBER(B$3:B199),B$3:B199,1))=MONTH(B199))*(YEAR(IF(ISNUMBER(B$3:B199),B$3:B199,1))=YEAR(B199))*IF(ISNUMBER(L$3:L199),L$3:L199,0)),""))</f>
        <v/>
      </c>
      <c r="N199" s="6"/>
      <c r="O199" s="7" t="str">
        <f>IF(AND(B199="",ISNUMBER(B200)),CHOOSE(MONTH(B200),"GENNAIO","FEBBRAIO","MARZO","APRILE","MAGGIO","GIUGNO","LUGLIO","AGOSTO","SETTEMBRE","OTTOBRE","NOVEMBRE","DICEMBRE")&amp;" "&amp;YEAR(B200),"")</f>
        <v/>
      </c>
      <c r="P199" s="12" t="str">
        <f>IF(K199=0.2,"CASA","")</f>
        <v/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" customHeight="1" x14ac:dyDescent="0.2">
      <c r="A200" s="5" t="str">
        <f>IF(AND(B200="",ISNUMBER(B201)),CHOOSE(MONTH(B201),"GENNAIO","FEBBRAIO","MARZO","APRILE","MAGGIO","GIUGNO","LUGLIO","AGOSTO","SETTEMBRE","OTTOBRE","NOVEMBRE","DICEMBRE")&amp;" "&amp;YEAR(B201),"")</f>
        <v/>
      </c>
      <c r="B200" s="11"/>
      <c r="C200" s="12"/>
      <c r="D200" s="12" t="str">
        <f>IF(C200="","",C200-IF(C199&lt;&gt;"",C199,IF(C198&lt;&gt;"",C198,IF(C197&lt;&gt;"",C197,0))))</f>
        <v/>
      </c>
      <c r="E200" s="12"/>
      <c r="F200" s="12"/>
      <c r="G200" s="9" t="str">
        <f>IF(AND(E200="",F200=""),"",IF(OR(E200&gt;1,F200&gt;1),(F200-E200)/100,F200-E200))</f>
        <v/>
      </c>
      <c r="H200" s="12" t="str">
        <f>IF(G200="","",64*G200)</f>
        <v/>
      </c>
      <c r="I200" s="13"/>
      <c r="J200" s="13" t="str">
        <f>IFERROR(IF(OR(D200="",D200=0),"",I200/D200*100),"")</f>
        <v/>
      </c>
      <c r="K200" s="14"/>
      <c r="L200" s="13" t="str">
        <f>IF(I200="","",I200*K200)</f>
        <v/>
      </c>
      <c r="M200" s="13" t="str">
        <f>IF(B200="","",IFERROR(SUMPRODUCT(ISNUMBER(B$3:B200)*(MONTH(IF(ISNUMBER(B$3:B200),B$3:B200,1))=MONTH(B200))*(YEAR(IF(ISNUMBER(B$3:B200),B$3:B200,1))=YEAR(B200))*IF(ISNUMBER(L$3:L200),L$3:L200,0)),""))</f>
        <v/>
      </c>
      <c r="N200" s="6"/>
      <c r="O200" s="7" t="str">
        <f>IF(AND(B200="",ISNUMBER(B201)),CHOOSE(MONTH(B201),"GENNAIO","FEBBRAIO","MARZO","APRILE","MAGGIO","GIUGNO","LUGLIO","AGOSTO","SETTEMBRE","OTTOBRE","NOVEMBRE","DICEMBRE")&amp;" "&amp;YEAR(B201),"")</f>
        <v/>
      </c>
      <c r="P200" s="12" t="str">
        <f>IF(K200=0.2,"CASA","")</f>
        <v/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" customHeight="1" x14ac:dyDescent="0.2">
      <c r="A201" s="5" t="str">
        <f>IF(AND(B201="",ISNUMBER(B202)),CHOOSE(MONTH(B202),"GENNAIO","FEBBRAIO","MARZO","APRILE","MAGGIO","GIUGNO","LUGLIO","AGOSTO","SETTEMBRE","OTTOBRE","NOVEMBRE","DICEMBRE")&amp;" "&amp;YEAR(B202),"")</f>
        <v/>
      </c>
      <c r="B201" s="11"/>
      <c r="C201" s="12"/>
      <c r="D201" s="12" t="str">
        <f>IF(C201="","",C201-IF(C200&lt;&gt;"",C200,IF(C199&lt;&gt;"",C199,IF(C198&lt;&gt;"",C198,0))))</f>
        <v/>
      </c>
      <c r="E201" s="12"/>
      <c r="F201" s="12"/>
      <c r="G201" s="9" t="str">
        <f>IF(AND(E201="",F201=""),"",IF(OR(E201&gt;1,F201&gt;1),(F201-E201)/100,F201-E201))</f>
        <v/>
      </c>
      <c r="H201" s="12" t="str">
        <f>IF(G201="","",64*G201)</f>
        <v/>
      </c>
      <c r="I201" s="13"/>
      <c r="J201" s="13" t="str">
        <f>IFERROR(IF(OR(D201="",D201=0),"",I201/D201*100),"")</f>
        <v/>
      </c>
      <c r="K201" s="14"/>
      <c r="L201" s="13" t="str">
        <f>IF(I201="","",I201*K201)</f>
        <v/>
      </c>
      <c r="M201" s="13" t="str">
        <f>IF(B201="","",IFERROR(SUMPRODUCT(ISNUMBER(B$3:B201)*(MONTH(IF(ISNUMBER(B$3:B201),B$3:B201,1))=MONTH(B201))*(YEAR(IF(ISNUMBER(B$3:B201),B$3:B201,1))=YEAR(B201))*IF(ISNUMBER(L$3:L201),L$3:L201,0)),""))</f>
        <v/>
      </c>
      <c r="N201" s="6"/>
      <c r="O201" s="7" t="str">
        <f>IF(AND(B201="",ISNUMBER(B202)),CHOOSE(MONTH(B202),"GENNAIO","FEBBRAIO","MARZO","APRILE","MAGGIO","GIUGNO","LUGLIO","AGOSTO","SETTEMBRE","OTTOBRE","NOVEMBRE","DICEMBRE")&amp;" "&amp;YEAR(B202),"")</f>
        <v/>
      </c>
      <c r="P201" s="12" t="str">
        <f>IF(K201=0.2,"CASA","")</f>
        <v/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" customHeight="1" x14ac:dyDescent="0.2">
      <c r="A202" s="5" t="str">
        <f>IF(AND(B202="",ISNUMBER(B203)),CHOOSE(MONTH(B203),"GENNAIO","FEBBRAIO","MARZO","APRILE","MAGGIO","GIUGNO","LUGLIO","AGOSTO","SETTEMBRE","OTTOBRE","NOVEMBRE","DICEMBRE")&amp;" "&amp;YEAR(B203),"")</f>
        <v/>
      </c>
      <c r="B202" s="11"/>
      <c r="C202" s="12"/>
      <c r="D202" s="12" t="str">
        <f>IF(C202="","",C202-IF(C201&lt;&gt;"",C201,IF(C200&lt;&gt;"",C200,IF(C199&lt;&gt;"",C199,0))))</f>
        <v/>
      </c>
      <c r="E202" s="12"/>
      <c r="F202" s="12"/>
      <c r="G202" s="9" t="str">
        <f>IF(AND(E202="",F202=""),"",IF(OR(E202&gt;1,F202&gt;1),(F202-E202)/100,F202-E202))</f>
        <v/>
      </c>
      <c r="H202" s="12" t="str">
        <f>IF(G202="","",64*G202)</f>
        <v/>
      </c>
      <c r="I202" s="13"/>
      <c r="J202" s="13" t="str">
        <f>IFERROR(IF(OR(D202="",D202=0),"",I202/D202*100),"")</f>
        <v/>
      </c>
      <c r="K202" s="14"/>
      <c r="L202" s="13" t="str">
        <f>IF(I202="","",I202*K202)</f>
        <v/>
      </c>
      <c r="M202" s="13" t="str">
        <f>IF(B202="","",IFERROR(SUMPRODUCT(ISNUMBER(B$3:B202)*(MONTH(IF(ISNUMBER(B$3:B202),B$3:B202,1))=MONTH(B202))*(YEAR(IF(ISNUMBER(B$3:B202),B$3:B202,1))=YEAR(B202))*IF(ISNUMBER(L$3:L202),L$3:L202,0)),""))</f>
        <v/>
      </c>
      <c r="N202" s="6"/>
      <c r="O202" s="7" t="str">
        <f>IF(AND(B202="",ISNUMBER(B203)),CHOOSE(MONTH(B203),"GENNAIO","FEBBRAIO","MARZO","APRILE","MAGGIO","GIUGNO","LUGLIO","AGOSTO","SETTEMBRE","OTTOBRE","NOVEMBRE","DICEMBRE")&amp;" "&amp;YEAR(B203),"")</f>
        <v/>
      </c>
      <c r="P202" s="12" t="str">
        <f>IF(K202=0.2,"CASA","")</f>
        <v/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" customHeight="1" x14ac:dyDescent="0.2">
      <c r="A203" s="5" t="str">
        <f>IF(AND(B203="",ISNUMBER(B204)),CHOOSE(MONTH(B204),"GENNAIO","FEBBRAIO","MARZO","APRILE","MAGGIO","GIUGNO","LUGLIO","AGOSTO","SETTEMBRE","OTTOBRE","NOVEMBRE","DICEMBRE")&amp;" "&amp;YEAR(B204),"")</f>
        <v/>
      </c>
      <c r="B203" s="11"/>
      <c r="C203" s="12"/>
      <c r="D203" s="12" t="str">
        <f>IF(C203="","",C203-IF(C202&lt;&gt;"",C202,IF(C201&lt;&gt;"",C201,IF(C200&lt;&gt;"",C200,0))))</f>
        <v/>
      </c>
      <c r="E203" s="12"/>
      <c r="F203" s="12"/>
      <c r="G203" s="9" t="str">
        <f>IF(AND(E203="",F203=""),"",IF(OR(E203&gt;1,F203&gt;1),(F203-E203)/100,F203-E203))</f>
        <v/>
      </c>
      <c r="H203" s="12" t="str">
        <f>IF(G203="","",64*G203)</f>
        <v/>
      </c>
      <c r="I203" s="13"/>
      <c r="J203" s="13" t="str">
        <f>IFERROR(IF(OR(D203="",D203=0),"",I203/D203*100),"")</f>
        <v/>
      </c>
      <c r="K203" s="14"/>
      <c r="L203" s="13" t="str">
        <f>IF(I203="","",I203*K203)</f>
        <v/>
      </c>
      <c r="M203" s="13" t="str">
        <f>IF(B203="","",IFERROR(SUMPRODUCT(ISNUMBER(B$3:B203)*(MONTH(IF(ISNUMBER(B$3:B203),B$3:B203,1))=MONTH(B203))*(YEAR(IF(ISNUMBER(B$3:B203),B$3:B203,1))=YEAR(B203))*IF(ISNUMBER(L$3:L203),L$3:L203,0)),""))</f>
        <v/>
      </c>
      <c r="N203" s="6"/>
      <c r="O203" s="7" t="str">
        <f>IF(AND(B203="",ISNUMBER(B204)),CHOOSE(MONTH(B204),"GENNAIO","FEBBRAIO","MARZO","APRILE","MAGGIO","GIUGNO","LUGLIO","AGOSTO","SETTEMBRE","OTTOBRE","NOVEMBRE","DICEMBRE")&amp;" "&amp;YEAR(B204),"")</f>
        <v/>
      </c>
      <c r="P203" s="12" t="str">
        <f>IF(K203=0.2,"CASA","")</f>
        <v/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" customHeight="1" x14ac:dyDescent="0.2">
      <c r="A204" s="5" t="str">
        <f>IF(AND(B204="",ISNUMBER(B205)),CHOOSE(MONTH(B205),"GENNAIO","FEBBRAIO","MARZO","APRILE","MAGGIO","GIUGNO","LUGLIO","AGOSTO","SETTEMBRE","OTTOBRE","NOVEMBRE","DICEMBRE")&amp;" "&amp;YEAR(B205),"")</f>
        <v/>
      </c>
      <c r="B204" s="11"/>
      <c r="C204" s="12"/>
      <c r="D204" s="12" t="str">
        <f>IF(C204="","",C204-IF(C203&lt;&gt;"",C203,IF(C202&lt;&gt;"",C202,IF(C201&lt;&gt;"",C201,0))))</f>
        <v/>
      </c>
      <c r="E204" s="12"/>
      <c r="F204" s="12"/>
      <c r="G204" s="9" t="str">
        <f>IF(AND(E204="",F204=""),"",IF(OR(E204&gt;1,F204&gt;1),(F204-E204)/100,F204-E204))</f>
        <v/>
      </c>
      <c r="H204" s="12" t="str">
        <f>IF(G204="","",64*G204)</f>
        <v/>
      </c>
      <c r="I204" s="13"/>
      <c r="J204" s="13" t="str">
        <f>IFERROR(IF(OR(D204="",D204=0),"",I204/D204*100),"")</f>
        <v/>
      </c>
      <c r="K204" s="14"/>
      <c r="L204" s="13" t="str">
        <f>IF(I204="","",I204*K204)</f>
        <v/>
      </c>
      <c r="M204" s="13" t="str">
        <f>IF(B204="","",IFERROR(SUMPRODUCT(ISNUMBER(B$3:B204)*(MONTH(IF(ISNUMBER(B$3:B204),B$3:B204,1))=MONTH(B204))*(YEAR(IF(ISNUMBER(B$3:B204),B$3:B204,1))=YEAR(B204))*IF(ISNUMBER(L$3:L204),L$3:L204,0)),""))</f>
        <v/>
      </c>
      <c r="N204" s="6"/>
      <c r="O204" s="7" t="str">
        <f>IF(AND(B204="",ISNUMBER(B205)),CHOOSE(MONTH(B205),"GENNAIO","FEBBRAIO","MARZO","APRILE","MAGGIO","GIUGNO","LUGLIO","AGOSTO","SETTEMBRE","OTTOBRE","NOVEMBRE","DICEMBRE")&amp;" "&amp;YEAR(B205),"")</f>
        <v/>
      </c>
      <c r="P204" s="12" t="str">
        <f>IF(K204=0.2,"CASA","")</f>
        <v/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customHeight="1" x14ac:dyDescent="0.2">
      <c r="A205" s="5" t="str">
        <f>IF(AND(B205="",ISNUMBER(B206)),CHOOSE(MONTH(B206),"GENNAIO","FEBBRAIO","MARZO","APRILE","MAGGIO","GIUGNO","LUGLIO","AGOSTO","SETTEMBRE","OTTOBRE","NOVEMBRE","DICEMBRE")&amp;" "&amp;YEAR(B206),"")</f>
        <v/>
      </c>
      <c r="B205" s="11"/>
      <c r="C205" s="12"/>
      <c r="D205" s="12" t="str">
        <f>IF(C205="","",C205-IF(C204&lt;&gt;"",C204,IF(C203&lt;&gt;"",C203,IF(C202&lt;&gt;"",C202,0))))</f>
        <v/>
      </c>
      <c r="E205" s="12"/>
      <c r="F205" s="12"/>
      <c r="G205" s="9" t="str">
        <f>IF(AND(E205="",F205=""),"",IF(OR(E205&gt;1,F205&gt;1),(F205-E205)/100,F205-E205))</f>
        <v/>
      </c>
      <c r="H205" s="12" t="str">
        <f>IF(G205="","",64*G205)</f>
        <v/>
      </c>
      <c r="I205" s="13"/>
      <c r="J205" s="13" t="str">
        <f>IFERROR(IF(OR(D205="",D205=0),"",I205/D205*100),"")</f>
        <v/>
      </c>
      <c r="K205" s="14"/>
      <c r="L205" s="13" t="str">
        <f>IF(I205="","",I205*K205)</f>
        <v/>
      </c>
      <c r="M205" s="13" t="str">
        <f>IF(B205="","",IFERROR(SUMPRODUCT(ISNUMBER(B$3:B205)*(MONTH(IF(ISNUMBER(B$3:B205),B$3:B205,1))=MONTH(B205))*(YEAR(IF(ISNUMBER(B$3:B205),B$3:B205,1))=YEAR(B205))*IF(ISNUMBER(L$3:L205),L$3:L205,0)),""))</f>
        <v/>
      </c>
      <c r="N205" s="6"/>
      <c r="O205" s="7" t="str">
        <f>IF(AND(B205="",ISNUMBER(B206)),CHOOSE(MONTH(B206),"GENNAIO","FEBBRAIO","MARZO","APRILE","MAGGIO","GIUGNO","LUGLIO","AGOSTO","SETTEMBRE","OTTOBRE","NOVEMBRE","DICEMBRE")&amp;" "&amp;YEAR(B206),"")</f>
        <v/>
      </c>
      <c r="P205" s="12" t="str">
        <f>IF(K205=0.2,"CASA","")</f>
        <v/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" customHeight="1" x14ac:dyDescent="0.2">
      <c r="A206" s="5" t="str">
        <f>IF(AND(B206="",ISNUMBER(B207)),CHOOSE(MONTH(B207),"GENNAIO","FEBBRAIO","MARZO","APRILE","MAGGIO","GIUGNO","LUGLIO","AGOSTO","SETTEMBRE","OTTOBRE","NOVEMBRE","DICEMBRE")&amp;" "&amp;YEAR(B207),"")</f>
        <v/>
      </c>
      <c r="B206" s="11"/>
      <c r="C206" s="12"/>
      <c r="D206" s="12" t="str">
        <f>IF(C206="","",C206-IF(C205&lt;&gt;"",C205,IF(C204&lt;&gt;"",C204,IF(C203&lt;&gt;"",C203,0))))</f>
        <v/>
      </c>
      <c r="E206" s="12"/>
      <c r="F206" s="12"/>
      <c r="G206" s="9" t="str">
        <f>IF(AND(E206="",F206=""),"",IF(OR(E206&gt;1,F206&gt;1),(F206-E206)/100,F206-E206))</f>
        <v/>
      </c>
      <c r="H206" s="12" t="str">
        <f>IF(G206="","",64*G206)</f>
        <v/>
      </c>
      <c r="I206" s="13"/>
      <c r="J206" s="13" t="str">
        <f>IFERROR(IF(OR(D206="",D206=0),"",I206/D206*100),"")</f>
        <v/>
      </c>
      <c r="K206" s="14"/>
      <c r="L206" s="13" t="str">
        <f>IF(I206="","",I206*K206)</f>
        <v/>
      </c>
      <c r="M206" s="13" t="str">
        <f>IF(B206="","",IFERROR(SUMPRODUCT(ISNUMBER(B$3:B206)*(MONTH(IF(ISNUMBER(B$3:B206),B$3:B206,1))=MONTH(B206))*(YEAR(IF(ISNUMBER(B$3:B206),B$3:B206,1))=YEAR(B206))*IF(ISNUMBER(L$3:L206),L$3:L206,0)),""))</f>
        <v/>
      </c>
      <c r="N206" s="6"/>
      <c r="O206" s="7" t="str">
        <f>IF(AND(B206="",ISNUMBER(B207)),CHOOSE(MONTH(B207),"GENNAIO","FEBBRAIO","MARZO","APRILE","MAGGIO","GIUGNO","LUGLIO","AGOSTO","SETTEMBRE","OTTOBRE","NOVEMBRE","DICEMBRE")&amp;" "&amp;YEAR(B207),"")</f>
        <v/>
      </c>
      <c r="P206" s="12" t="str">
        <f>IF(K206=0.2,"CASA","")</f>
        <v/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" customHeight="1" x14ac:dyDescent="0.2">
      <c r="A207" s="5" t="str">
        <f>IF(AND(B207="",ISNUMBER(B208)),CHOOSE(MONTH(B208),"GENNAIO","FEBBRAIO","MARZO","APRILE","MAGGIO","GIUGNO","LUGLIO","AGOSTO","SETTEMBRE","OTTOBRE","NOVEMBRE","DICEMBRE")&amp;" "&amp;YEAR(B208),"")</f>
        <v/>
      </c>
      <c r="B207" s="11"/>
      <c r="C207" s="12"/>
      <c r="D207" s="12" t="str">
        <f>IF(C207="","",C207-IF(C206&lt;&gt;"",C206,IF(C205&lt;&gt;"",C205,IF(C204&lt;&gt;"",C204,0))))</f>
        <v/>
      </c>
      <c r="E207" s="12"/>
      <c r="F207" s="12"/>
      <c r="G207" s="9" t="str">
        <f>IF(AND(E207="",F207=""),"",IF(OR(E207&gt;1,F207&gt;1),(F207-E207)/100,F207-E207))</f>
        <v/>
      </c>
      <c r="H207" s="12" t="str">
        <f>IF(G207="","",64*G207)</f>
        <v/>
      </c>
      <c r="I207" s="13"/>
      <c r="J207" s="13" t="str">
        <f>IFERROR(IF(OR(D207="",D207=0),"",I207/D207*100),"")</f>
        <v/>
      </c>
      <c r="K207" s="14"/>
      <c r="L207" s="13" t="str">
        <f>IF(I207="","",I207*K207)</f>
        <v/>
      </c>
      <c r="M207" s="13" t="str">
        <f>IF(B207="","",IFERROR(SUMPRODUCT(ISNUMBER(B$3:B207)*(MONTH(IF(ISNUMBER(B$3:B207),B$3:B207,1))=MONTH(B207))*(YEAR(IF(ISNUMBER(B$3:B207),B$3:B207,1))=YEAR(B207))*IF(ISNUMBER(L$3:L207),L$3:L207,0)),""))</f>
        <v/>
      </c>
      <c r="N207" s="6"/>
      <c r="O207" s="7" t="str">
        <f>IF(AND(B207="",ISNUMBER(B208)),CHOOSE(MONTH(B208),"GENNAIO","FEBBRAIO","MARZO","APRILE","MAGGIO","GIUGNO","LUGLIO","AGOSTO","SETTEMBRE","OTTOBRE","NOVEMBRE","DICEMBRE")&amp;" "&amp;YEAR(B208),"")</f>
        <v/>
      </c>
      <c r="P207" s="12" t="str">
        <f>IF(K207=0.2,"CASA","")</f>
        <v/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" customHeight="1" x14ac:dyDescent="0.2">
      <c r="A208" s="5" t="str">
        <f>IF(AND(B208="",ISNUMBER(B209)),CHOOSE(MONTH(B209),"GENNAIO","FEBBRAIO","MARZO","APRILE","MAGGIO","GIUGNO","LUGLIO","AGOSTO","SETTEMBRE","OTTOBRE","NOVEMBRE","DICEMBRE")&amp;" "&amp;YEAR(B209),"")</f>
        <v/>
      </c>
      <c r="B208" s="11"/>
      <c r="C208" s="12"/>
      <c r="D208" s="12" t="str">
        <f>IF(C208="","",C208-IF(C207&lt;&gt;"",C207,IF(C206&lt;&gt;"",C206,IF(C205&lt;&gt;"",C205,0))))</f>
        <v/>
      </c>
      <c r="E208" s="12"/>
      <c r="F208" s="12"/>
      <c r="G208" s="9" t="str">
        <f>IF(AND(E208="",F208=""),"",IF(OR(E208&gt;1,F208&gt;1),(F208-E208)/100,F208-E208))</f>
        <v/>
      </c>
      <c r="H208" s="12" t="str">
        <f>IF(G208="","",64*G208)</f>
        <v/>
      </c>
      <c r="I208" s="13"/>
      <c r="J208" s="13" t="str">
        <f>IFERROR(IF(OR(D208="",D208=0),"",I208/D208*100),"")</f>
        <v/>
      </c>
      <c r="K208" s="14"/>
      <c r="L208" s="13" t="str">
        <f>IF(I208="","",I208*K208)</f>
        <v/>
      </c>
      <c r="M208" s="13" t="str">
        <f>IF(B208="","",IFERROR(SUMPRODUCT(ISNUMBER(B$3:B208)*(MONTH(IF(ISNUMBER(B$3:B208),B$3:B208,1))=MONTH(B208))*(YEAR(IF(ISNUMBER(B$3:B208),B$3:B208,1))=YEAR(B208))*IF(ISNUMBER(L$3:L208),L$3:L208,0)),""))</f>
        <v/>
      </c>
      <c r="N208" s="6"/>
      <c r="O208" s="7" t="str">
        <f>IF(AND(B208="",ISNUMBER(B209)),CHOOSE(MONTH(B209),"GENNAIO","FEBBRAIO","MARZO","APRILE","MAGGIO","GIUGNO","LUGLIO","AGOSTO","SETTEMBRE","OTTOBRE","NOVEMBRE","DICEMBRE")&amp;" "&amp;YEAR(B209),"")</f>
        <v/>
      </c>
      <c r="P208" s="12" t="str">
        <f>IF(K208=0.2,"CASA","")</f>
        <v/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" customHeight="1" x14ac:dyDescent="0.2">
      <c r="A209" s="5" t="str">
        <f>IF(AND(B209="",ISNUMBER(B210)),CHOOSE(MONTH(B210),"GENNAIO","FEBBRAIO","MARZO","APRILE","MAGGIO","GIUGNO","LUGLIO","AGOSTO","SETTEMBRE","OTTOBRE","NOVEMBRE","DICEMBRE")&amp;" "&amp;YEAR(B210),"")</f>
        <v/>
      </c>
      <c r="B209" s="11"/>
      <c r="C209" s="12"/>
      <c r="D209" s="12" t="str">
        <f>IF(C209="","",C209-IF(C208&lt;&gt;"",C208,IF(C207&lt;&gt;"",C207,IF(C206&lt;&gt;"",C206,0))))</f>
        <v/>
      </c>
      <c r="E209" s="12"/>
      <c r="F209" s="12"/>
      <c r="G209" s="9" t="str">
        <f>IF(AND(E209="",F209=""),"",IF(OR(E209&gt;1,F209&gt;1),(F209-E209)/100,F209-E209))</f>
        <v/>
      </c>
      <c r="H209" s="12" t="str">
        <f>IF(G209="","",64*G209)</f>
        <v/>
      </c>
      <c r="I209" s="13"/>
      <c r="J209" s="13" t="str">
        <f>IFERROR(IF(OR(D209="",D209=0),"",I209/D209*100),"")</f>
        <v/>
      </c>
      <c r="K209" s="14"/>
      <c r="L209" s="13" t="str">
        <f>IF(I209="","",I209*K209)</f>
        <v/>
      </c>
      <c r="M209" s="13" t="str">
        <f>IF(B209="","",IFERROR(SUMPRODUCT(ISNUMBER(B$3:B209)*(MONTH(IF(ISNUMBER(B$3:B209),B$3:B209,1))=MONTH(B209))*(YEAR(IF(ISNUMBER(B$3:B209),B$3:B209,1))=YEAR(B209))*IF(ISNUMBER(L$3:L209),L$3:L209,0)),""))</f>
        <v/>
      </c>
      <c r="N209" s="6"/>
      <c r="O209" s="7" t="str">
        <f>IF(AND(B209="",ISNUMBER(B210)),CHOOSE(MONTH(B210),"GENNAIO","FEBBRAIO","MARZO","APRILE","MAGGIO","GIUGNO","LUGLIO","AGOSTO","SETTEMBRE","OTTOBRE","NOVEMBRE","DICEMBRE")&amp;" "&amp;YEAR(B210),"")</f>
        <v/>
      </c>
      <c r="P209" s="12" t="str">
        <f>IF(K209=0.2,"CASA","")</f>
        <v/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" customHeight="1" x14ac:dyDescent="0.2">
      <c r="A210" s="5" t="str">
        <f>IF(AND(B210="",ISNUMBER(B211)),CHOOSE(MONTH(B211),"GENNAIO","FEBBRAIO","MARZO","APRILE","MAGGIO","GIUGNO","LUGLIO","AGOSTO","SETTEMBRE","OTTOBRE","NOVEMBRE","DICEMBRE")&amp;" "&amp;YEAR(B211),"")</f>
        <v/>
      </c>
      <c r="B210" s="11"/>
      <c r="C210" s="12"/>
      <c r="D210" s="12" t="str">
        <f>IF(C210="","",C210-IF(C209&lt;&gt;"",C209,IF(C208&lt;&gt;"",C208,IF(C207&lt;&gt;"",C207,0))))</f>
        <v/>
      </c>
      <c r="E210" s="12"/>
      <c r="F210" s="12"/>
      <c r="G210" s="9" t="str">
        <f>IF(AND(E210="",F210=""),"",IF(OR(E210&gt;1,F210&gt;1),(F210-E210)/100,F210-E210))</f>
        <v/>
      </c>
      <c r="H210" s="12" t="str">
        <f>IF(G210="","",64*G210)</f>
        <v/>
      </c>
      <c r="I210" s="13"/>
      <c r="J210" s="13" t="str">
        <f>IFERROR(IF(OR(D210="",D210=0),"",I210/D210*100),"")</f>
        <v/>
      </c>
      <c r="K210" s="14"/>
      <c r="L210" s="13" t="str">
        <f>IF(I210="","",I210*K210)</f>
        <v/>
      </c>
      <c r="M210" s="13" t="str">
        <f>IF(B210="","",IFERROR(SUMPRODUCT(ISNUMBER(B$3:B210)*(MONTH(IF(ISNUMBER(B$3:B210),B$3:B210,1))=MONTH(B210))*(YEAR(IF(ISNUMBER(B$3:B210),B$3:B210,1))=YEAR(B210))*IF(ISNUMBER(L$3:L210),L$3:L210,0)),""))</f>
        <v/>
      </c>
      <c r="N210" s="6"/>
      <c r="O210" s="7" t="str">
        <f>IF(AND(B210="",ISNUMBER(B211)),CHOOSE(MONTH(B211),"GENNAIO","FEBBRAIO","MARZO","APRILE","MAGGIO","GIUGNO","LUGLIO","AGOSTO","SETTEMBRE","OTTOBRE","NOVEMBRE","DICEMBRE")&amp;" "&amp;YEAR(B211),"")</f>
        <v/>
      </c>
      <c r="P210" s="12" t="str">
        <f>IF(K210=0.2,"CASA","")</f>
        <v/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" customHeight="1" x14ac:dyDescent="0.2">
      <c r="A211" s="5" t="str">
        <f>IF(AND(B211="",ISNUMBER(B212)),CHOOSE(MONTH(B212),"GENNAIO","FEBBRAIO","MARZO","APRILE","MAGGIO","GIUGNO","LUGLIO","AGOSTO","SETTEMBRE","OTTOBRE","NOVEMBRE","DICEMBRE")&amp;" "&amp;YEAR(B212),"")</f>
        <v/>
      </c>
      <c r="B211" s="11"/>
      <c r="C211" s="12"/>
      <c r="D211" s="12" t="str">
        <f>IF(C211="","",C211-IF(C210&lt;&gt;"",C210,IF(C209&lt;&gt;"",C209,IF(C208&lt;&gt;"",C208,0))))</f>
        <v/>
      </c>
      <c r="E211" s="12"/>
      <c r="F211" s="12"/>
      <c r="G211" s="9" t="str">
        <f>IF(AND(E211="",F211=""),"",IF(OR(E211&gt;1,F211&gt;1),(F211-E211)/100,F211-E211))</f>
        <v/>
      </c>
      <c r="H211" s="12" t="str">
        <f>IF(G211="","",64*G211)</f>
        <v/>
      </c>
      <c r="I211" s="13"/>
      <c r="J211" s="13" t="str">
        <f>IFERROR(IF(OR(D211="",D211=0),"",I211/D211*100),"")</f>
        <v/>
      </c>
      <c r="K211" s="14"/>
      <c r="L211" s="13" t="str">
        <f>IF(I211="","",I211*K211)</f>
        <v/>
      </c>
      <c r="M211" s="13" t="str">
        <f>IF(B211="","",IFERROR(SUMPRODUCT(ISNUMBER(B$3:B211)*(MONTH(IF(ISNUMBER(B$3:B211),B$3:B211,1))=MONTH(B211))*(YEAR(IF(ISNUMBER(B$3:B211),B$3:B211,1))=YEAR(B211))*IF(ISNUMBER(L$3:L211),L$3:L211,0)),""))</f>
        <v/>
      </c>
      <c r="N211" s="6"/>
      <c r="O211" s="7" t="str">
        <f>IF(AND(B211="",ISNUMBER(B212)),CHOOSE(MONTH(B212),"GENNAIO","FEBBRAIO","MARZO","APRILE","MAGGIO","GIUGNO","LUGLIO","AGOSTO","SETTEMBRE","OTTOBRE","NOVEMBRE","DICEMBRE")&amp;" "&amp;YEAR(B212),"")</f>
        <v/>
      </c>
      <c r="P211" s="12" t="str">
        <f>IF(K211=0.2,"CASA","")</f>
        <v/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" customHeight="1" x14ac:dyDescent="0.2">
      <c r="A212" s="5" t="str">
        <f>IF(AND(B212="",ISNUMBER(B213)),CHOOSE(MONTH(B213),"GENNAIO","FEBBRAIO","MARZO","APRILE","MAGGIO","GIUGNO","LUGLIO","AGOSTO","SETTEMBRE","OTTOBRE","NOVEMBRE","DICEMBRE")&amp;" "&amp;YEAR(B213),"")</f>
        <v/>
      </c>
      <c r="B212" s="11"/>
      <c r="C212" s="12"/>
      <c r="D212" s="12" t="str">
        <f>IF(C212="","",C212-IF(C211&lt;&gt;"",C211,IF(C210&lt;&gt;"",C210,IF(C209&lt;&gt;"",C209,0))))</f>
        <v/>
      </c>
      <c r="E212" s="12"/>
      <c r="F212" s="12"/>
      <c r="G212" s="9" t="str">
        <f>IF(AND(E212="",F212=""),"",IF(OR(E212&gt;1,F212&gt;1),(F212-E212)/100,F212-E212))</f>
        <v/>
      </c>
      <c r="H212" s="12" t="str">
        <f>IF(G212="","",64*G212)</f>
        <v/>
      </c>
      <c r="I212" s="13"/>
      <c r="J212" s="13" t="str">
        <f>IFERROR(IF(OR(D212="",D212=0),"",I212/D212*100),"")</f>
        <v/>
      </c>
      <c r="K212" s="14"/>
      <c r="L212" s="13" t="str">
        <f>IF(I212="","",I212*K212)</f>
        <v/>
      </c>
      <c r="M212" s="13" t="str">
        <f>IF(B212="","",IFERROR(SUMPRODUCT(ISNUMBER(B$3:B212)*(MONTH(IF(ISNUMBER(B$3:B212),B$3:B212,1))=MONTH(B212))*(YEAR(IF(ISNUMBER(B$3:B212),B$3:B212,1))=YEAR(B212))*IF(ISNUMBER(L$3:L212),L$3:L212,0)),""))</f>
        <v/>
      </c>
      <c r="N212" s="6"/>
      <c r="O212" s="7" t="str">
        <f>IF(AND(B212="",ISNUMBER(B213)),CHOOSE(MONTH(B213),"GENNAIO","FEBBRAIO","MARZO","APRILE","MAGGIO","GIUGNO","LUGLIO","AGOSTO","SETTEMBRE","OTTOBRE","NOVEMBRE","DICEMBRE")&amp;" "&amp;YEAR(B213),"")</f>
        <v/>
      </c>
      <c r="P212" s="12" t="str">
        <f>IF(K212=0.2,"CASA","")</f>
        <v/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" customHeight="1" x14ac:dyDescent="0.2">
      <c r="A213" s="5" t="str">
        <f>IF(AND(B213="",ISNUMBER(B214)),CHOOSE(MONTH(B214),"GENNAIO","FEBBRAIO","MARZO","APRILE","MAGGIO","GIUGNO","LUGLIO","AGOSTO","SETTEMBRE","OTTOBRE","NOVEMBRE","DICEMBRE")&amp;" "&amp;YEAR(B214),"")</f>
        <v/>
      </c>
      <c r="B213" s="11"/>
      <c r="C213" s="12"/>
      <c r="D213" s="12" t="str">
        <f>IF(C213="","",C213-IF(C212&lt;&gt;"",C212,IF(C211&lt;&gt;"",C211,IF(C210&lt;&gt;"",C210,0))))</f>
        <v/>
      </c>
      <c r="E213" s="12"/>
      <c r="F213" s="12"/>
      <c r="G213" s="9" t="str">
        <f>IF(AND(E213="",F213=""),"",IF(OR(E213&gt;1,F213&gt;1),(F213-E213)/100,F213-E213))</f>
        <v/>
      </c>
      <c r="H213" s="12" t="str">
        <f>IF(G213="","",64*G213)</f>
        <v/>
      </c>
      <c r="I213" s="13"/>
      <c r="J213" s="13" t="str">
        <f>IFERROR(IF(OR(D213="",D213=0),"",I213/D213*100),"")</f>
        <v/>
      </c>
      <c r="K213" s="14"/>
      <c r="L213" s="13" t="str">
        <f>IF(I213="","",I213*K213)</f>
        <v/>
      </c>
      <c r="M213" s="13" t="str">
        <f>IF(B213="","",IFERROR(SUMPRODUCT(ISNUMBER(B$3:B213)*(MONTH(IF(ISNUMBER(B$3:B213),B$3:B213,1))=MONTH(B213))*(YEAR(IF(ISNUMBER(B$3:B213),B$3:B213,1))=YEAR(B213))*IF(ISNUMBER(L$3:L213),L$3:L213,0)),""))</f>
        <v/>
      </c>
      <c r="N213" s="6"/>
      <c r="O213" s="7" t="str">
        <f>IF(AND(B213="",ISNUMBER(B214)),CHOOSE(MONTH(B214),"GENNAIO","FEBBRAIO","MARZO","APRILE","MAGGIO","GIUGNO","LUGLIO","AGOSTO","SETTEMBRE","OTTOBRE","NOVEMBRE","DICEMBRE")&amp;" "&amp;YEAR(B214),"")</f>
        <v/>
      </c>
      <c r="P213" s="12" t="str">
        <f>IF(K213=0.2,"CASA","")</f>
        <v/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" customHeight="1" x14ac:dyDescent="0.2">
      <c r="A214" s="5" t="str">
        <f>IF(AND(B214="",ISNUMBER(B215)),CHOOSE(MONTH(B215),"GENNAIO","FEBBRAIO","MARZO","APRILE","MAGGIO","GIUGNO","LUGLIO","AGOSTO","SETTEMBRE","OTTOBRE","NOVEMBRE","DICEMBRE")&amp;" "&amp;YEAR(B215),"")</f>
        <v/>
      </c>
      <c r="B214" s="11"/>
      <c r="C214" s="12"/>
      <c r="D214" s="12" t="str">
        <f>IF(C214="","",C214-IF(C213&lt;&gt;"",C213,IF(C212&lt;&gt;"",C212,IF(C211&lt;&gt;"",C211,0))))</f>
        <v/>
      </c>
      <c r="E214" s="12"/>
      <c r="F214" s="12"/>
      <c r="G214" s="9" t="str">
        <f>IF(AND(E214="",F214=""),"",IF(OR(E214&gt;1,F214&gt;1),(F214-E214)/100,F214-E214))</f>
        <v/>
      </c>
      <c r="H214" s="12" t="str">
        <f>IF(G214="","",64*G214)</f>
        <v/>
      </c>
      <c r="I214" s="13"/>
      <c r="J214" s="13" t="str">
        <f>IFERROR(IF(OR(D214="",D214=0),"",I214/D214*100),"")</f>
        <v/>
      </c>
      <c r="K214" s="14"/>
      <c r="L214" s="13" t="str">
        <f>IF(I214="","",I214*K214)</f>
        <v/>
      </c>
      <c r="M214" s="13" t="str">
        <f>IF(B214="","",IFERROR(SUMPRODUCT(ISNUMBER(B$3:B214)*(MONTH(IF(ISNUMBER(B$3:B214),B$3:B214,1))=MONTH(B214))*(YEAR(IF(ISNUMBER(B$3:B214),B$3:B214,1))=YEAR(B214))*IF(ISNUMBER(L$3:L214),L$3:L214,0)),""))</f>
        <v/>
      </c>
      <c r="N214" s="6"/>
      <c r="O214" s="7" t="str">
        <f>IF(AND(B214="",ISNUMBER(B215)),CHOOSE(MONTH(B215),"GENNAIO","FEBBRAIO","MARZO","APRILE","MAGGIO","GIUGNO","LUGLIO","AGOSTO","SETTEMBRE","OTTOBRE","NOVEMBRE","DICEMBRE")&amp;" "&amp;YEAR(B215),"")</f>
        <v/>
      </c>
      <c r="P214" s="12" t="str">
        <f>IF(K214=0.2,"CASA","")</f>
        <v/>
      </c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" customHeight="1" x14ac:dyDescent="0.2">
      <c r="A215" s="5" t="str">
        <f>IF(AND(B215="",ISNUMBER(B216)),CHOOSE(MONTH(B216),"GENNAIO","FEBBRAIO","MARZO","APRILE","MAGGIO","GIUGNO","LUGLIO","AGOSTO","SETTEMBRE","OTTOBRE","NOVEMBRE","DICEMBRE")&amp;" "&amp;YEAR(B216),"")</f>
        <v/>
      </c>
      <c r="B215" s="11"/>
      <c r="C215" s="12"/>
      <c r="D215" s="12" t="str">
        <f>IF(C215="","",C215-IF(C214&lt;&gt;"",C214,IF(C213&lt;&gt;"",C213,IF(C212&lt;&gt;"",C212,0))))</f>
        <v/>
      </c>
      <c r="E215" s="12"/>
      <c r="F215" s="12"/>
      <c r="G215" s="9" t="str">
        <f>IF(AND(E215="",F215=""),"",IF(OR(E215&gt;1,F215&gt;1),(F215-E215)/100,F215-E215))</f>
        <v/>
      </c>
      <c r="H215" s="12" t="str">
        <f>IF(G215="","",64*G215)</f>
        <v/>
      </c>
      <c r="I215" s="13"/>
      <c r="J215" s="13" t="str">
        <f>IFERROR(IF(OR(D215="",D215=0),"",I215/D215*100),"")</f>
        <v/>
      </c>
      <c r="K215" s="14"/>
      <c r="L215" s="13" t="str">
        <f>IF(I215="","",I215*K215)</f>
        <v/>
      </c>
      <c r="M215" s="13" t="str">
        <f>IF(B215="","",IFERROR(SUMPRODUCT(ISNUMBER(B$3:B215)*(MONTH(IF(ISNUMBER(B$3:B215),B$3:B215,1))=MONTH(B215))*(YEAR(IF(ISNUMBER(B$3:B215),B$3:B215,1))=YEAR(B215))*IF(ISNUMBER(L$3:L215),L$3:L215,0)),""))</f>
        <v/>
      </c>
      <c r="N215" s="6"/>
      <c r="O215" s="7" t="str">
        <f>IF(AND(B215="",ISNUMBER(B216)),CHOOSE(MONTH(B216),"GENNAIO","FEBBRAIO","MARZO","APRILE","MAGGIO","GIUGNO","LUGLIO","AGOSTO","SETTEMBRE","OTTOBRE","NOVEMBRE","DICEMBRE")&amp;" "&amp;YEAR(B216),"")</f>
        <v/>
      </c>
      <c r="P215" s="12" t="str">
        <f>IF(K215=0.2,"CASA","")</f>
        <v/>
      </c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" customHeight="1" x14ac:dyDescent="0.2">
      <c r="A216" s="5" t="str">
        <f>IF(AND(B216="",ISNUMBER(B217)),CHOOSE(MONTH(B217),"GENNAIO","FEBBRAIO","MARZO","APRILE","MAGGIO","GIUGNO","LUGLIO","AGOSTO","SETTEMBRE","OTTOBRE","NOVEMBRE","DICEMBRE")&amp;" "&amp;YEAR(B217),"")</f>
        <v/>
      </c>
      <c r="B216" s="11"/>
      <c r="C216" s="12"/>
      <c r="D216" s="12" t="str">
        <f>IF(C216="","",C216-IF(C215&lt;&gt;"",C215,IF(C214&lt;&gt;"",C214,IF(C213&lt;&gt;"",C213,0))))</f>
        <v/>
      </c>
      <c r="E216" s="12"/>
      <c r="F216" s="12"/>
      <c r="G216" s="9" t="str">
        <f>IF(AND(E216="",F216=""),"",IF(OR(E216&gt;1,F216&gt;1),(F216-E216)/100,F216-E216))</f>
        <v/>
      </c>
      <c r="H216" s="12" t="str">
        <f>IF(G216="","",64*G216)</f>
        <v/>
      </c>
      <c r="I216" s="13"/>
      <c r="J216" s="13" t="str">
        <f>IFERROR(IF(OR(D216="",D216=0),"",I216/D216*100),"")</f>
        <v/>
      </c>
      <c r="K216" s="14"/>
      <c r="L216" s="13" t="str">
        <f>IF(I216="","",I216*K216)</f>
        <v/>
      </c>
      <c r="M216" s="13" t="str">
        <f>IF(B216="","",IFERROR(SUMPRODUCT(ISNUMBER(B$3:B216)*(MONTH(IF(ISNUMBER(B$3:B216),B$3:B216,1))=MONTH(B216))*(YEAR(IF(ISNUMBER(B$3:B216),B$3:B216,1))=YEAR(B216))*IF(ISNUMBER(L$3:L216),L$3:L216,0)),""))</f>
        <v/>
      </c>
      <c r="N216" s="6"/>
      <c r="O216" s="7" t="str">
        <f>IF(AND(B216="",ISNUMBER(B217)),CHOOSE(MONTH(B217),"GENNAIO","FEBBRAIO","MARZO","APRILE","MAGGIO","GIUGNO","LUGLIO","AGOSTO","SETTEMBRE","OTTOBRE","NOVEMBRE","DICEMBRE")&amp;" "&amp;YEAR(B217),"")</f>
        <v/>
      </c>
      <c r="P216" s="12" t="str">
        <f>IF(K216=0.2,"CASA","")</f>
        <v/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" customHeight="1" x14ac:dyDescent="0.2">
      <c r="A217" s="5" t="str">
        <f>IF(AND(B217="",ISNUMBER(B218)),CHOOSE(MONTH(B218),"GENNAIO","FEBBRAIO","MARZO","APRILE","MAGGIO","GIUGNO","LUGLIO","AGOSTO","SETTEMBRE","OTTOBRE","NOVEMBRE","DICEMBRE")&amp;" "&amp;YEAR(B218),"")</f>
        <v/>
      </c>
      <c r="B217" s="11"/>
      <c r="C217" s="12"/>
      <c r="D217" s="12" t="str">
        <f>IF(C217="","",C217-IF(C216&lt;&gt;"",C216,IF(C215&lt;&gt;"",C215,IF(C214&lt;&gt;"",C214,0))))</f>
        <v/>
      </c>
      <c r="E217" s="12"/>
      <c r="F217" s="12"/>
      <c r="G217" s="9" t="str">
        <f>IF(AND(E217="",F217=""),"",IF(OR(E217&gt;1,F217&gt;1),(F217-E217)/100,F217-E217))</f>
        <v/>
      </c>
      <c r="H217" s="12" t="str">
        <f>IF(G217="","",64*G217)</f>
        <v/>
      </c>
      <c r="I217" s="13"/>
      <c r="J217" s="13" t="str">
        <f>IFERROR(IF(OR(D217="",D217=0),"",I217/D217*100),"")</f>
        <v/>
      </c>
      <c r="K217" s="14"/>
      <c r="L217" s="13" t="str">
        <f>IF(I217="","",I217*K217)</f>
        <v/>
      </c>
      <c r="M217" s="13" t="str">
        <f>IF(B217="","",IFERROR(SUMPRODUCT(ISNUMBER(B$3:B217)*(MONTH(IF(ISNUMBER(B$3:B217),B$3:B217,1))=MONTH(B217))*(YEAR(IF(ISNUMBER(B$3:B217),B$3:B217,1))=YEAR(B217))*IF(ISNUMBER(L$3:L217),L$3:L217,0)),""))</f>
        <v/>
      </c>
      <c r="N217" s="6"/>
      <c r="O217" s="7" t="str">
        <f>IF(AND(B217="",ISNUMBER(B218)),CHOOSE(MONTH(B218),"GENNAIO","FEBBRAIO","MARZO","APRILE","MAGGIO","GIUGNO","LUGLIO","AGOSTO","SETTEMBRE","OTTOBRE","NOVEMBRE","DICEMBRE")&amp;" "&amp;YEAR(B218),"")</f>
        <v/>
      </c>
      <c r="P217" s="12" t="str">
        <f>IF(K217=0.2,"CASA","")</f>
        <v/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" customHeight="1" x14ac:dyDescent="0.2">
      <c r="A218" s="5" t="str">
        <f>IF(AND(B218="",ISNUMBER(B219)),CHOOSE(MONTH(B219),"GENNAIO","FEBBRAIO","MARZO","APRILE","MAGGIO","GIUGNO","LUGLIO","AGOSTO","SETTEMBRE","OTTOBRE","NOVEMBRE","DICEMBRE")&amp;" "&amp;YEAR(B219),"")</f>
        <v/>
      </c>
      <c r="B218" s="11"/>
      <c r="C218" s="12"/>
      <c r="D218" s="12" t="str">
        <f>IF(C218="","",C218-IF(C217&lt;&gt;"",C217,IF(C216&lt;&gt;"",C216,IF(C215&lt;&gt;"",C215,0))))</f>
        <v/>
      </c>
      <c r="E218" s="12"/>
      <c r="F218" s="12"/>
      <c r="G218" s="9" t="str">
        <f>IF(AND(E218="",F218=""),"",IF(OR(E218&gt;1,F218&gt;1),(F218-E218)/100,F218-E218))</f>
        <v/>
      </c>
      <c r="H218" s="12" t="str">
        <f>IF(G218="","",64*G218)</f>
        <v/>
      </c>
      <c r="I218" s="13"/>
      <c r="J218" s="13" t="str">
        <f>IFERROR(IF(OR(D218="",D218=0),"",I218/D218*100),"")</f>
        <v/>
      </c>
      <c r="K218" s="14"/>
      <c r="L218" s="13" t="str">
        <f>IF(I218="","",I218*K218)</f>
        <v/>
      </c>
      <c r="M218" s="13" t="str">
        <f>IF(B218="","",IFERROR(SUMPRODUCT(ISNUMBER(B$3:B218)*(MONTH(IF(ISNUMBER(B$3:B218),B$3:B218,1))=MONTH(B218))*(YEAR(IF(ISNUMBER(B$3:B218),B$3:B218,1))=YEAR(B218))*IF(ISNUMBER(L$3:L218),L$3:L218,0)),""))</f>
        <v/>
      </c>
      <c r="N218" s="6"/>
      <c r="O218" s="7" t="str">
        <f>IF(AND(B218="",ISNUMBER(B219)),CHOOSE(MONTH(B219),"GENNAIO","FEBBRAIO","MARZO","APRILE","MAGGIO","GIUGNO","LUGLIO","AGOSTO","SETTEMBRE","OTTOBRE","NOVEMBRE","DICEMBRE")&amp;" "&amp;YEAR(B219),"")</f>
        <v/>
      </c>
      <c r="P218" s="12" t="str">
        <f>IF(K218=0.2,"CASA","")</f>
        <v/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" customHeight="1" x14ac:dyDescent="0.2">
      <c r="A219" s="5" t="str">
        <f>IF(AND(B219="",ISNUMBER(B220)),CHOOSE(MONTH(B220),"GENNAIO","FEBBRAIO","MARZO","APRILE","MAGGIO","GIUGNO","LUGLIO","AGOSTO","SETTEMBRE","OTTOBRE","NOVEMBRE","DICEMBRE")&amp;" "&amp;YEAR(B220),"")</f>
        <v/>
      </c>
      <c r="B219" s="11"/>
      <c r="C219" s="12"/>
      <c r="D219" s="12" t="str">
        <f>IF(C219="","",C219-IF(C218&lt;&gt;"",C218,IF(C217&lt;&gt;"",C217,IF(C216&lt;&gt;"",C216,0))))</f>
        <v/>
      </c>
      <c r="E219" s="12"/>
      <c r="F219" s="12"/>
      <c r="G219" s="9" t="str">
        <f>IF(AND(E219="",F219=""),"",IF(OR(E219&gt;1,F219&gt;1),(F219-E219)/100,F219-E219))</f>
        <v/>
      </c>
      <c r="H219" s="12" t="str">
        <f>IF(G219="","",64*G219)</f>
        <v/>
      </c>
      <c r="I219" s="13"/>
      <c r="J219" s="13" t="str">
        <f>IFERROR(IF(OR(D219="",D219=0),"",I219/D219*100),"")</f>
        <v/>
      </c>
      <c r="K219" s="14"/>
      <c r="L219" s="13" t="str">
        <f>IF(I219="","",I219*K219)</f>
        <v/>
      </c>
      <c r="M219" s="13" t="str">
        <f>IF(B219="","",IFERROR(SUMPRODUCT(ISNUMBER(B$3:B219)*(MONTH(IF(ISNUMBER(B$3:B219),B$3:B219,1))=MONTH(B219))*(YEAR(IF(ISNUMBER(B$3:B219),B$3:B219,1))=YEAR(B219))*IF(ISNUMBER(L$3:L219),L$3:L219,0)),""))</f>
        <v/>
      </c>
      <c r="N219" s="6"/>
      <c r="O219" s="7" t="str">
        <f>IF(AND(B219="",ISNUMBER(B220)),CHOOSE(MONTH(B220),"GENNAIO","FEBBRAIO","MARZO","APRILE","MAGGIO","GIUGNO","LUGLIO","AGOSTO","SETTEMBRE","OTTOBRE","NOVEMBRE","DICEMBRE")&amp;" "&amp;YEAR(B220),"")</f>
        <v/>
      </c>
      <c r="P219" s="12" t="str">
        <f>IF(K219=0.2,"CASA","")</f>
        <v/>
      </c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" customHeight="1" x14ac:dyDescent="0.2">
      <c r="A220" s="5" t="str">
        <f>IF(AND(B220="",ISNUMBER(B221)),CHOOSE(MONTH(B221),"GENNAIO","FEBBRAIO","MARZO","APRILE","MAGGIO","GIUGNO","LUGLIO","AGOSTO","SETTEMBRE","OTTOBRE","NOVEMBRE","DICEMBRE")&amp;" "&amp;YEAR(B221),"")</f>
        <v/>
      </c>
      <c r="B220" s="11"/>
      <c r="C220" s="12"/>
      <c r="D220" s="12" t="str">
        <f>IF(C220="","",C220-IF(C219&lt;&gt;"",C219,IF(C218&lt;&gt;"",C218,IF(C217&lt;&gt;"",C217,0))))</f>
        <v/>
      </c>
      <c r="E220" s="12"/>
      <c r="F220" s="12"/>
      <c r="G220" s="9" t="str">
        <f>IF(AND(E220="",F220=""),"",IF(OR(E220&gt;1,F220&gt;1),(F220-E220)/100,F220-E220))</f>
        <v/>
      </c>
      <c r="H220" s="12" t="str">
        <f>IF(G220="","",64*G220)</f>
        <v/>
      </c>
      <c r="I220" s="13"/>
      <c r="J220" s="13" t="str">
        <f>IFERROR(IF(OR(D220="",D220=0),"",I220/D220*100),"")</f>
        <v/>
      </c>
      <c r="K220" s="14"/>
      <c r="L220" s="13" t="str">
        <f>IF(I220="","",I220*K220)</f>
        <v/>
      </c>
      <c r="M220" s="13" t="str">
        <f>IF(B220="","",IFERROR(SUMPRODUCT(ISNUMBER(B$3:B220)*(MONTH(IF(ISNUMBER(B$3:B220),B$3:B220,1))=MONTH(B220))*(YEAR(IF(ISNUMBER(B$3:B220),B$3:B220,1))=YEAR(B220))*IF(ISNUMBER(L$3:L220),L$3:L220,0)),""))</f>
        <v/>
      </c>
      <c r="N220" s="6"/>
      <c r="O220" s="7" t="str">
        <f>IF(AND(B220="",ISNUMBER(B221)),CHOOSE(MONTH(B221),"GENNAIO","FEBBRAIO","MARZO","APRILE","MAGGIO","GIUGNO","LUGLIO","AGOSTO","SETTEMBRE","OTTOBRE","NOVEMBRE","DICEMBRE")&amp;" "&amp;YEAR(B221),"")</f>
        <v/>
      </c>
      <c r="P220" s="12" t="str">
        <f>IF(K220=0.2,"CASA","")</f>
        <v/>
      </c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" customHeight="1" x14ac:dyDescent="0.2">
      <c r="A221" s="5" t="str">
        <f>IF(AND(B221="",ISNUMBER(B222)),CHOOSE(MONTH(B222),"GENNAIO","FEBBRAIO","MARZO","APRILE","MAGGIO","GIUGNO","LUGLIO","AGOSTO","SETTEMBRE","OTTOBRE","NOVEMBRE","DICEMBRE")&amp;" "&amp;YEAR(B222),"")</f>
        <v/>
      </c>
      <c r="B221" s="11"/>
      <c r="C221" s="12"/>
      <c r="D221" s="12" t="str">
        <f>IF(C221="","",C221-IF(C220&lt;&gt;"",C220,IF(C219&lt;&gt;"",C219,IF(C218&lt;&gt;"",C218,0))))</f>
        <v/>
      </c>
      <c r="E221" s="12"/>
      <c r="F221" s="12"/>
      <c r="G221" s="9" t="str">
        <f>IF(AND(E221="",F221=""),"",IF(OR(E221&gt;1,F221&gt;1),(F221-E221)/100,F221-E221))</f>
        <v/>
      </c>
      <c r="H221" s="12" t="str">
        <f>IF(G221="","",64*G221)</f>
        <v/>
      </c>
      <c r="I221" s="13"/>
      <c r="J221" s="13" t="str">
        <f>IFERROR(IF(OR(D221="",D221=0),"",I221/D221*100),"")</f>
        <v/>
      </c>
      <c r="K221" s="14"/>
      <c r="L221" s="13" t="str">
        <f>IF(I221="","",I221*K221)</f>
        <v/>
      </c>
      <c r="M221" s="13" t="str">
        <f>IF(B221="","",IFERROR(SUMPRODUCT(ISNUMBER(B$3:B221)*(MONTH(IF(ISNUMBER(B$3:B221),B$3:B221,1))=MONTH(B221))*(YEAR(IF(ISNUMBER(B$3:B221),B$3:B221,1))=YEAR(B221))*IF(ISNUMBER(L$3:L221),L$3:L221,0)),""))</f>
        <v/>
      </c>
      <c r="N221" s="6"/>
      <c r="O221" s="7" t="str">
        <f>IF(AND(B221="",ISNUMBER(B222)),CHOOSE(MONTH(B222),"GENNAIO","FEBBRAIO","MARZO","APRILE","MAGGIO","GIUGNO","LUGLIO","AGOSTO","SETTEMBRE","OTTOBRE","NOVEMBRE","DICEMBRE")&amp;" "&amp;YEAR(B222),"")</f>
        <v/>
      </c>
      <c r="P221" s="12" t="str">
        <f>IF(K221=0.2,"CASA","")</f>
        <v/>
      </c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" customHeight="1" x14ac:dyDescent="0.2">
      <c r="A222" s="5" t="str">
        <f>IF(AND(B222="",ISNUMBER(B223)),CHOOSE(MONTH(B223),"GENNAIO","FEBBRAIO","MARZO","APRILE","MAGGIO","GIUGNO","LUGLIO","AGOSTO","SETTEMBRE","OTTOBRE","NOVEMBRE","DICEMBRE")&amp;" "&amp;YEAR(B223),"")</f>
        <v/>
      </c>
      <c r="B222" s="11"/>
      <c r="C222" s="12"/>
      <c r="D222" s="12" t="str">
        <f>IF(C222="","",C222-IF(C221&lt;&gt;"",C221,IF(C220&lt;&gt;"",C220,IF(C219&lt;&gt;"",C219,0))))</f>
        <v/>
      </c>
      <c r="E222" s="12"/>
      <c r="F222" s="12"/>
      <c r="G222" s="9" t="str">
        <f>IF(AND(E222="",F222=""),"",IF(OR(E222&gt;1,F222&gt;1),(F222-E222)/100,F222-E222))</f>
        <v/>
      </c>
      <c r="H222" s="12" t="str">
        <f>IF(G222="","",64*G222)</f>
        <v/>
      </c>
      <c r="I222" s="13"/>
      <c r="J222" s="13" t="str">
        <f>IFERROR(IF(OR(D222="",D222=0),"",I222/D222*100),"")</f>
        <v/>
      </c>
      <c r="K222" s="14"/>
      <c r="L222" s="13" t="str">
        <f>IF(I222="","",I222*K222)</f>
        <v/>
      </c>
      <c r="M222" s="13" t="str">
        <f>IF(B222="","",IFERROR(SUMPRODUCT(ISNUMBER(B$3:B222)*(MONTH(IF(ISNUMBER(B$3:B222),B$3:B222,1))=MONTH(B222))*(YEAR(IF(ISNUMBER(B$3:B222),B$3:B222,1))=YEAR(B222))*IF(ISNUMBER(L$3:L222),L$3:L222,0)),""))</f>
        <v/>
      </c>
      <c r="N222" s="6"/>
      <c r="O222" s="7" t="str">
        <f>IF(AND(B222="",ISNUMBER(B223)),CHOOSE(MONTH(B223),"GENNAIO","FEBBRAIO","MARZO","APRILE","MAGGIO","GIUGNO","LUGLIO","AGOSTO","SETTEMBRE","OTTOBRE","NOVEMBRE","DICEMBRE")&amp;" "&amp;YEAR(B223),"")</f>
        <v/>
      </c>
      <c r="P222" s="12" t="str">
        <f>IF(K222=0.2,"CASA","")</f>
        <v/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" customHeight="1" x14ac:dyDescent="0.2">
      <c r="A223" s="5" t="str">
        <f>IF(AND(B223="",ISNUMBER(B224)),CHOOSE(MONTH(B224),"GENNAIO","FEBBRAIO","MARZO","APRILE","MAGGIO","GIUGNO","LUGLIO","AGOSTO","SETTEMBRE","OTTOBRE","NOVEMBRE","DICEMBRE")&amp;" "&amp;YEAR(B224),"")</f>
        <v/>
      </c>
      <c r="B223" s="11"/>
      <c r="C223" s="12"/>
      <c r="D223" s="12" t="str">
        <f>IF(C223="","",C223-IF(C222&lt;&gt;"",C222,IF(C221&lt;&gt;"",C221,IF(C220&lt;&gt;"",C220,0))))</f>
        <v/>
      </c>
      <c r="E223" s="12"/>
      <c r="F223" s="12"/>
      <c r="G223" s="9" t="str">
        <f>IF(AND(E223="",F223=""),"",IF(OR(E223&gt;1,F223&gt;1),(F223-E223)/100,F223-E223))</f>
        <v/>
      </c>
      <c r="H223" s="12" t="str">
        <f>IF(G223="","",64*G223)</f>
        <v/>
      </c>
      <c r="I223" s="13"/>
      <c r="J223" s="13" t="str">
        <f>IFERROR(IF(OR(D223="",D223=0),"",I223/D223*100),"")</f>
        <v/>
      </c>
      <c r="K223" s="14"/>
      <c r="L223" s="13" t="str">
        <f>IF(I223="","",I223*K223)</f>
        <v/>
      </c>
      <c r="M223" s="13" t="str">
        <f>IF(B223="","",IFERROR(SUMPRODUCT(ISNUMBER(B$3:B223)*(MONTH(IF(ISNUMBER(B$3:B223),B$3:B223,1))=MONTH(B223))*(YEAR(IF(ISNUMBER(B$3:B223),B$3:B223,1))=YEAR(B223))*IF(ISNUMBER(L$3:L223),L$3:L223,0)),""))</f>
        <v/>
      </c>
      <c r="N223" s="6"/>
      <c r="O223" s="7" t="str">
        <f>IF(AND(B223="",ISNUMBER(B224)),CHOOSE(MONTH(B224),"GENNAIO","FEBBRAIO","MARZO","APRILE","MAGGIO","GIUGNO","LUGLIO","AGOSTO","SETTEMBRE","OTTOBRE","NOVEMBRE","DICEMBRE")&amp;" "&amp;YEAR(B224),"")</f>
        <v/>
      </c>
      <c r="P223" s="12" t="str">
        <f>IF(K223=0.2,"CASA","")</f>
        <v/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" customHeight="1" x14ac:dyDescent="0.2">
      <c r="A224" s="5" t="str">
        <f>IF(AND(B224="",ISNUMBER(B225)),CHOOSE(MONTH(B225),"GENNAIO","FEBBRAIO","MARZO","APRILE","MAGGIO","GIUGNO","LUGLIO","AGOSTO","SETTEMBRE","OTTOBRE","NOVEMBRE","DICEMBRE")&amp;" "&amp;YEAR(B225),"")</f>
        <v/>
      </c>
      <c r="B224" s="11"/>
      <c r="C224" s="12"/>
      <c r="D224" s="12" t="str">
        <f>IF(C224="","",C224-IF(C223&lt;&gt;"",C223,IF(C222&lt;&gt;"",C222,IF(C221&lt;&gt;"",C221,0))))</f>
        <v/>
      </c>
      <c r="E224" s="12"/>
      <c r="F224" s="12"/>
      <c r="G224" s="9" t="str">
        <f>IF(AND(E224="",F224=""),"",IF(OR(E224&gt;1,F224&gt;1),(F224-E224)/100,F224-E224))</f>
        <v/>
      </c>
      <c r="H224" s="12" t="str">
        <f>IF(G224="","",64*G224)</f>
        <v/>
      </c>
      <c r="I224" s="13"/>
      <c r="J224" s="13" t="str">
        <f>IFERROR(IF(OR(D224="",D224=0),"",I224/D224*100),"")</f>
        <v/>
      </c>
      <c r="K224" s="14"/>
      <c r="L224" s="13" t="str">
        <f>IF(I224="","",I224*K224)</f>
        <v/>
      </c>
      <c r="M224" s="13" t="str">
        <f>IF(B224="","",IFERROR(SUMPRODUCT(ISNUMBER(B$3:B224)*(MONTH(IF(ISNUMBER(B$3:B224),B$3:B224,1))=MONTH(B224))*(YEAR(IF(ISNUMBER(B$3:B224),B$3:B224,1))=YEAR(B224))*IF(ISNUMBER(L$3:L224),L$3:L224,0)),""))</f>
        <v/>
      </c>
      <c r="N224" s="6"/>
      <c r="O224" s="7" t="str">
        <f>IF(AND(B224="",ISNUMBER(B225)),CHOOSE(MONTH(B225),"GENNAIO","FEBBRAIO","MARZO","APRILE","MAGGIO","GIUGNO","LUGLIO","AGOSTO","SETTEMBRE","OTTOBRE","NOVEMBRE","DICEMBRE")&amp;" "&amp;YEAR(B225),"")</f>
        <v/>
      </c>
      <c r="P224" s="12" t="str">
        <f>IF(K224=0.2,"CASA","")</f>
        <v/>
      </c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" customHeight="1" x14ac:dyDescent="0.2">
      <c r="A225" s="5" t="str">
        <f>IF(AND(B225="",ISNUMBER(B226)),CHOOSE(MONTH(B226),"GENNAIO","FEBBRAIO","MARZO","APRILE","MAGGIO","GIUGNO","LUGLIO","AGOSTO","SETTEMBRE","OTTOBRE","NOVEMBRE","DICEMBRE")&amp;" "&amp;YEAR(B226),"")</f>
        <v/>
      </c>
      <c r="B225" s="11"/>
      <c r="C225" s="12"/>
      <c r="D225" s="12" t="str">
        <f>IF(C225="","",C225-IF(C224&lt;&gt;"",C224,IF(C223&lt;&gt;"",C223,IF(C222&lt;&gt;"",C222,0))))</f>
        <v/>
      </c>
      <c r="E225" s="12"/>
      <c r="F225" s="12"/>
      <c r="G225" s="9" t="str">
        <f>IF(AND(E225="",F225=""),"",IF(OR(E225&gt;1,F225&gt;1),(F225-E225)/100,F225-E225))</f>
        <v/>
      </c>
      <c r="H225" s="12" t="str">
        <f>IF(G225="","",64*G225)</f>
        <v/>
      </c>
      <c r="I225" s="13"/>
      <c r="J225" s="13" t="str">
        <f>IFERROR(IF(OR(D225="",D225=0),"",I225/D225*100),"")</f>
        <v/>
      </c>
      <c r="K225" s="14"/>
      <c r="L225" s="13" t="str">
        <f>IF(I225="","",I225*K225)</f>
        <v/>
      </c>
      <c r="M225" s="13" t="str">
        <f>IF(B225="","",IFERROR(SUMPRODUCT(ISNUMBER(B$3:B225)*(MONTH(IF(ISNUMBER(B$3:B225),B$3:B225,1))=MONTH(B225))*(YEAR(IF(ISNUMBER(B$3:B225),B$3:B225,1))=YEAR(B225))*IF(ISNUMBER(L$3:L225),L$3:L225,0)),""))</f>
        <v/>
      </c>
      <c r="N225" s="6"/>
      <c r="O225" s="7" t="str">
        <f>IF(AND(B225="",ISNUMBER(B226)),CHOOSE(MONTH(B226),"GENNAIO","FEBBRAIO","MARZO","APRILE","MAGGIO","GIUGNO","LUGLIO","AGOSTO","SETTEMBRE","OTTOBRE","NOVEMBRE","DICEMBRE")&amp;" "&amp;YEAR(B226),"")</f>
        <v/>
      </c>
      <c r="P225" s="12" t="str">
        <f>IF(K225=0.2,"CASA","")</f>
        <v/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" customHeight="1" x14ac:dyDescent="0.2">
      <c r="A226" s="5" t="str">
        <f>IF(AND(B226="",ISNUMBER(B227)),CHOOSE(MONTH(B227),"GENNAIO","FEBBRAIO","MARZO","APRILE","MAGGIO","GIUGNO","LUGLIO","AGOSTO","SETTEMBRE","OTTOBRE","NOVEMBRE","DICEMBRE")&amp;" "&amp;YEAR(B227),"")</f>
        <v/>
      </c>
      <c r="B226" s="11"/>
      <c r="C226" s="12"/>
      <c r="D226" s="12" t="str">
        <f>IF(C226="","",C226-IF(C225&lt;&gt;"",C225,IF(C224&lt;&gt;"",C224,IF(C223&lt;&gt;"",C223,0))))</f>
        <v/>
      </c>
      <c r="E226" s="12"/>
      <c r="F226" s="12"/>
      <c r="G226" s="9" t="str">
        <f>IF(AND(E226="",F226=""),"",IF(OR(E226&gt;1,F226&gt;1),(F226-E226)/100,F226-E226))</f>
        <v/>
      </c>
      <c r="H226" s="12" t="str">
        <f>IF(G226="","",64*G226)</f>
        <v/>
      </c>
      <c r="I226" s="13"/>
      <c r="J226" s="13" t="str">
        <f>IFERROR(IF(OR(D226="",D226=0),"",I226/D226*100),"")</f>
        <v/>
      </c>
      <c r="K226" s="14"/>
      <c r="L226" s="13" t="str">
        <f>IF(I226="","",I226*K226)</f>
        <v/>
      </c>
      <c r="M226" s="13" t="str">
        <f>IF(B226="","",IFERROR(SUMPRODUCT(ISNUMBER(B$3:B226)*(MONTH(IF(ISNUMBER(B$3:B226),B$3:B226,1))=MONTH(B226))*(YEAR(IF(ISNUMBER(B$3:B226),B$3:B226,1))=YEAR(B226))*IF(ISNUMBER(L$3:L226),L$3:L226,0)),""))</f>
        <v/>
      </c>
      <c r="N226" s="6"/>
      <c r="O226" s="7" t="str">
        <f>IF(AND(B226="",ISNUMBER(B227)),CHOOSE(MONTH(B227),"GENNAIO","FEBBRAIO","MARZO","APRILE","MAGGIO","GIUGNO","LUGLIO","AGOSTO","SETTEMBRE","OTTOBRE","NOVEMBRE","DICEMBRE")&amp;" "&amp;YEAR(B227),"")</f>
        <v/>
      </c>
      <c r="P226" s="12" t="str">
        <f>IF(K226=0.2,"CASA","")</f>
        <v/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" customHeight="1" x14ac:dyDescent="0.2">
      <c r="A227" s="5" t="str">
        <f>IF(AND(B227="",ISNUMBER(B228)),CHOOSE(MONTH(B228),"GENNAIO","FEBBRAIO","MARZO","APRILE","MAGGIO","GIUGNO","LUGLIO","AGOSTO","SETTEMBRE","OTTOBRE","NOVEMBRE","DICEMBRE")&amp;" "&amp;YEAR(B228),"")</f>
        <v/>
      </c>
      <c r="B227" s="11"/>
      <c r="C227" s="12"/>
      <c r="D227" s="12" t="str">
        <f>IF(C227="","",C227-IF(C226&lt;&gt;"",C226,IF(C225&lt;&gt;"",C225,IF(C224&lt;&gt;"",C224,0))))</f>
        <v/>
      </c>
      <c r="E227" s="12"/>
      <c r="F227" s="12"/>
      <c r="G227" s="9" t="str">
        <f>IF(AND(E227="",F227=""),"",IF(OR(E227&gt;1,F227&gt;1),(F227-E227)/100,F227-E227))</f>
        <v/>
      </c>
      <c r="H227" s="12" t="str">
        <f>IF(G227="","",64*G227)</f>
        <v/>
      </c>
      <c r="I227" s="13"/>
      <c r="J227" s="13" t="str">
        <f>IFERROR(IF(OR(D227="",D227=0),"",I227/D227*100),"")</f>
        <v/>
      </c>
      <c r="K227" s="14"/>
      <c r="L227" s="13" t="str">
        <f>IF(I227="","",I227*K227)</f>
        <v/>
      </c>
      <c r="M227" s="13" t="str">
        <f>IF(B227="","",IFERROR(SUMPRODUCT(ISNUMBER(B$3:B227)*(MONTH(IF(ISNUMBER(B$3:B227),B$3:B227,1))=MONTH(B227))*(YEAR(IF(ISNUMBER(B$3:B227),B$3:B227,1))=YEAR(B227))*IF(ISNUMBER(L$3:L227),L$3:L227,0)),""))</f>
        <v/>
      </c>
      <c r="N227" s="6"/>
      <c r="O227" s="7" t="str">
        <f>IF(AND(B227="",ISNUMBER(B228)),CHOOSE(MONTH(B228),"GENNAIO","FEBBRAIO","MARZO","APRILE","MAGGIO","GIUGNO","LUGLIO","AGOSTO","SETTEMBRE","OTTOBRE","NOVEMBRE","DICEMBRE")&amp;" "&amp;YEAR(B228),"")</f>
        <v/>
      </c>
      <c r="P227" s="12" t="str">
        <f>IF(K227=0.2,"CASA","")</f>
        <v/>
      </c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" customHeight="1" x14ac:dyDescent="0.2">
      <c r="A228" s="5" t="str">
        <f>IF(AND(B228="",ISNUMBER(B229)),CHOOSE(MONTH(B229),"GENNAIO","FEBBRAIO","MARZO","APRILE","MAGGIO","GIUGNO","LUGLIO","AGOSTO","SETTEMBRE","OTTOBRE","NOVEMBRE","DICEMBRE")&amp;" "&amp;YEAR(B229),"")</f>
        <v/>
      </c>
      <c r="B228" s="11"/>
      <c r="C228" s="12"/>
      <c r="D228" s="12" t="str">
        <f>IF(C228="","",C228-IF(C227&lt;&gt;"",C227,IF(C226&lt;&gt;"",C226,IF(C225&lt;&gt;"",C225,0))))</f>
        <v/>
      </c>
      <c r="E228" s="12"/>
      <c r="F228" s="12"/>
      <c r="G228" s="9" t="str">
        <f>IF(AND(E228="",F228=""),"",IF(OR(E228&gt;1,F228&gt;1),(F228-E228)/100,F228-E228))</f>
        <v/>
      </c>
      <c r="H228" s="12" t="str">
        <f>IF(G228="","",64*G228)</f>
        <v/>
      </c>
      <c r="I228" s="13"/>
      <c r="J228" s="13" t="str">
        <f>IFERROR(IF(OR(D228="",D228=0),"",I228/D228*100),"")</f>
        <v/>
      </c>
      <c r="K228" s="14"/>
      <c r="L228" s="13" t="str">
        <f>IF(I228="","",I228*K228)</f>
        <v/>
      </c>
      <c r="M228" s="13" t="str">
        <f>IF(B228="","",IFERROR(SUMPRODUCT(ISNUMBER(B$3:B228)*(MONTH(IF(ISNUMBER(B$3:B228),B$3:B228,1))=MONTH(B228))*(YEAR(IF(ISNUMBER(B$3:B228),B$3:B228,1))=YEAR(B228))*IF(ISNUMBER(L$3:L228),L$3:L228,0)),""))</f>
        <v/>
      </c>
      <c r="N228" s="6"/>
      <c r="O228" s="7" t="str">
        <f>IF(AND(B228="",ISNUMBER(B229)),CHOOSE(MONTH(B229),"GENNAIO","FEBBRAIO","MARZO","APRILE","MAGGIO","GIUGNO","LUGLIO","AGOSTO","SETTEMBRE","OTTOBRE","NOVEMBRE","DICEMBRE")&amp;" "&amp;YEAR(B229),"")</f>
        <v/>
      </c>
      <c r="P228" s="12" t="str">
        <f>IF(K228=0.2,"CASA","")</f>
        <v/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" customHeight="1" x14ac:dyDescent="0.2">
      <c r="A229" s="5" t="str">
        <f>IF(AND(B229="",ISNUMBER(B230)),CHOOSE(MONTH(B230),"GENNAIO","FEBBRAIO","MARZO","APRILE","MAGGIO","GIUGNO","LUGLIO","AGOSTO","SETTEMBRE","OTTOBRE","NOVEMBRE","DICEMBRE")&amp;" "&amp;YEAR(B230),"")</f>
        <v/>
      </c>
      <c r="B229" s="11"/>
      <c r="C229" s="12"/>
      <c r="D229" s="12" t="str">
        <f>IF(C229="","",C229-IF(C228&lt;&gt;"",C228,IF(C227&lt;&gt;"",C227,IF(C226&lt;&gt;"",C226,0))))</f>
        <v/>
      </c>
      <c r="E229" s="12"/>
      <c r="F229" s="12"/>
      <c r="G229" s="9" t="str">
        <f>IF(AND(E229="",F229=""),"",IF(OR(E229&gt;1,F229&gt;1),(F229-E229)/100,F229-E229))</f>
        <v/>
      </c>
      <c r="H229" s="12" t="str">
        <f>IF(G229="","",64*G229)</f>
        <v/>
      </c>
      <c r="I229" s="13"/>
      <c r="J229" s="13" t="str">
        <f>IFERROR(IF(OR(D229="",D229=0),"",I229/D229*100),"")</f>
        <v/>
      </c>
      <c r="K229" s="14"/>
      <c r="L229" s="13" t="str">
        <f>IF(I229="","",I229*K229)</f>
        <v/>
      </c>
      <c r="M229" s="13" t="str">
        <f>IF(B229="","",IFERROR(SUMPRODUCT(ISNUMBER(B$3:B229)*(MONTH(IF(ISNUMBER(B$3:B229),B$3:B229,1))=MONTH(B229))*(YEAR(IF(ISNUMBER(B$3:B229),B$3:B229,1))=YEAR(B229))*IF(ISNUMBER(L$3:L229),L$3:L229,0)),""))</f>
        <v/>
      </c>
      <c r="N229" s="6"/>
      <c r="O229" s="7" t="str">
        <f>IF(AND(B229="",ISNUMBER(B230)),CHOOSE(MONTH(B230),"GENNAIO","FEBBRAIO","MARZO","APRILE","MAGGIO","GIUGNO","LUGLIO","AGOSTO","SETTEMBRE","OTTOBRE","NOVEMBRE","DICEMBRE")&amp;" "&amp;YEAR(B230),"")</f>
        <v/>
      </c>
      <c r="P229" s="12" t="str">
        <f>IF(K229=0.2,"CASA","")</f>
        <v/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" customHeight="1" x14ac:dyDescent="0.2">
      <c r="A230" s="5" t="str">
        <f>IF(AND(B230="",ISNUMBER(B231)),CHOOSE(MONTH(B231),"GENNAIO","FEBBRAIO","MARZO","APRILE","MAGGIO","GIUGNO","LUGLIO","AGOSTO","SETTEMBRE","OTTOBRE","NOVEMBRE","DICEMBRE")&amp;" "&amp;YEAR(B231),"")</f>
        <v/>
      </c>
      <c r="B230" s="11"/>
      <c r="C230" s="12"/>
      <c r="D230" s="12" t="str">
        <f>IF(C230="","",C230-IF(C229&lt;&gt;"",C229,IF(C228&lt;&gt;"",C228,IF(C227&lt;&gt;"",C227,0))))</f>
        <v/>
      </c>
      <c r="E230" s="12"/>
      <c r="F230" s="12"/>
      <c r="G230" s="9" t="str">
        <f>IF(AND(E230="",F230=""),"",IF(OR(E230&gt;1,F230&gt;1),(F230-E230)/100,F230-E230))</f>
        <v/>
      </c>
      <c r="H230" s="12" t="str">
        <f>IF(G230="","",64*G230)</f>
        <v/>
      </c>
      <c r="I230" s="13"/>
      <c r="J230" s="13" t="str">
        <f>IFERROR(IF(OR(D230="",D230=0),"",I230/D230*100),"")</f>
        <v/>
      </c>
      <c r="K230" s="14"/>
      <c r="L230" s="13" t="str">
        <f>IF(I230="","",I230*K230)</f>
        <v/>
      </c>
      <c r="M230" s="13" t="str">
        <f>IF(B230="","",IFERROR(SUMPRODUCT(ISNUMBER(B$3:B230)*(MONTH(IF(ISNUMBER(B$3:B230),B$3:B230,1))=MONTH(B230))*(YEAR(IF(ISNUMBER(B$3:B230),B$3:B230,1))=YEAR(B230))*IF(ISNUMBER(L$3:L230),L$3:L230,0)),""))</f>
        <v/>
      </c>
      <c r="N230" s="6"/>
      <c r="O230" s="7" t="str">
        <f>IF(AND(B230="",ISNUMBER(B231)),CHOOSE(MONTH(B231),"GENNAIO","FEBBRAIO","MARZO","APRILE","MAGGIO","GIUGNO","LUGLIO","AGOSTO","SETTEMBRE","OTTOBRE","NOVEMBRE","DICEMBRE")&amp;" "&amp;YEAR(B231),"")</f>
        <v/>
      </c>
      <c r="P230" s="12" t="str">
        <f>IF(K230=0.2,"CASA","")</f>
        <v/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" customHeight="1" x14ac:dyDescent="0.2">
      <c r="A231" s="5" t="str">
        <f>IF(AND(B231="",ISNUMBER(B232)),CHOOSE(MONTH(B232),"GENNAIO","FEBBRAIO","MARZO","APRILE","MAGGIO","GIUGNO","LUGLIO","AGOSTO","SETTEMBRE","OTTOBRE","NOVEMBRE","DICEMBRE")&amp;" "&amp;YEAR(B232),"")</f>
        <v/>
      </c>
      <c r="B231" s="11"/>
      <c r="C231" s="12"/>
      <c r="D231" s="12" t="str">
        <f>IF(C231="","",C231-IF(C230&lt;&gt;"",C230,IF(C229&lt;&gt;"",C229,IF(C228&lt;&gt;"",C228,0))))</f>
        <v/>
      </c>
      <c r="E231" s="12"/>
      <c r="F231" s="12"/>
      <c r="G231" s="9" t="str">
        <f>IF(AND(E231="",F231=""),"",IF(OR(E231&gt;1,F231&gt;1),(F231-E231)/100,F231-E231))</f>
        <v/>
      </c>
      <c r="H231" s="12" t="str">
        <f>IF(G231="","",64*G231)</f>
        <v/>
      </c>
      <c r="I231" s="13"/>
      <c r="J231" s="13" t="str">
        <f>IFERROR(IF(OR(D231="",D231=0),"",I231/D231*100),"")</f>
        <v/>
      </c>
      <c r="K231" s="14"/>
      <c r="L231" s="13" t="str">
        <f>IF(I231="","",I231*K231)</f>
        <v/>
      </c>
      <c r="M231" s="13" t="str">
        <f>IF(B231="","",IFERROR(SUMPRODUCT(ISNUMBER(B$3:B231)*(MONTH(IF(ISNUMBER(B$3:B231),B$3:B231,1))=MONTH(B231))*(YEAR(IF(ISNUMBER(B$3:B231),B$3:B231,1))=YEAR(B231))*IF(ISNUMBER(L$3:L231),L$3:L231,0)),""))</f>
        <v/>
      </c>
      <c r="N231" s="6"/>
      <c r="O231" s="7" t="str">
        <f>IF(AND(B231="",ISNUMBER(B232)),CHOOSE(MONTH(B232),"GENNAIO","FEBBRAIO","MARZO","APRILE","MAGGIO","GIUGNO","LUGLIO","AGOSTO","SETTEMBRE","OTTOBRE","NOVEMBRE","DICEMBRE")&amp;" "&amp;YEAR(B232),"")</f>
        <v/>
      </c>
      <c r="P231" s="12" t="str">
        <f>IF(K231=0.2,"CASA","")</f>
        <v/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" customHeight="1" x14ac:dyDescent="0.2">
      <c r="A232" s="5" t="str">
        <f>IF(AND(B232="",ISNUMBER(B233)),CHOOSE(MONTH(B233),"GENNAIO","FEBBRAIO","MARZO","APRILE","MAGGIO","GIUGNO","LUGLIO","AGOSTO","SETTEMBRE","OTTOBRE","NOVEMBRE","DICEMBRE")&amp;" "&amp;YEAR(B233),"")</f>
        <v/>
      </c>
      <c r="B232" s="11"/>
      <c r="C232" s="12"/>
      <c r="D232" s="12" t="str">
        <f>IF(C232="","",C232-IF(C231&lt;&gt;"",C231,IF(C230&lt;&gt;"",C230,IF(C229&lt;&gt;"",C229,0))))</f>
        <v/>
      </c>
      <c r="E232" s="12"/>
      <c r="F232" s="12"/>
      <c r="G232" s="9" t="str">
        <f>IF(AND(E232="",F232=""),"",IF(OR(E232&gt;1,F232&gt;1),(F232-E232)/100,F232-E232))</f>
        <v/>
      </c>
      <c r="H232" s="12" t="str">
        <f>IF(G232="","",64*G232)</f>
        <v/>
      </c>
      <c r="I232" s="13"/>
      <c r="J232" s="13" t="str">
        <f>IFERROR(IF(OR(D232="",D232=0),"",I232/D232*100),"")</f>
        <v/>
      </c>
      <c r="K232" s="14"/>
      <c r="L232" s="13" t="str">
        <f>IF(I232="","",I232*K232)</f>
        <v/>
      </c>
      <c r="M232" s="13" t="str">
        <f>IF(B232="","",IFERROR(SUMPRODUCT(ISNUMBER(B$3:B232)*(MONTH(IF(ISNUMBER(B$3:B232),B$3:B232,1))=MONTH(B232))*(YEAR(IF(ISNUMBER(B$3:B232),B$3:B232,1))=YEAR(B232))*IF(ISNUMBER(L$3:L232),L$3:L232,0)),""))</f>
        <v/>
      </c>
      <c r="N232" s="6"/>
      <c r="O232" s="7" t="str">
        <f>IF(AND(B232="",ISNUMBER(B233)),CHOOSE(MONTH(B233),"GENNAIO","FEBBRAIO","MARZO","APRILE","MAGGIO","GIUGNO","LUGLIO","AGOSTO","SETTEMBRE","OTTOBRE","NOVEMBRE","DICEMBRE")&amp;" "&amp;YEAR(B233),"")</f>
        <v/>
      </c>
      <c r="P232" s="12" t="str">
        <f>IF(K232=0.2,"CASA","")</f>
        <v/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" customHeight="1" x14ac:dyDescent="0.2">
      <c r="A233" s="5" t="str">
        <f>IF(AND(B233="",ISNUMBER(B234)),CHOOSE(MONTH(B234),"GENNAIO","FEBBRAIO","MARZO","APRILE","MAGGIO","GIUGNO","LUGLIO","AGOSTO","SETTEMBRE","OTTOBRE","NOVEMBRE","DICEMBRE")&amp;" "&amp;YEAR(B234),"")</f>
        <v/>
      </c>
      <c r="B233" s="11"/>
      <c r="C233" s="12"/>
      <c r="D233" s="12" t="str">
        <f>IF(C233="","",C233-IF(C232&lt;&gt;"",C232,IF(C231&lt;&gt;"",C231,IF(C230&lt;&gt;"",C230,0))))</f>
        <v/>
      </c>
      <c r="E233" s="12"/>
      <c r="F233" s="12"/>
      <c r="G233" s="9" t="str">
        <f>IF(AND(E233="",F233=""),"",IF(OR(E233&gt;1,F233&gt;1),(F233-E233)/100,F233-E233))</f>
        <v/>
      </c>
      <c r="H233" s="12" t="str">
        <f>IF(G233="","",64*G233)</f>
        <v/>
      </c>
      <c r="I233" s="13"/>
      <c r="J233" s="13" t="str">
        <f>IFERROR(IF(OR(D233="",D233=0),"",I233/D233*100),"")</f>
        <v/>
      </c>
      <c r="K233" s="14"/>
      <c r="L233" s="13" t="str">
        <f>IF(I233="","",I233*K233)</f>
        <v/>
      </c>
      <c r="M233" s="13" t="str">
        <f>IF(B233="","",IFERROR(SUMPRODUCT(ISNUMBER(B$3:B233)*(MONTH(IF(ISNUMBER(B$3:B233),B$3:B233,1))=MONTH(B233))*(YEAR(IF(ISNUMBER(B$3:B233),B$3:B233,1))=YEAR(B233))*IF(ISNUMBER(L$3:L233),L$3:L233,0)),""))</f>
        <v/>
      </c>
      <c r="N233" s="6"/>
      <c r="O233" s="7" t="str">
        <f>IF(AND(B233="",ISNUMBER(B234)),CHOOSE(MONTH(B234),"GENNAIO","FEBBRAIO","MARZO","APRILE","MAGGIO","GIUGNO","LUGLIO","AGOSTO","SETTEMBRE","OTTOBRE","NOVEMBRE","DICEMBRE")&amp;" "&amp;YEAR(B234),"")</f>
        <v/>
      </c>
      <c r="P233" s="12" t="str">
        <f>IF(K233=0.2,"CASA","")</f>
        <v/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" customHeight="1" x14ac:dyDescent="0.2">
      <c r="A234" s="5" t="str">
        <f>IF(AND(B234="",ISNUMBER(B235)),CHOOSE(MONTH(B235),"GENNAIO","FEBBRAIO","MARZO","APRILE","MAGGIO","GIUGNO","LUGLIO","AGOSTO","SETTEMBRE","OTTOBRE","NOVEMBRE","DICEMBRE")&amp;" "&amp;YEAR(B235),"")</f>
        <v/>
      </c>
      <c r="B234" s="11"/>
      <c r="C234" s="12"/>
      <c r="D234" s="12" t="str">
        <f>IF(C234="","",C234-IF(C233&lt;&gt;"",C233,IF(C232&lt;&gt;"",C232,IF(C231&lt;&gt;"",C231,0))))</f>
        <v/>
      </c>
      <c r="E234" s="12"/>
      <c r="F234" s="12"/>
      <c r="G234" s="9" t="str">
        <f>IF(AND(E234="",F234=""),"",IF(OR(E234&gt;1,F234&gt;1),(F234-E234)/100,F234-E234))</f>
        <v/>
      </c>
      <c r="H234" s="12" t="str">
        <f>IF(G234="","",64*G234)</f>
        <v/>
      </c>
      <c r="I234" s="13"/>
      <c r="J234" s="13" t="str">
        <f>IFERROR(IF(OR(D234="",D234=0),"",I234/D234*100),"")</f>
        <v/>
      </c>
      <c r="K234" s="14"/>
      <c r="L234" s="13" t="str">
        <f>IF(I234="","",I234*K234)</f>
        <v/>
      </c>
      <c r="M234" s="13" t="str">
        <f>IF(B234="","",IFERROR(SUMPRODUCT(ISNUMBER(B$3:B234)*(MONTH(IF(ISNUMBER(B$3:B234),B$3:B234,1))=MONTH(B234))*(YEAR(IF(ISNUMBER(B$3:B234),B$3:B234,1))=YEAR(B234))*IF(ISNUMBER(L$3:L234),L$3:L234,0)),""))</f>
        <v/>
      </c>
      <c r="N234" s="6"/>
      <c r="O234" s="7" t="str">
        <f>IF(AND(B234="",ISNUMBER(B235)),CHOOSE(MONTH(B235),"GENNAIO","FEBBRAIO","MARZO","APRILE","MAGGIO","GIUGNO","LUGLIO","AGOSTO","SETTEMBRE","OTTOBRE","NOVEMBRE","DICEMBRE")&amp;" "&amp;YEAR(B235),"")</f>
        <v/>
      </c>
      <c r="P234" s="12" t="str">
        <f>IF(K234=0.2,"CASA","")</f>
        <v/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" customHeight="1" x14ac:dyDescent="0.2">
      <c r="A235" s="5" t="str">
        <f>IF(AND(B235="",ISNUMBER(B236)),CHOOSE(MONTH(B236),"GENNAIO","FEBBRAIO","MARZO","APRILE","MAGGIO","GIUGNO","LUGLIO","AGOSTO","SETTEMBRE","OTTOBRE","NOVEMBRE","DICEMBRE")&amp;" "&amp;YEAR(B236),"")</f>
        <v/>
      </c>
      <c r="B235" s="11"/>
      <c r="C235" s="12"/>
      <c r="D235" s="12" t="str">
        <f>IF(C235="","",C235-IF(C234&lt;&gt;"",C234,IF(C233&lt;&gt;"",C233,IF(C232&lt;&gt;"",C232,0))))</f>
        <v/>
      </c>
      <c r="E235" s="12"/>
      <c r="F235" s="12"/>
      <c r="G235" s="9" t="str">
        <f>IF(AND(E235="",F235=""),"",IF(OR(E235&gt;1,F235&gt;1),(F235-E235)/100,F235-E235))</f>
        <v/>
      </c>
      <c r="H235" s="12" t="str">
        <f>IF(G235="","",64*G235)</f>
        <v/>
      </c>
      <c r="I235" s="13"/>
      <c r="J235" s="13" t="str">
        <f>IFERROR(IF(OR(D235="",D235=0),"",I235/D235*100),"")</f>
        <v/>
      </c>
      <c r="K235" s="14"/>
      <c r="L235" s="13" t="str">
        <f>IF(I235="","",I235*K235)</f>
        <v/>
      </c>
      <c r="M235" s="13" t="str">
        <f>IF(B235="","",IFERROR(SUMPRODUCT(ISNUMBER(B$3:B235)*(MONTH(IF(ISNUMBER(B$3:B235),B$3:B235,1))=MONTH(B235))*(YEAR(IF(ISNUMBER(B$3:B235),B$3:B235,1))=YEAR(B235))*IF(ISNUMBER(L$3:L235),L$3:L235,0)),""))</f>
        <v/>
      </c>
      <c r="N235" s="6"/>
      <c r="O235" s="7" t="str">
        <f>IF(AND(B235="",ISNUMBER(B236)),CHOOSE(MONTH(B236),"GENNAIO","FEBBRAIO","MARZO","APRILE","MAGGIO","GIUGNO","LUGLIO","AGOSTO","SETTEMBRE","OTTOBRE","NOVEMBRE","DICEMBRE")&amp;" "&amp;YEAR(B236),"")</f>
        <v/>
      </c>
      <c r="P235" s="12" t="str">
        <f>IF(K235=0.2,"CASA","")</f>
        <v/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" customHeight="1" x14ac:dyDescent="0.2">
      <c r="A236" s="5" t="str">
        <f>IF(AND(B236="",ISNUMBER(B237)),CHOOSE(MONTH(B237),"GENNAIO","FEBBRAIO","MARZO","APRILE","MAGGIO","GIUGNO","LUGLIO","AGOSTO","SETTEMBRE","OTTOBRE","NOVEMBRE","DICEMBRE")&amp;" "&amp;YEAR(B237),"")</f>
        <v/>
      </c>
      <c r="B236" s="11"/>
      <c r="C236" s="12"/>
      <c r="D236" s="12" t="str">
        <f>IF(C236="","",C236-IF(C235&lt;&gt;"",C235,IF(C234&lt;&gt;"",C234,IF(C233&lt;&gt;"",C233,0))))</f>
        <v/>
      </c>
      <c r="E236" s="12"/>
      <c r="F236" s="12"/>
      <c r="G236" s="9" t="str">
        <f>IF(AND(E236="",F236=""),"",IF(OR(E236&gt;1,F236&gt;1),(F236-E236)/100,F236-E236))</f>
        <v/>
      </c>
      <c r="H236" s="12" t="str">
        <f>IF(G236="","",64*G236)</f>
        <v/>
      </c>
      <c r="I236" s="13"/>
      <c r="J236" s="13" t="str">
        <f>IFERROR(IF(OR(D236="",D236=0),"",I236/D236*100),"")</f>
        <v/>
      </c>
      <c r="K236" s="14"/>
      <c r="L236" s="13" t="str">
        <f>IF(I236="","",I236*K236)</f>
        <v/>
      </c>
      <c r="M236" s="13" t="str">
        <f>IF(B236="","",IFERROR(SUMPRODUCT(ISNUMBER(B$3:B236)*(MONTH(IF(ISNUMBER(B$3:B236),B$3:B236,1))=MONTH(B236))*(YEAR(IF(ISNUMBER(B$3:B236),B$3:B236,1))=YEAR(B236))*IF(ISNUMBER(L$3:L236),L$3:L236,0)),""))</f>
        <v/>
      </c>
      <c r="N236" s="6"/>
      <c r="O236" s="7" t="str">
        <f>IF(AND(B236="",ISNUMBER(B237)),CHOOSE(MONTH(B237),"GENNAIO","FEBBRAIO","MARZO","APRILE","MAGGIO","GIUGNO","LUGLIO","AGOSTO","SETTEMBRE","OTTOBRE","NOVEMBRE","DICEMBRE")&amp;" "&amp;YEAR(B237),"")</f>
        <v/>
      </c>
      <c r="P236" s="12" t="str">
        <f>IF(K236=0.2,"CASA","")</f>
        <v/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" customHeight="1" x14ac:dyDescent="0.2">
      <c r="A237" s="5" t="str">
        <f>IF(AND(B237="",ISNUMBER(B238)),CHOOSE(MONTH(B238),"GENNAIO","FEBBRAIO","MARZO","APRILE","MAGGIO","GIUGNO","LUGLIO","AGOSTO","SETTEMBRE","OTTOBRE","NOVEMBRE","DICEMBRE")&amp;" "&amp;YEAR(B238),"")</f>
        <v/>
      </c>
      <c r="B237" s="11"/>
      <c r="C237" s="12"/>
      <c r="D237" s="12" t="str">
        <f>IF(C237="","",C237-IF(C236&lt;&gt;"",C236,IF(C235&lt;&gt;"",C235,IF(C234&lt;&gt;"",C234,0))))</f>
        <v/>
      </c>
      <c r="E237" s="12"/>
      <c r="F237" s="12"/>
      <c r="G237" s="9" t="str">
        <f>IF(AND(E237="",F237=""),"",IF(OR(E237&gt;1,F237&gt;1),(F237-E237)/100,F237-E237))</f>
        <v/>
      </c>
      <c r="H237" s="12" t="str">
        <f>IF(G237="","",64*G237)</f>
        <v/>
      </c>
      <c r="I237" s="13"/>
      <c r="J237" s="13" t="str">
        <f>IFERROR(IF(OR(D237="",D237=0),"",I237/D237*100),"")</f>
        <v/>
      </c>
      <c r="K237" s="14"/>
      <c r="L237" s="13" t="str">
        <f>IF(I237="","",I237*K237)</f>
        <v/>
      </c>
      <c r="M237" s="13" t="str">
        <f>IF(B237="","",IFERROR(SUMPRODUCT(ISNUMBER(B$3:B237)*(MONTH(IF(ISNUMBER(B$3:B237),B$3:B237,1))=MONTH(B237))*(YEAR(IF(ISNUMBER(B$3:B237),B$3:B237,1))=YEAR(B237))*IF(ISNUMBER(L$3:L237),L$3:L237,0)),""))</f>
        <v/>
      </c>
      <c r="N237" s="6"/>
      <c r="O237" s="7" t="str">
        <f>IF(AND(B237="",ISNUMBER(B238)),CHOOSE(MONTH(B238),"GENNAIO","FEBBRAIO","MARZO","APRILE","MAGGIO","GIUGNO","LUGLIO","AGOSTO","SETTEMBRE","OTTOBRE","NOVEMBRE","DICEMBRE")&amp;" "&amp;YEAR(B238),"")</f>
        <v/>
      </c>
      <c r="P237" s="12" t="str">
        <f>IF(K237=0.2,"CASA","")</f>
        <v/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" customHeight="1" x14ac:dyDescent="0.2">
      <c r="A238" s="5" t="str">
        <f>IF(AND(B238="",ISNUMBER(B239)),CHOOSE(MONTH(B239),"GENNAIO","FEBBRAIO","MARZO","APRILE","MAGGIO","GIUGNO","LUGLIO","AGOSTO","SETTEMBRE","OTTOBRE","NOVEMBRE","DICEMBRE")&amp;" "&amp;YEAR(B239),"")</f>
        <v/>
      </c>
      <c r="B238" s="11"/>
      <c r="C238" s="12"/>
      <c r="D238" s="12" t="str">
        <f>IF(C238="","",C238-IF(C237&lt;&gt;"",C237,IF(C236&lt;&gt;"",C236,IF(C235&lt;&gt;"",C235,0))))</f>
        <v/>
      </c>
      <c r="E238" s="12"/>
      <c r="F238" s="12"/>
      <c r="G238" s="9" t="str">
        <f>IF(AND(E238="",F238=""),"",IF(OR(E238&gt;1,F238&gt;1),(F238-E238)/100,F238-E238))</f>
        <v/>
      </c>
      <c r="H238" s="12" t="str">
        <f>IF(G238="","",64*G238)</f>
        <v/>
      </c>
      <c r="I238" s="13"/>
      <c r="J238" s="13" t="str">
        <f>IFERROR(IF(OR(D238="",D238=0),"",I238/D238*100),"")</f>
        <v/>
      </c>
      <c r="K238" s="14"/>
      <c r="L238" s="13" t="str">
        <f>IF(I238="","",I238*K238)</f>
        <v/>
      </c>
      <c r="M238" s="13" t="str">
        <f>IF(B238="","",IFERROR(SUMPRODUCT(ISNUMBER(B$3:B238)*(MONTH(IF(ISNUMBER(B$3:B238),B$3:B238,1))=MONTH(B238))*(YEAR(IF(ISNUMBER(B$3:B238),B$3:B238,1))=YEAR(B238))*IF(ISNUMBER(L$3:L238),L$3:L238,0)),""))</f>
        <v/>
      </c>
      <c r="N238" s="6"/>
      <c r="O238" s="7" t="str">
        <f>IF(AND(B238="",ISNUMBER(B239)),CHOOSE(MONTH(B239),"GENNAIO","FEBBRAIO","MARZO","APRILE","MAGGIO","GIUGNO","LUGLIO","AGOSTO","SETTEMBRE","OTTOBRE","NOVEMBRE","DICEMBRE")&amp;" "&amp;YEAR(B239),"")</f>
        <v/>
      </c>
      <c r="P238" s="12" t="str">
        <f>IF(K238=0.2,"CASA","")</f>
        <v/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" customHeight="1" x14ac:dyDescent="0.2">
      <c r="A239" s="5" t="str">
        <f>IF(AND(B239="",ISNUMBER(B240)),CHOOSE(MONTH(B240),"GENNAIO","FEBBRAIO","MARZO","APRILE","MAGGIO","GIUGNO","LUGLIO","AGOSTO","SETTEMBRE","OTTOBRE","NOVEMBRE","DICEMBRE")&amp;" "&amp;YEAR(B240),"")</f>
        <v/>
      </c>
      <c r="B239" s="11"/>
      <c r="C239" s="12"/>
      <c r="D239" s="12" t="str">
        <f>IF(C239="","",C239-IF(C238&lt;&gt;"",C238,IF(C237&lt;&gt;"",C237,IF(C236&lt;&gt;"",C236,0))))</f>
        <v/>
      </c>
      <c r="E239" s="12"/>
      <c r="F239" s="12"/>
      <c r="G239" s="9" t="str">
        <f>IF(AND(E239="",F239=""),"",IF(OR(E239&gt;1,F239&gt;1),(F239-E239)/100,F239-E239))</f>
        <v/>
      </c>
      <c r="H239" s="12" t="str">
        <f>IF(G239="","",64*G239)</f>
        <v/>
      </c>
      <c r="I239" s="13"/>
      <c r="J239" s="13" t="str">
        <f>IFERROR(IF(OR(D239="",D239=0),"",I239/D239*100),"")</f>
        <v/>
      </c>
      <c r="K239" s="14"/>
      <c r="L239" s="13" t="str">
        <f>IF(I239="","",I239*K239)</f>
        <v/>
      </c>
      <c r="M239" s="13" t="str">
        <f>IF(B239="","",IFERROR(SUMPRODUCT(ISNUMBER(B$3:B239)*(MONTH(IF(ISNUMBER(B$3:B239),B$3:B239,1))=MONTH(B239))*(YEAR(IF(ISNUMBER(B$3:B239),B$3:B239,1))=YEAR(B239))*IF(ISNUMBER(L$3:L239),L$3:L239,0)),""))</f>
        <v/>
      </c>
      <c r="N239" s="6"/>
      <c r="O239" s="7" t="str">
        <f>IF(AND(B239="",ISNUMBER(B240)),CHOOSE(MONTH(B240),"GENNAIO","FEBBRAIO","MARZO","APRILE","MAGGIO","GIUGNO","LUGLIO","AGOSTO","SETTEMBRE","OTTOBRE","NOVEMBRE","DICEMBRE")&amp;" "&amp;YEAR(B240),"")</f>
        <v/>
      </c>
      <c r="P239" s="12" t="str">
        <f>IF(K239=0.2,"CASA","")</f>
        <v/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" customHeight="1" x14ac:dyDescent="0.2">
      <c r="A240" s="5" t="str">
        <f>IF(AND(B240="",ISNUMBER(B241)),CHOOSE(MONTH(B241),"GENNAIO","FEBBRAIO","MARZO","APRILE","MAGGIO","GIUGNO","LUGLIO","AGOSTO","SETTEMBRE","OTTOBRE","NOVEMBRE","DICEMBRE")&amp;" "&amp;YEAR(B241),"")</f>
        <v/>
      </c>
      <c r="B240" s="11"/>
      <c r="C240" s="12"/>
      <c r="D240" s="12" t="str">
        <f>IF(C240="","",C240-IF(C239&lt;&gt;"",C239,IF(C238&lt;&gt;"",C238,IF(C237&lt;&gt;"",C237,0))))</f>
        <v/>
      </c>
      <c r="E240" s="12"/>
      <c r="F240" s="12"/>
      <c r="G240" s="9" t="str">
        <f>IF(AND(E240="",F240=""),"",IF(OR(E240&gt;1,F240&gt;1),(F240-E240)/100,F240-E240))</f>
        <v/>
      </c>
      <c r="H240" s="12" t="str">
        <f>IF(G240="","",64*G240)</f>
        <v/>
      </c>
      <c r="I240" s="13"/>
      <c r="J240" s="13" t="str">
        <f>IFERROR(IF(OR(D240="",D240=0),"",I240/D240*100),"")</f>
        <v/>
      </c>
      <c r="K240" s="14"/>
      <c r="L240" s="13" t="str">
        <f>IF(I240="","",I240*K240)</f>
        <v/>
      </c>
      <c r="M240" s="13" t="str">
        <f>IF(B240="","",IFERROR(SUMPRODUCT(ISNUMBER(B$3:B240)*(MONTH(IF(ISNUMBER(B$3:B240),B$3:B240,1))=MONTH(B240))*(YEAR(IF(ISNUMBER(B$3:B240),B$3:B240,1))=YEAR(B240))*IF(ISNUMBER(L$3:L240),L$3:L240,0)),""))</f>
        <v/>
      </c>
      <c r="N240" s="6"/>
      <c r="O240" s="7" t="str">
        <f>IF(AND(B240="",ISNUMBER(B241)),CHOOSE(MONTH(B241),"GENNAIO","FEBBRAIO","MARZO","APRILE","MAGGIO","GIUGNO","LUGLIO","AGOSTO","SETTEMBRE","OTTOBRE","NOVEMBRE","DICEMBRE")&amp;" "&amp;YEAR(B241),"")</f>
        <v/>
      </c>
      <c r="P240" s="12" t="str">
        <f>IF(K240=0.2,"CASA","")</f>
        <v/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" customHeight="1" x14ac:dyDescent="0.2">
      <c r="A241" s="5" t="str">
        <f>IF(AND(B241="",ISNUMBER(B242)),CHOOSE(MONTH(B242),"GENNAIO","FEBBRAIO","MARZO","APRILE","MAGGIO","GIUGNO","LUGLIO","AGOSTO","SETTEMBRE","OTTOBRE","NOVEMBRE","DICEMBRE")&amp;" "&amp;YEAR(B242),"")</f>
        <v/>
      </c>
      <c r="B241" s="11"/>
      <c r="C241" s="12"/>
      <c r="D241" s="12" t="str">
        <f>IF(C241="","",C241-IF(C240&lt;&gt;"",C240,IF(C239&lt;&gt;"",C239,IF(C238&lt;&gt;"",C238,0))))</f>
        <v/>
      </c>
      <c r="E241" s="12"/>
      <c r="F241" s="12"/>
      <c r="G241" s="9" t="str">
        <f>IF(AND(E241="",F241=""),"",IF(OR(E241&gt;1,F241&gt;1),(F241-E241)/100,F241-E241))</f>
        <v/>
      </c>
      <c r="H241" s="12" t="str">
        <f>IF(G241="","",64*G241)</f>
        <v/>
      </c>
      <c r="I241" s="13"/>
      <c r="J241" s="13" t="str">
        <f>IFERROR(IF(OR(D241="",D241=0),"",I241/D241*100),"")</f>
        <v/>
      </c>
      <c r="K241" s="14"/>
      <c r="L241" s="13" t="str">
        <f>IF(I241="","",I241*K241)</f>
        <v/>
      </c>
      <c r="M241" s="13" t="str">
        <f>IF(B241="","",IFERROR(SUMPRODUCT(ISNUMBER(B$3:B241)*(MONTH(IF(ISNUMBER(B$3:B241),B$3:B241,1))=MONTH(B241))*(YEAR(IF(ISNUMBER(B$3:B241),B$3:B241,1))=YEAR(B241))*IF(ISNUMBER(L$3:L241),L$3:L241,0)),""))</f>
        <v/>
      </c>
      <c r="N241" s="6"/>
      <c r="O241" s="7" t="str">
        <f>IF(AND(B241="",ISNUMBER(B242)),CHOOSE(MONTH(B242),"GENNAIO","FEBBRAIO","MARZO","APRILE","MAGGIO","GIUGNO","LUGLIO","AGOSTO","SETTEMBRE","OTTOBRE","NOVEMBRE","DICEMBRE")&amp;" "&amp;YEAR(B242),"")</f>
        <v/>
      </c>
      <c r="P241" s="12" t="str">
        <f>IF(K241=0.2,"CASA","")</f>
        <v/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" customHeight="1" x14ac:dyDescent="0.2">
      <c r="A242" s="5" t="str">
        <f>IF(AND(B242="",ISNUMBER(B243)),CHOOSE(MONTH(B243),"GENNAIO","FEBBRAIO","MARZO","APRILE","MAGGIO","GIUGNO","LUGLIO","AGOSTO","SETTEMBRE","OTTOBRE","NOVEMBRE","DICEMBRE")&amp;" "&amp;YEAR(B243),"")</f>
        <v/>
      </c>
      <c r="B242" s="11"/>
      <c r="C242" s="12"/>
      <c r="D242" s="12" t="str">
        <f>IF(C242="","",C242-IF(C241&lt;&gt;"",C241,IF(C240&lt;&gt;"",C240,IF(C239&lt;&gt;"",C239,0))))</f>
        <v/>
      </c>
      <c r="E242" s="12"/>
      <c r="F242" s="12"/>
      <c r="G242" s="9" t="str">
        <f>IF(AND(E242="",F242=""),"",IF(OR(E242&gt;1,F242&gt;1),(F242-E242)/100,F242-E242))</f>
        <v/>
      </c>
      <c r="H242" s="12" t="str">
        <f>IF(G242="","",64*G242)</f>
        <v/>
      </c>
      <c r="I242" s="13"/>
      <c r="J242" s="13" t="str">
        <f>IFERROR(IF(OR(D242="",D242=0),"",I242/D242*100),"")</f>
        <v/>
      </c>
      <c r="K242" s="14"/>
      <c r="L242" s="13" t="str">
        <f>IF(I242="","",I242*K242)</f>
        <v/>
      </c>
      <c r="M242" s="13" t="str">
        <f>IF(B242="","",IFERROR(SUMPRODUCT(ISNUMBER(B$3:B242)*(MONTH(IF(ISNUMBER(B$3:B242),B$3:B242,1))=MONTH(B242))*(YEAR(IF(ISNUMBER(B$3:B242),B$3:B242,1))=YEAR(B242))*IF(ISNUMBER(L$3:L242),L$3:L242,0)),""))</f>
        <v/>
      </c>
      <c r="N242" s="6"/>
      <c r="O242" s="7" t="str">
        <f>IF(AND(B242="",ISNUMBER(B243)),CHOOSE(MONTH(B243),"GENNAIO","FEBBRAIO","MARZO","APRILE","MAGGIO","GIUGNO","LUGLIO","AGOSTO","SETTEMBRE","OTTOBRE","NOVEMBRE","DICEMBRE")&amp;" "&amp;YEAR(B243),"")</f>
        <v/>
      </c>
      <c r="P242" s="12" t="str">
        <f>IF(K242=0.2,"CASA","")</f>
        <v/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" customHeight="1" x14ac:dyDescent="0.2">
      <c r="A243" s="5" t="str">
        <f>IF(AND(B243="",ISNUMBER(B244)),CHOOSE(MONTH(B244),"GENNAIO","FEBBRAIO","MARZO","APRILE","MAGGIO","GIUGNO","LUGLIO","AGOSTO","SETTEMBRE","OTTOBRE","NOVEMBRE","DICEMBRE")&amp;" "&amp;YEAR(B244),"")</f>
        <v/>
      </c>
      <c r="B243" s="11"/>
      <c r="C243" s="12"/>
      <c r="D243" s="12" t="str">
        <f>IF(C243="","",C243-IF(C242&lt;&gt;"",C242,IF(C241&lt;&gt;"",C241,IF(C240&lt;&gt;"",C240,0))))</f>
        <v/>
      </c>
      <c r="E243" s="12"/>
      <c r="F243" s="12"/>
      <c r="G243" s="9" t="str">
        <f>IF(AND(E243="",F243=""),"",IF(OR(E243&gt;1,F243&gt;1),(F243-E243)/100,F243-E243))</f>
        <v/>
      </c>
      <c r="H243" s="12" t="str">
        <f>IF(G243="","",64*G243)</f>
        <v/>
      </c>
      <c r="I243" s="13"/>
      <c r="J243" s="13" t="str">
        <f>IFERROR(IF(OR(D243="",D243=0),"",I243/D243*100),"")</f>
        <v/>
      </c>
      <c r="K243" s="14"/>
      <c r="L243" s="13" t="str">
        <f>IF(I243="","",I243*K243)</f>
        <v/>
      </c>
      <c r="M243" s="13" t="str">
        <f>IF(B243="","",IFERROR(SUMPRODUCT(ISNUMBER(B$3:B243)*(MONTH(IF(ISNUMBER(B$3:B243),B$3:B243,1))=MONTH(B243))*(YEAR(IF(ISNUMBER(B$3:B243),B$3:B243,1))=YEAR(B243))*IF(ISNUMBER(L$3:L243),L$3:L243,0)),""))</f>
        <v/>
      </c>
      <c r="N243" s="6"/>
      <c r="O243" s="7" t="str">
        <f>IF(AND(B243="",ISNUMBER(B244)),CHOOSE(MONTH(B244),"GENNAIO","FEBBRAIO","MARZO","APRILE","MAGGIO","GIUGNO","LUGLIO","AGOSTO","SETTEMBRE","OTTOBRE","NOVEMBRE","DICEMBRE")&amp;" "&amp;YEAR(B244),"")</f>
        <v/>
      </c>
      <c r="P243" s="12" t="str">
        <f>IF(K243=0.2,"CASA","")</f>
        <v/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" customHeight="1" x14ac:dyDescent="0.2">
      <c r="A244" s="5" t="str">
        <f>IF(AND(B244="",ISNUMBER(B245)),CHOOSE(MONTH(B245),"GENNAIO","FEBBRAIO","MARZO","APRILE","MAGGIO","GIUGNO","LUGLIO","AGOSTO","SETTEMBRE","OTTOBRE","NOVEMBRE","DICEMBRE")&amp;" "&amp;YEAR(B245),"")</f>
        <v/>
      </c>
      <c r="B244" s="11"/>
      <c r="C244" s="12"/>
      <c r="D244" s="12" t="str">
        <f>IF(C244="","",C244-IF(C243&lt;&gt;"",C243,IF(C242&lt;&gt;"",C242,IF(C241&lt;&gt;"",C241,0))))</f>
        <v/>
      </c>
      <c r="E244" s="12"/>
      <c r="F244" s="12"/>
      <c r="G244" s="9" t="str">
        <f>IF(AND(E244="",F244=""),"",IF(OR(E244&gt;1,F244&gt;1),(F244-E244)/100,F244-E244))</f>
        <v/>
      </c>
      <c r="H244" s="12" t="str">
        <f>IF(G244="","",64*G244)</f>
        <v/>
      </c>
      <c r="I244" s="13"/>
      <c r="J244" s="13" t="str">
        <f>IFERROR(IF(OR(D244="",D244=0),"",I244/D244*100),"")</f>
        <v/>
      </c>
      <c r="K244" s="14"/>
      <c r="L244" s="13" t="str">
        <f>IF(I244="","",I244*K244)</f>
        <v/>
      </c>
      <c r="M244" s="13" t="str">
        <f>IF(B244="","",IFERROR(SUMPRODUCT(ISNUMBER(B$3:B244)*(MONTH(IF(ISNUMBER(B$3:B244),B$3:B244,1))=MONTH(B244))*(YEAR(IF(ISNUMBER(B$3:B244),B$3:B244,1))=YEAR(B244))*IF(ISNUMBER(L$3:L244),L$3:L244,0)),""))</f>
        <v/>
      </c>
      <c r="N244" s="6"/>
      <c r="O244" s="7" t="str">
        <f>IF(AND(B244="",ISNUMBER(B245)),CHOOSE(MONTH(B245),"GENNAIO","FEBBRAIO","MARZO","APRILE","MAGGIO","GIUGNO","LUGLIO","AGOSTO","SETTEMBRE","OTTOBRE","NOVEMBRE","DICEMBRE")&amp;" "&amp;YEAR(B245),"")</f>
        <v/>
      </c>
      <c r="P244" s="12" t="str">
        <f>IF(K244=0.2,"CASA","")</f>
        <v/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" customHeight="1" x14ac:dyDescent="0.2">
      <c r="A245" s="5" t="str">
        <f>IF(AND(B245="",ISNUMBER(B246)),CHOOSE(MONTH(B246),"GENNAIO","FEBBRAIO","MARZO","APRILE","MAGGIO","GIUGNO","LUGLIO","AGOSTO","SETTEMBRE","OTTOBRE","NOVEMBRE","DICEMBRE")&amp;" "&amp;YEAR(B246),"")</f>
        <v/>
      </c>
      <c r="B245" s="11"/>
      <c r="C245" s="12"/>
      <c r="D245" s="12" t="str">
        <f>IF(C245="","",C245-IF(C244&lt;&gt;"",C244,IF(C243&lt;&gt;"",C243,IF(C242&lt;&gt;"",C242,0))))</f>
        <v/>
      </c>
      <c r="E245" s="12"/>
      <c r="F245" s="12"/>
      <c r="G245" s="9" t="str">
        <f>IF(AND(E245="",F245=""),"",IF(OR(E245&gt;1,F245&gt;1),(F245-E245)/100,F245-E245))</f>
        <v/>
      </c>
      <c r="H245" s="12" t="str">
        <f>IF(G245="","",64*G245)</f>
        <v/>
      </c>
      <c r="I245" s="13"/>
      <c r="J245" s="13" t="str">
        <f>IFERROR(IF(OR(D245="",D245=0),"",I245/D245*100),"")</f>
        <v/>
      </c>
      <c r="K245" s="14"/>
      <c r="L245" s="13" t="str">
        <f>IF(I245="","",I245*K245)</f>
        <v/>
      </c>
      <c r="M245" s="13" t="str">
        <f>IF(B245="","",IFERROR(SUMPRODUCT(ISNUMBER(B$3:B245)*(MONTH(IF(ISNUMBER(B$3:B245),B$3:B245,1))=MONTH(B245))*(YEAR(IF(ISNUMBER(B$3:B245),B$3:B245,1))=YEAR(B245))*IF(ISNUMBER(L$3:L245),L$3:L245,0)),""))</f>
        <v/>
      </c>
      <c r="N245" s="6"/>
      <c r="O245" s="7" t="str">
        <f>IF(AND(B245="",ISNUMBER(B246)),CHOOSE(MONTH(B246),"GENNAIO","FEBBRAIO","MARZO","APRILE","MAGGIO","GIUGNO","LUGLIO","AGOSTO","SETTEMBRE","OTTOBRE","NOVEMBRE","DICEMBRE")&amp;" "&amp;YEAR(B246),"")</f>
        <v/>
      </c>
      <c r="P245" s="12" t="str">
        <f>IF(K245=0.2,"CASA","")</f>
        <v/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" customHeight="1" x14ac:dyDescent="0.2">
      <c r="A246" s="5" t="str">
        <f>IF(AND(B246="",ISNUMBER(B247)),CHOOSE(MONTH(B247),"GENNAIO","FEBBRAIO","MARZO","APRILE","MAGGIO","GIUGNO","LUGLIO","AGOSTO","SETTEMBRE","OTTOBRE","NOVEMBRE","DICEMBRE")&amp;" "&amp;YEAR(B247),"")</f>
        <v/>
      </c>
      <c r="B246" s="11"/>
      <c r="C246" s="12"/>
      <c r="D246" s="12" t="str">
        <f>IF(C246="","",C246-IF(C245&lt;&gt;"",C245,IF(C244&lt;&gt;"",C244,IF(C243&lt;&gt;"",C243,0))))</f>
        <v/>
      </c>
      <c r="E246" s="12"/>
      <c r="F246" s="12"/>
      <c r="G246" s="9" t="str">
        <f>IF(AND(E246="",F246=""),"",IF(OR(E246&gt;1,F246&gt;1),(F246-E246)/100,F246-E246))</f>
        <v/>
      </c>
      <c r="H246" s="12" t="str">
        <f>IF(G246="","",64*G246)</f>
        <v/>
      </c>
      <c r="I246" s="13"/>
      <c r="J246" s="13" t="str">
        <f>IFERROR(IF(OR(D246="",D246=0),"",I246/D246*100),"")</f>
        <v/>
      </c>
      <c r="K246" s="14"/>
      <c r="L246" s="13" t="str">
        <f>IF(I246="","",I246*K246)</f>
        <v/>
      </c>
      <c r="M246" s="13" t="str">
        <f>IF(B246="","",IFERROR(SUMPRODUCT(ISNUMBER(B$3:B246)*(MONTH(IF(ISNUMBER(B$3:B246),B$3:B246,1))=MONTH(B246))*(YEAR(IF(ISNUMBER(B$3:B246),B$3:B246,1))=YEAR(B246))*IF(ISNUMBER(L$3:L246),L$3:L246,0)),""))</f>
        <v/>
      </c>
      <c r="N246" s="6"/>
      <c r="O246" s="7" t="str">
        <f>IF(AND(B246="",ISNUMBER(B247)),CHOOSE(MONTH(B247),"GENNAIO","FEBBRAIO","MARZO","APRILE","MAGGIO","GIUGNO","LUGLIO","AGOSTO","SETTEMBRE","OTTOBRE","NOVEMBRE","DICEMBRE")&amp;" "&amp;YEAR(B247),"")</f>
        <v/>
      </c>
      <c r="P246" s="12" t="str">
        <f>IF(K246=0.2,"CASA","")</f>
        <v/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" customHeight="1" x14ac:dyDescent="0.2">
      <c r="A247" s="5" t="str">
        <f>IF(AND(B247="",ISNUMBER(B248)),CHOOSE(MONTH(B248),"GENNAIO","FEBBRAIO","MARZO","APRILE","MAGGIO","GIUGNO","LUGLIO","AGOSTO","SETTEMBRE","OTTOBRE","NOVEMBRE","DICEMBRE")&amp;" "&amp;YEAR(B248),"")</f>
        <v/>
      </c>
      <c r="B247" s="11"/>
      <c r="C247" s="12"/>
      <c r="D247" s="12" t="str">
        <f>IF(C247="","",C247-IF(C246&lt;&gt;"",C246,IF(C245&lt;&gt;"",C245,IF(C244&lt;&gt;"",C244,0))))</f>
        <v/>
      </c>
      <c r="E247" s="12"/>
      <c r="F247" s="12"/>
      <c r="G247" s="9" t="str">
        <f>IF(AND(E247="",F247=""),"",IF(OR(E247&gt;1,F247&gt;1),(F247-E247)/100,F247-E247))</f>
        <v/>
      </c>
      <c r="H247" s="12" t="str">
        <f>IF(G247="","",64*G247)</f>
        <v/>
      </c>
      <c r="I247" s="13"/>
      <c r="J247" s="13" t="str">
        <f>IFERROR(IF(OR(D247="",D247=0),"",I247/D247*100),"")</f>
        <v/>
      </c>
      <c r="K247" s="14"/>
      <c r="L247" s="13" t="str">
        <f>IF(I247="","",I247*K247)</f>
        <v/>
      </c>
      <c r="M247" s="13" t="str">
        <f>IF(B247="","",IFERROR(SUMPRODUCT(ISNUMBER(B$3:B247)*(MONTH(IF(ISNUMBER(B$3:B247),B$3:B247,1))=MONTH(B247))*(YEAR(IF(ISNUMBER(B$3:B247),B$3:B247,1))=YEAR(B247))*IF(ISNUMBER(L$3:L247),L$3:L247,0)),""))</f>
        <v/>
      </c>
      <c r="N247" s="6"/>
      <c r="O247" s="7" t="str">
        <f>IF(AND(B247="",ISNUMBER(B248)),CHOOSE(MONTH(B248),"GENNAIO","FEBBRAIO","MARZO","APRILE","MAGGIO","GIUGNO","LUGLIO","AGOSTO","SETTEMBRE","OTTOBRE","NOVEMBRE","DICEMBRE")&amp;" "&amp;YEAR(B248),"")</f>
        <v/>
      </c>
      <c r="P247" s="12" t="str">
        <f>IF(K247=0.2,"CASA","")</f>
        <v/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" customHeight="1" x14ac:dyDescent="0.2">
      <c r="A248" s="5" t="str">
        <f>IF(AND(B248="",ISNUMBER(B249)),CHOOSE(MONTH(B249),"GENNAIO","FEBBRAIO","MARZO","APRILE","MAGGIO","GIUGNO","LUGLIO","AGOSTO","SETTEMBRE","OTTOBRE","NOVEMBRE","DICEMBRE")&amp;" "&amp;YEAR(B249),"")</f>
        <v/>
      </c>
      <c r="B248" s="11"/>
      <c r="C248" s="12"/>
      <c r="D248" s="12" t="str">
        <f>IF(C248="","",C248-IF(C247&lt;&gt;"",C247,IF(C246&lt;&gt;"",C246,IF(C245&lt;&gt;"",C245,0))))</f>
        <v/>
      </c>
      <c r="E248" s="12"/>
      <c r="F248" s="12"/>
      <c r="G248" s="9" t="str">
        <f>IF(AND(E248="",F248=""),"",IF(OR(E248&gt;1,F248&gt;1),(F248-E248)/100,F248-E248))</f>
        <v/>
      </c>
      <c r="H248" s="12" t="str">
        <f>IF(G248="","",64*G248)</f>
        <v/>
      </c>
      <c r="I248" s="13"/>
      <c r="J248" s="13" t="str">
        <f>IFERROR(IF(OR(D248="",D248=0),"",I248/D248*100),"")</f>
        <v/>
      </c>
      <c r="K248" s="14"/>
      <c r="L248" s="13" t="str">
        <f>IF(I248="","",I248*K248)</f>
        <v/>
      </c>
      <c r="M248" s="13" t="str">
        <f>IF(B248="","",IFERROR(SUMPRODUCT(ISNUMBER(B$3:B248)*(MONTH(IF(ISNUMBER(B$3:B248),B$3:B248,1))=MONTH(B248))*(YEAR(IF(ISNUMBER(B$3:B248),B$3:B248,1))=YEAR(B248))*IF(ISNUMBER(L$3:L248),L$3:L248,0)),""))</f>
        <v/>
      </c>
      <c r="N248" s="6"/>
      <c r="O248" s="7" t="str">
        <f>IF(AND(B248="",ISNUMBER(B249)),CHOOSE(MONTH(B249),"GENNAIO","FEBBRAIO","MARZO","APRILE","MAGGIO","GIUGNO","LUGLIO","AGOSTO","SETTEMBRE","OTTOBRE","NOVEMBRE","DICEMBRE")&amp;" "&amp;YEAR(B249),"")</f>
        <v/>
      </c>
      <c r="P248" s="12" t="str">
        <f>IF(K248=0.2,"CASA","")</f>
        <v/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" customHeight="1" x14ac:dyDescent="0.2">
      <c r="A249" s="5" t="str">
        <f>IF(AND(B249="",ISNUMBER(B250)),CHOOSE(MONTH(B250),"GENNAIO","FEBBRAIO","MARZO","APRILE","MAGGIO","GIUGNO","LUGLIO","AGOSTO","SETTEMBRE","OTTOBRE","NOVEMBRE","DICEMBRE")&amp;" "&amp;YEAR(B250),"")</f>
        <v/>
      </c>
      <c r="B249" s="11"/>
      <c r="C249" s="12"/>
      <c r="D249" s="12" t="str">
        <f>IF(C249="","",C249-IF(C248&lt;&gt;"",C248,IF(C247&lt;&gt;"",C247,IF(C246&lt;&gt;"",C246,0))))</f>
        <v/>
      </c>
      <c r="E249" s="12"/>
      <c r="F249" s="12"/>
      <c r="G249" s="9" t="str">
        <f>IF(AND(E249="",F249=""),"",IF(OR(E249&gt;1,F249&gt;1),(F249-E249)/100,F249-E249))</f>
        <v/>
      </c>
      <c r="H249" s="12" t="str">
        <f>IF(G249="","",64*G249)</f>
        <v/>
      </c>
      <c r="I249" s="13"/>
      <c r="J249" s="13" t="str">
        <f>IFERROR(IF(OR(D249="",D249=0),"",I249/D249*100),"")</f>
        <v/>
      </c>
      <c r="K249" s="14"/>
      <c r="L249" s="13" t="str">
        <f>IF(I249="","",I249*K249)</f>
        <v/>
      </c>
      <c r="M249" s="13" t="str">
        <f>IF(B249="","",IFERROR(SUMPRODUCT(ISNUMBER(B$3:B249)*(MONTH(IF(ISNUMBER(B$3:B249),B$3:B249,1))=MONTH(B249))*(YEAR(IF(ISNUMBER(B$3:B249),B$3:B249,1))=YEAR(B249))*IF(ISNUMBER(L$3:L249),L$3:L249,0)),""))</f>
        <v/>
      </c>
      <c r="N249" s="6"/>
      <c r="O249" s="7" t="str">
        <f>IF(AND(B249="",ISNUMBER(B250)),CHOOSE(MONTH(B250),"GENNAIO","FEBBRAIO","MARZO","APRILE","MAGGIO","GIUGNO","LUGLIO","AGOSTO","SETTEMBRE","OTTOBRE","NOVEMBRE","DICEMBRE")&amp;" "&amp;YEAR(B250),"")</f>
        <v/>
      </c>
      <c r="P249" s="12" t="str">
        <f>IF(K249=0.2,"CASA","")</f>
        <v/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" customHeight="1" x14ac:dyDescent="0.2">
      <c r="A250" s="5" t="str">
        <f>IF(AND(B250="",ISNUMBER(B251)),CHOOSE(MONTH(B251),"GENNAIO","FEBBRAIO","MARZO","APRILE","MAGGIO","GIUGNO","LUGLIO","AGOSTO","SETTEMBRE","OTTOBRE","NOVEMBRE","DICEMBRE")&amp;" "&amp;YEAR(B251),"")</f>
        <v/>
      </c>
      <c r="B250" s="11"/>
      <c r="C250" s="12"/>
      <c r="D250" s="12" t="str">
        <f>IF(C250="","",C250-IF(C249&lt;&gt;"",C249,IF(C248&lt;&gt;"",C248,IF(C247&lt;&gt;"",C247,0))))</f>
        <v/>
      </c>
      <c r="E250" s="12"/>
      <c r="F250" s="12"/>
      <c r="G250" s="9" t="str">
        <f>IF(AND(E250="",F250=""),"",IF(OR(E250&gt;1,F250&gt;1),(F250-E250)/100,F250-E250))</f>
        <v/>
      </c>
      <c r="H250" s="12" t="str">
        <f>IF(G250="","",64*G250)</f>
        <v/>
      </c>
      <c r="I250" s="13"/>
      <c r="J250" s="13" t="str">
        <f>IFERROR(IF(OR(D250="",D250=0),"",I250/D250*100),"")</f>
        <v/>
      </c>
      <c r="K250" s="14"/>
      <c r="L250" s="13" t="str">
        <f>IF(I250="","",I250*K250)</f>
        <v/>
      </c>
      <c r="M250" s="13" t="str">
        <f>IF(B250="","",IFERROR(SUMPRODUCT(ISNUMBER(B$3:B250)*(MONTH(IF(ISNUMBER(B$3:B250),B$3:B250,1))=MONTH(B250))*(YEAR(IF(ISNUMBER(B$3:B250),B$3:B250,1))=YEAR(B250))*IF(ISNUMBER(L$3:L250),L$3:L250,0)),""))</f>
        <v/>
      </c>
      <c r="N250" s="6"/>
      <c r="O250" s="7" t="str">
        <f>IF(AND(B250="",ISNUMBER(B251)),CHOOSE(MONTH(B251),"GENNAIO","FEBBRAIO","MARZO","APRILE","MAGGIO","GIUGNO","LUGLIO","AGOSTO","SETTEMBRE","OTTOBRE","NOVEMBRE","DICEMBRE")&amp;" "&amp;YEAR(B251),"")</f>
        <v/>
      </c>
      <c r="P250" s="12" t="str">
        <f>IF(K250=0.2,"CASA","")</f>
        <v/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" customHeight="1" x14ac:dyDescent="0.2">
      <c r="A251" s="5" t="str">
        <f>IF(AND(B251="",ISNUMBER(B252)),CHOOSE(MONTH(B252),"GENNAIO","FEBBRAIO","MARZO","APRILE","MAGGIO","GIUGNO","LUGLIO","AGOSTO","SETTEMBRE","OTTOBRE","NOVEMBRE","DICEMBRE")&amp;" "&amp;YEAR(B252),"")</f>
        <v/>
      </c>
      <c r="B251" s="11"/>
      <c r="C251" s="12"/>
      <c r="D251" s="12" t="str">
        <f>IF(C251="","",C251-IF(C250&lt;&gt;"",C250,IF(C249&lt;&gt;"",C249,IF(C248&lt;&gt;"",C248,0))))</f>
        <v/>
      </c>
      <c r="E251" s="12"/>
      <c r="F251" s="12"/>
      <c r="G251" s="9" t="str">
        <f>IF(AND(E251="",F251=""),"",IF(OR(E251&gt;1,F251&gt;1),(F251-E251)/100,F251-E251))</f>
        <v/>
      </c>
      <c r="H251" s="12" t="str">
        <f>IF(G251="","",64*G251)</f>
        <v/>
      </c>
      <c r="I251" s="13"/>
      <c r="J251" s="13" t="str">
        <f>IFERROR(IF(OR(D251="",D251=0),"",I251/D251*100),"")</f>
        <v/>
      </c>
      <c r="K251" s="14"/>
      <c r="L251" s="13" t="str">
        <f>IF(I251="","",I251*K251)</f>
        <v/>
      </c>
      <c r="M251" s="13" t="str">
        <f>IF(B251="","",IFERROR(SUMPRODUCT(ISNUMBER(B$3:B251)*(MONTH(IF(ISNUMBER(B$3:B251),B$3:B251,1))=MONTH(B251))*(YEAR(IF(ISNUMBER(B$3:B251),B$3:B251,1))=YEAR(B251))*IF(ISNUMBER(L$3:L251),L$3:L251,0)),""))</f>
        <v/>
      </c>
      <c r="N251" s="6"/>
      <c r="O251" s="7" t="str">
        <f>IF(AND(B251="",ISNUMBER(B252)),CHOOSE(MONTH(B252),"GENNAIO","FEBBRAIO","MARZO","APRILE","MAGGIO","GIUGNO","LUGLIO","AGOSTO","SETTEMBRE","OTTOBRE","NOVEMBRE","DICEMBRE")&amp;" "&amp;YEAR(B252),"")</f>
        <v/>
      </c>
      <c r="P251" s="12" t="str">
        <f>IF(K251=0.2,"CASA","")</f>
        <v/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" customHeight="1" x14ac:dyDescent="0.2">
      <c r="A252" s="5" t="str">
        <f>IF(AND(B252="",ISNUMBER(B253)),CHOOSE(MONTH(B253),"GENNAIO","FEBBRAIO","MARZO","APRILE","MAGGIO","GIUGNO","LUGLIO","AGOSTO","SETTEMBRE","OTTOBRE","NOVEMBRE","DICEMBRE")&amp;" "&amp;YEAR(B253),"")</f>
        <v/>
      </c>
      <c r="B252" s="11"/>
      <c r="C252" s="12"/>
      <c r="D252" s="12" t="str">
        <f>IF(C252="","",C252-IF(C251&lt;&gt;"",C251,IF(C250&lt;&gt;"",C250,IF(C249&lt;&gt;"",C249,0))))</f>
        <v/>
      </c>
      <c r="E252" s="12"/>
      <c r="F252" s="12"/>
      <c r="G252" s="9" t="str">
        <f>IF(AND(E252="",F252=""),"",IF(OR(E252&gt;1,F252&gt;1),(F252-E252)/100,F252-E252))</f>
        <v/>
      </c>
      <c r="H252" s="12" t="str">
        <f>IF(G252="","",64*G252)</f>
        <v/>
      </c>
      <c r="I252" s="13"/>
      <c r="J252" s="13" t="str">
        <f>IFERROR(IF(OR(D252="",D252=0),"",I252/D252*100),"")</f>
        <v/>
      </c>
      <c r="K252" s="14"/>
      <c r="L252" s="13" t="str">
        <f>IF(I252="","",I252*K252)</f>
        <v/>
      </c>
      <c r="M252" s="13" t="str">
        <f>IF(B252="","",IFERROR(SUMPRODUCT(ISNUMBER(B$3:B252)*(MONTH(IF(ISNUMBER(B$3:B252),B$3:B252,1))=MONTH(B252))*(YEAR(IF(ISNUMBER(B$3:B252),B$3:B252,1))=YEAR(B252))*IF(ISNUMBER(L$3:L252),L$3:L252,0)),""))</f>
        <v/>
      </c>
      <c r="N252" s="6"/>
      <c r="O252" s="7" t="str">
        <f>IF(AND(B252="",ISNUMBER(B253)),CHOOSE(MONTH(B253),"GENNAIO","FEBBRAIO","MARZO","APRILE","MAGGIO","GIUGNO","LUGLIO","AGOSTO","SETTEMBRE","OTTOBRE","NOVEMBRE","DICEMBRE")&amp;" "&amp;YEAR(B253),"")</f>
        <v/>
      </c>
      <c r="P252" s="12" t="str">
        <f>IF(K252=0.2,"CASA","")</f>
        <v/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" customHeight="1" x14ac:dyDescent="0.2">
      <c r="A253" s="5" t="str">
        <f>IF(AND(B253="",ISNUMBER(B254)),CHOOSE(MONTH(B254),"GENNAIO","FEBBRAIO","MARZO","APRILE","MAGGIO","GIUGNO","LUGLIO","AGOSTO","SETTEMBRE","OTTOBRE","NOVEMBRE","DICEMBRE")&amp;" "&amp;YEAR(B254),"")</f>
        <v/>
      </c>
      <c r="B253" s="11"/>
      <c r="C253" s="12"/>
      <c r="D253" s="12" t="str">
        <f>IF(C253="","",C253-IF(C252&lt;&gt;"",C252,IF(C251&lt;&gt;"",C251,IF(C250&lt;&gt;"",C250,0))))</f>
        <v/>
      </c>
      <c r="E253" s="12"/>
      <c r="F253" s="12"/>
      <c r="G253" s="9" t="str">
        <f>IF(AND(E253="",F253=""),"",IF(OR(E253&gt;1,F253&gt;1),(F253-E253)/100,F253-E253))</f>
        <v/>
      </c>
      <c r="H253" s="12" t="str">
        <f>IF(G253="","",64*G253)</f>
        <v/>
      </c>
      <c r="I253" s="13"/>
      <c r="J253" s="13" t="str">
        <f>IFERROR(IF(OR(D253="",D253=0),"",I253/D253*100),"")</f>
        <v/>
      </c>
      <c r="K253" s="14"/>
      <c r="L253" s="13" t="str">
        <f>IF(I253="","",I253*K253)</f>
        <v/>
      </c>
      <c r="M253" s="13" t="str">
        <f>IF(B253="","",IFERROR(SUMPRODUCT(ISNUMBER(B$3:B253)*(MONTH(IF(ISNUMBER(B$3:B253),B$3:B253,1))=MONTH(B253))*(YEAR(IF(ISNUMBER(B$3:B253),B$3:B253,1))=YEAR(B253))*IF(ISNUMBER(L$3:L253),L$3:L253,0)),""))</f>
        <v/>
      </c>
      <c r="N253" s="6"/>
      <c r="O253" s="7" t="str">
        <f>IF(AND(B253="",ISNUMBER(B254)),CHOOSE(MONTH(B254),"GENNAIO","FEBBRAIO","MARZO","APRILE","MAGGIO","GIUGNO","LUGLIO","AGOSTO","SETTEMBRE","OTTOBRE","NOVEMBRE","DICEMBRE")&amp;" "&amp;YEAR(B254),"")</f>
        <v/>
      </c>
      <c r="P253" s="12" t="str">
        <f>IF(K253=0.2,"CASA","")</f>
        <v/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" customHeight="1" x14ac:dyDescent="0.2">
      <c r="A254" s="5" t="str">
        <f>IF(AND(B254="",ISNUMBER(B255)),CHOOSE(MONTH(B255),"GENNAIO","FEBBRAIO","MARZO","APRILE","MAGGIO","GIUGNO","LUGLIO","AGOSTO","SETTEMBRE","OTTOBRE","NOVEMBRE","DICEMBRE")&amp;" "&amp;YEAR(B255),"")</f>
        <v/>
      </c>
      <c r="B254" s="11"/>
      <c r="C254" s="12"/>
      <c r="D254" s="12" t="str">
        <f>IF(C254="","",C254-IF(C253&lt;&gt;"",C253,IF(C252&lt;&gt;"",C252,IF(C251&lt;&gt;"",C251,0))))</f>
        <v/>
      </c>
      <c r="E254" s="12"/>
      <c r="F254" s="12"/>
      <c r="G254" s="9" t="str">
        <f>IF(AND(E254="",F254=""),"",IF(OR(E254&gt;1,F254&gt;1),(F254-E254)/100,F254-E254))</f>
        <v/>
      </c>
      <c r="H254" s="12" t="str">
        <f>IF(G254="","",64*G254)</f>
        <v/>
      </c>
      <c r="I254" s="13"/>
      <c r="J254" s="13" t="str">
        <f>IFERROR(IF(OR(D254="",D254=0),"",I254/D254*100),"")</f>
        <v/>
      </c>
      <c r="K254" s="14"/>
      <c r="L254" s="13" t="str">
        <f>IF(I254="","",I254*K254)</f>
        <v/>
      </c>
      <c r="M254" s="13" t="str">
        <f>IF(B254="","",IFERROR(SUMPRODUCT(ISNUMBER(B$3:B254)*(MONTH(IF(ISNUMBER(B$3:B254),B$3:B254,1))=MONTH(B254))*(YEAR(IF(ISNUMBER(B$3:B254),B$3:B254,1))=YEAR(B254))*IF(ISNUMBER(L$3:L254),L$3:L254,0)),""))</f>
        <v/>
      </c>
      <c r="N254" s="6"/>
      <c r="O254" s="7" t="str">
        <f>IF(AND(B254="",ISNUMBER(B255)),CHOOSE(MONTH(B255),"GENNAIO","FEBBRAIO","MARZO","APRILE","MAGGIO","GIUGNO","LUGLIO","AGOSTO","SETTEMBRE","OTTOBRE","NOVEMBRE","DICEMBRE")&amp;" "&amp;YEAR(B255),"")</f>
        <v/>
      </c>
      <c r="P254" s="12" t="str">
        <f>IF(K254=0.2,"CASA","")</f>
        <v/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" customHeight="1" x14ac:dyDescent="0.2">
      <c r="A255" s="5" t="str">
        <f>IF(AND(B255="",ISNUMBER(B256)),CHOOSE(MONTH(B256),"GENNAIO","FEBBRAIO","MARZO","APRILE","MAGGIO","GIUGNO","LUGLIO","AGOSTO","SETTEMBRE","OTTOBRE","NOVEMBRE","DICEMBRE")&amp;" "&amp;YEAR(B256),"")</f>
        <v/>
      </c>
      <c r="B255" s="11"/>
      <c r="C255" s="12"/>
      <c r="D255" s="12" t="str">
        <f>IF(C255="","",C255-IF(C254&lt;&gt;"",C254,IF(C253&lt;&gt;"",C253,IF(C252&lt;&gt;"",C252,0))))</f>
        <v/>
      </c>
      <c r="E255" s="12"/>
      <c r="F255" s="12"/>
      <c r="G255" s="9" t="str">
        <f>IF(AND(E255="",F255=""),"",IF(OR(E255&gt;1,F255&gt;1),(F255-E255)/100,F255-E255))</f>
        <v/>
      </c>
      <c r="H255" s="12" t="str">
        <f>IF(G255="","",64*G255)</f>
        <v/>
      </c>
      <c r="I255" s="13"/>
      <c r="J255" s="13" t="str">
        <f>IFERROR(IF(OR(D255="",D255=0),"",I255/D255*100),"")</f>
        <v/>
      </c>
      <c r="K255" s="14"/>
      <c r="L255" s="13" t="str">
        <f>IF(I255="","",I255*K255)</f>
        <v/>
      </c>
      <c r="M255" s="13" t="str">
        <f>IF(B255="","",IFERROR(SUMPRODUCT(ISNUMBER(B$3:B255)*(MONTH(IF(ISNUMBER(B$3:B255),B$3:B255,1))=MONTH(B255))*(YEAR(IF(ISNUMBER(B$3:B255),B$3:B255,1))=YEAR(B255))*IF(ISNUMBER(L$3:L255),L$3:L255,0)),""))</f>
        <v/>
      </c>
      <c r="N255" s="6"/>
      <c r="O255" s="7" t="str">
        <f>IF(AND(B255="",ISNUMBER(B256)),CHOOSE(MONTH(B256),"GENNAIO","FEBBRAIO","MARZO","APRILE","MAGGIO","GIUGNO","LUGLIO","AGOSTO","SETTEMBRE","OTTOBRE","NOVEMBRE","DICEMBRE")&amp;" "&amp;YEAR(B256),"")</f>
        <v/>
      </c>
      <c r="P255" s="12" t="str">
        <f>IF(K255=0.2,"CASA","")</f>
        <v/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" customHeight="1" x14ac:dyDescent="0.2">
      <c r="A256" s="5" t="str">
        <f>IF(AND(B256="",ISNUMBER(B257)),CHOOSE(MONTH(B257),"GENNAIO","FEBBRAIO","MARZO","APRILE","MAGGIO","GIUGNO","LUGLIO","AGOSTO","SETTEMBRE","OTTOBRE","NOVEMBRE","DICEMBRE")&amp;" "&amp;YEAR(B257),"")</f>
        <v/>
      </c>
      <c r="B256" s="11"/>
      <c r="C256" s="12"/>
      <c r="D256" s="12" t="str">
        <f>IF(C256="","",C256-IF(C255&lt;&gt;"",C255,IF(C254&lt;&gt;"",C254,IF(C253&lt;&gt;"",C253,0))))</f>
        <v/>
      </c>
      <c r="E256" s="12"/>
      <c r="F256" s="12"/>
      <c r="G256" s="9" t="str">
        <f>IF(AND(E256="",F256=""),"",IF(OR(E256&gt;1,F256&gt;1),(F256-E256)/100,F256-E256))</f>
        <v/>
      </c>
      <c r="H256" s="12" t="str">
        <f>IF(G256="","",64*G256)</f>
        <v/>
      </c>
      <c r="I256" s="13"/>
      <c r="J256" s="13" t="str">
        <f>IFERROR(IF(OR(D256="",D256=0),"",I256/D256*100),"")</f>
        <v/>
      </c>
      <c r="K256" s="14"/>
      <c r="L256" s="13" t="str">
        <f>IF(I256="","",I256*K256)</f>
        <v/>
      </c>
      <c r="M256" s="13" t="str">
        <f>IF(B256="","",IFERROR(SUMPRODUCT(ISNUMBER(B$3:B256)*(MONTH(IF(ISNUMBER(B$3:B256),B$3:B256,1))=MONTH(B256))*(YEAR(IF(ISNUMBER(B$3:B256),B$3:B256,1))=YEAR(B256))*IF(ISNUMBER(L$3:L256),L$3:L256,0)),""))</f>
        <v/>
      </c>
      <c r="N256" s="6"/>
      <c r="O256" s="7" t="str">
        <f>IF(AND(B256="",ISNUMBER(B257)),CHOOSE(MONTH(B257),"GENNAIO","FEBBRAIO","MARZO","APRILE","MAGGIO","GIUGNO","LUGLIO","AGOSTO","SETTEMBRE","OTTOBRE","NOVEMBRE","DICEMBRE")&amp;" "&amp;YEAR(B257),"")</f>
        <v/>
      </c>
      <c r="P256" s="12" t="str">
        <f>IF(K256=0.2,"CASA","")</f>
        <v/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" customHeight="1" x14ac:dyDescent="0.2">
      <c r="A257" s="5" t="str">
        <f>IF(AND(B257="",ISNUMBER(B258)),CHOOSE(MONTH(B258),"GENNAIO","FEBBRAIO","MARZO","APRILE","MAGGIO","GIUGNO","LUGLIO","AGOSTO","SETTEMBRE","OTTOBRE","NOVEMBRE","DICEMBRE")&amp;" "&amp;YEAR(B258),"")</f>
        <v/>
      </c>
      <c r="B257" s="11"/>
      <c r="C257" s="12"/>
      <c r="D257" s="12" t="str">
        <f>IF(C257="","",C257-IF(C256&lt;&gt;"",C256,IF(C255&lt;&gt;"",C255,IF(C254&lt;&gt;"",C254,0))))</f>
        <v/>
      </c>
      <c r="E257" s="12"/>
      <c r="F257" s="12"/>
      <c r="G257" s="9" t="str">
        <f>IF(AND(E257="",F257=""),"",IF(OR(E257&gt;1,F257&gt;1),(F257-E257)/100,F257-E257))</f>
        <v/>
      </c>
      <c r="H257" s="12" t="str">
        <f>IF(G257="","",64*G257)</f>
        <v/>
      </c>
      <c r="I257" s="13"/>
      <c r="J257" s="13" t="str">
        <f>IFERROR(IF(OR(D257="",D257=0),"",I257/D257*100),"")</f>
        <v/>
      </c>
      <c r="K257" s="14"/>
      <c r="L257" s="13" t="str">
        <f>IF(I257="","",I257*K257)</f>
        <v/>
      </c>
      <c r="M257" s="13" t="str">
        <f>IF(B257="","",IFERROR(SUMPRODUCT(ISNUMBER(B$3:B257)*(MONTH(IF(ISNUMBER(B$3:B257),B$3:B257,1))=MONTH(B257))*(YEAR(IF(ISNUMBER(B$3:B257),B$3:B257,1))=YEAR(B257))*IF(ISNUMBER(L$3:L257),L$3:L257,0)),""))</f>
        <v/>
      </c>
      <c r="N257" s="6"/>
      <c r="O257" s="7" t="str">
        <f>IF(AND(B257="",ISNUMBER(B258)),CHOOSE(MONTH(B258),"GENNAIO","FEBBRAIO","MARZO","APRILE","MAGGIO","GIUGNO","LUGLIO","AGOSTO","SETTEMBRE","OTTOBRE","NOVEMBRE","DICEMBRE")&amp;" "&amp;YEAR(B258),"")</f>
        <v/>
      </c>
      <c r="P257" s="12" t="str">
        <f>IF(K257=0.2,"CASA","")</f>
        <v/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" customHeight="1" x14ac:dyDescent="0.2">
      <c r="A258" s="5" t="str">
        <f>IF(AND(B258="",ISNUMBER(B259)),CHOOSE(MONTH(B259),"GENNAIO","FEBBRAIO","MARZO","APRILE","MAGGIO","GIUGNO","LUGLIO","AGOSTO","SETTEMBRE","OTTOBRE","NOVEMBRE","DICEMBRE")&amp;" "&amp;YEAR(B259),"")</f>
        <v/>
      </c>
      <c r="B258" s="11"/>
      <c r="C258" s="12"/>
      <c r="D258" s="12" t="str">
        <f>IF(C258="","",C258-IF(C257&lt;&gt;"",C257,IF(C256&lt;&gt;"",C256,IF(C255&lt;&gt;"",C255,0))))</f>
        <v/>
      </c>
      <c r="E258" s="12"/>
      <c r="F258" s="12"/>
      <c r="G258" s="9" t="str">
        <f>IF(AND(E258="",F258=""),"",IF(OR(E258&gt;1,F258&gt;1),(F258-E258)/100,F258-E258))</f>
        <v/>
      </c>
      <c r="H258" s="12" t="str">
        <f>IF(G258="","",64*G258)</f>
        <v/>
      </c>
      <c r="I258" s="13"/>
      <c r="J258" s="13" t="str">
        <f>IFERROR(IF(OR(D258="",D258=0),"",I258/D258*100),"")</f>
        <v/>
      </c>
      <c r="K258" s="14"/>
      <c r="L258" s="13" t="str">
        <f>IF(I258="","",I258*K258)</f>
        <v/>
      </c>
      <c r="M258" s="13" t="str">
        <f>IF(B258="","",IFERROR(SUMPRODUCT(ISNUMBER(B$3:B258)*(MONTH(IF(ISNUMBER(B$3:B258),B$3:B258,1))=MONTH(B258))*(YEAR(IF(ISNUMBER(B$3:B258),B$3:B258,1))=YEAR(B258))*IF(ISNUMBER(L$3:L258),L$3:L258,0)),""))</f>
        <v/>
      </c>
      <c r="N258" s="6"/>
      <c r="O258" s="7" t="str">
        <f>IF(AND(B258="",ISNUMBER(B259)),CHOOSE(MONTH(B259),"GENNAIO","FEBBRAIO","MARZO","APRILE","MAGGIO","GIUGNO","LUGLIO","AGOSTO","SETTEMBRE","OTTOBRE","NOVEMBRE","DICEMBRE")&amp;" "&amp;YEAR(B259),"")</f>
        <v/>
      </c>
      <c r="P258" s="12" t="str">
        <f>IF(K258=0.2,"CASA","")</f>
        <v/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" customHeight="1" x14ac:dyDescent="0.2">
      <c r="A259" s="5" t="str">
        <f>IF(AND(B259="",ISNUMBER(B260)),CHOOSE(MONTH(B260),"GENNAIO","FEBBRAIO","MARZO","APRILE","MAGGIO","GIUGNO","LUGLIO","AGOSTO","SETTEMBRE","OTTOBRE","NOVEMBRE","DICEMBRE")&amp;" "&amp;YEAR(B260),"")</f>
        <v/>
      </c>
      <c r="B259" s="11"/>
      <c r="C259" s="12"/>
      <c r="D259" s="12" t="str">
        <f>IF(C259="","",C259-IF(C258&lt;&gt;"",C258,IF(C257&lt;&gt;"",C257,IF(C256&lt;&gt;"",C256,0))))</f>
        <v/>
      </c>
      <c r="E259" s="12"/>
      <c r="F259" s="12"/>
      <c r="G259" s="9" t="str">
        <f>IF(AND(E259="",F259=""),"",IF(OR(E259&gt;1,F259&gt;1),(F259-E259)/100,F259-E259))</f>
        <v/>
      </c>
      <c r="H259" s="12" t="str">
        <f>IF(G259="","",64*G259)</f>
        <v/>
      </c>
      <c r="I259" s="13"/>
      <c r="J259" s="13" t="str">
        <f>IFERROR(IF(OR(D259="",D259=0),"",I259/D259*100),"")</f>
        <v/>
      </c>
      <c r="K259" s="14"/>
      <c r="L259" s="13" t="str">
        <f>IF(I259="","",I259*K259)</f>
        <v/>
      </c>
      <c r="M259" s="13" t="str">
        <f>IF(B259="","",IFERROR(SUMPRODUCT(ISNUMBER(B$3:B259)*(MONTH(IF(ISNUMBER(B$3:B259),B$3:B259,1))=MONTH(B259))*(YEAR(IF(ISNUMBER(B$3:B259),B$3:B259,1))=YEAR(B259))*IF(ISNUMBER(L$3:L259),L$3:L259,0)),""))</f>
        <v/>
      </c>
      <c r="N259" s="6"/>
      <c r="O259" s="7" t="str">
        <f>IF(AND(B259="",ISNUMBER(B260)),CHOOSE(MONTH(B260),"GENNAIO","FEBBRAIO","MARZO","APRILE","MAGGIO","GIUGNO","LUGLIO","AGOSTO","SETTEMBRE","OTTOBRE","NOVEMBRE","DICEMBRE")&amp;" "&amp;YEAR(B260),"")</f>
        <v/>
      </c>
      <c r="P259" s="12" t="str">
        <f>IF(K259=0.2,"CASA","")</f>
        <v/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" customHeight="1" x14ac:dyDescent="0.2">
      <c r="A260" s="5" t="str">
        <f>IF(AND(B260="",ISNUMBER(B261)),CHOOSE(MONTH(B261),"GENNAIO","FEBBRAIO","MARZO","APRILE","MAGGIO","GIUGNO","LUGLIO","AGOSTO","SETTEMBRE","OTTOBRE","NOVEMBRE","DICEMBRE")&amp;" "&amp;YEAR(B261),"")</f>
        <v/>
      </c>
      <c r="B260" s="11"/>
      <c r="C260" s="12"/>
      <c r="D260" s="12" t="str">
        <f>IF(C260="","",C260-IF(C259&lt;&gt;"",C259,IF(C258&lt;&gt;"",C258,IF(C257&lt;&gt;"",C257,0))))</f>
        <v/>
      </c>
      <c r="E260" s="12"/>
      <c r="F260" s="12"/>
      <c r="G260" s="9" t="str">
        <f>IF(AND(E260="",F260=""),"",IF(OR(E260&gt;1,F260&gt;1),(F260-E260)/100,F260-E260))</f>
        <v/>
      </c>
      <c r="H260" s="12" t="str">
        <f>IF(G260="","",64*G260)</f>
        <v/>
      </c>
      <c r="I260" s="13"/>
      <c r="J260" s="13" t="str">
        <f>IFERROR(IF(OR(D260="",D260=0),"",I260/D260*100),"")</f>
        <v/>
      </c>
      <c r="K260" s="14"/>
      <c r="L260" s="13" t="str">
        <f>IF(I260="","",I260*K260)</f>
        <v/>
      </c>
      <c r="M260" s="13" t="str">
        <f>IF(B260="","",IFERROR(SUMPRODUCT(ISNUMBER(B$3:B260)*(MONTH(IF(ISNUMBER(B$3:B260),B$3:B260,1))=MONTH(B260))*(YEAR(IF(ISNUMBER(B$3:B260),B$3:B260,1))=YEAR(B260))*IF(ISNUMBER(L$3:L260),L$3:L260,0)),""))</f>
        <v/>
      </c>
      <c r="N260" s="6"/>
      <c r="O260" s="7" t="str">
        <f>IF(AND(B260="",ISNUMBER(B261)),CHOOSE(MONTH(B261),"GENNAIO","FEBBRAIO","MARZO","APRILE","MAGGIO","GIUGNO","LUGLIO","AGOSTO","SETTEMBRE","OTTOBRE","NOVEMBRE","DICEMBRE")&amp;" "&amp;YEAR(B261),"")</f>
        <v/>
      </c>
      <c r="P260" s="12" t="str">
        <f>IF(K260=0.2,"CASA","")</f>
        <v/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" customHeight="1" x14ac:dyDescent="0.2">
      <c r="A261" s="5" t="str">
        <f>IF(AND(B261="",ISNUMBER(B262)),CHOOSE(MONTH(B262),"GENNAIO","FEBBRAIO","MARZO","APRILE","MAGGIO","GIUGNO","LUGLIO","AGOSTO","SETTEMBRE","OTTOBRE","NOVEMBRE","DICEMBRE")&amp;" "&amp;YEAR(B262),"")</f>
        <v/>
      </c>
      <c r="B261" s="11"/>
      <c r="C261" s="12"/>
      <c r="D261" s="12" t="str">
        <f>IF(C261="","",C261-IF(C260&lt;&gt;"",C260,IF(C259&lt;&gt;"",C259,IF(C258&lt;&gt;"",C258,0))))</f>
        <v/>
      </c>
      <c r="E261" s="12"/>
      <c r="F261" s="12"/>
      <c r="G261" s="9" t="str">
        <f>IF(AND(E261="",F261=""),"",IF(OR(E261&gt;1,F261&gt;1),(F261-E261)/100,F261-E261))</f>
        <v/>
      </c>
      <c r="H261" s="12" t="str">
        <f>IF(G261="","",64*G261)</f>
        <v/>
      </c>
      <c r="I261" s="13"/>
      <c r="J261" s="13" t="str">
        <f>IFERROR(IF(OR(D261="",D261=0),"",I261/D261*100),"")</f>
        <v/>
      </c>
      <c r="K261" s="14"/>
      <c r="L261" s="13" t="str">
        <f>IF(I261="","",I261*K261)</f>
        <v/>
      </c>
      <c r="M261" s="13" t="str">
        <f>IF(B261="","",IFERROR(SUMPRODUCT(ISNUMBER(B$3:B261)*(MONTH(IF(ISNUMBER(B$3:B261),B$3:B261,1))=MONTH(B261))*(YEAR(IF(ISNUMBER(B$3:B261),B$3:B261,1))=YEAR(B261))*IF(ISNUMBER(L$3:L261),L$3:L261,0)),""))</f>
        <v/>
      </c>
      <c r="N261" s="6"/>
      <c r="O261" s="7" t="str">
        <f>IF(AND(B261="",ISNUMBER(B262)),CHOOSE(MONTH(B262),"GENNAIO","FEBBRAIO","MARZO","APRILE","MAGGIO","GIUGNO","LUGLIO","AGOSTO","SETTEMBRE","OTTOBRE","NOVEMBRE","DICEMBRE")&amp;" "&amp;YEAR(B262),"")</f>
        <v/>
      </c>
      <c r="P261" s="12" t="str">
        <f>IF(K261=0.2,"CASA","")</f>
        <v/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" customHeight="1" x14ac:dyDescent="0.2">
      <c r="A262" s="5" t="str">
        <f>IF(AND(B262="",ISNUMBER(B263)),CHOOSE(MONTH(B263),"GENNAIO","FEBBRAIO","MARZO","APRILE","MAGGIO","GIUGNO","LUGLIO","AGOSTO","SETTEMBRE","OTTOBRE","NOVEMBRE","DICEMBRE")&amp;" "&amp;YEAR(B263),"")</f>
        <v/>
      </c>
      <c r="B262" s="11"/>
      <c r="C262" s="12"/>
      <c r="D262" s="12" t="str">
        <f>IF(C262="","",C262-IF(C261&lt;&gt;"",C261,IF(C260&lt;&gt;"",C260,IF(C259&lt;&gt;"",C259,0))))</f>
        <v/>
      </c>
      <c r="E262" s="12"/>
      <c r="F262" s="12"/>
      <c r="G262" s="9" t="str">
        <f>IF(AND(E262="",F262=""),"",IF(OR(E262&gt;1,F262&gt;1),(F262-E262)/100,F262-E262))</f>
        <v/>
      </c>
      <c r="H262" s="12" t="str">
        <f>IF(G262="","",64*G262)</f>
        <v/>
      </c>
      <c r="I262" s="13"/>
      <c r="J262" s="13" t="str">
        <f>IFERROR(IF(OR(D262="",D262=0),"",I262/D262*100),"")</f>
        <v/>
      </c>
      <c r="K262" s="14"/>
      <c r="L262" s="13" t="str">
        <f>IF(I262="","",I262*K262)</f>
        <v/>
      </c>
      <c r="M262" s="13" t="str">
        <f>IF(B262="","",IFERROR(SUMPRODUCT(ISNUMBER(B$3:B262)*(MONTH(IF(ISNUMBER(B$3:B262),B$3:B262,1))=MONTH(B262))*(YEAR(IF(ISNUMBER(B$3:B262),B$3:B262,1))=YEAR(B262))*IF(ISNUMBER(L$3:L262),L$3:L262,0)),""))</f>
        <v/>
      </c>
      <c r="N262" s="6"/>
      <c r="O262" s="7" t="str">
        <f>IF(AND(B262="",ISNUMBER(B263)),CHOOSE(MONTH(B263),"GENNAIO","FEBBRAIO","MARZO","APRILE","MAGGIO","GIUGNO","LUGLIO","AGOSTO","SETTEMBRE","OTTOBRE","NOVEMBRE","DICEMBRE")&amp;" "&amp;YEAR(B263),"")</f>
        <v/>
      </c>
      <c r="P262" s="12" t="str">
        <f>IF(K262=0.2,"CASA","")</f>
        <v/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" customHeight="1" x14ac:dyDescent="0.2">
      <c r="A263" s="5" t="str">
        <f>IF(AND(B263="",ISNUMBER(B264)),CHOOSE(MONTH(B264),"GENNAIO","FEBBRAIO","MARZO","APRILE","MAGGIO","GIUGNO","LUGLIO","AGOSTO","SETTEMBRE","OTTOBRE","NOVEMBRE","DICEMBRE")&amp;" "&amp;YEAR(B264),"")</f>
        <v/>
      </c>
      <c r="B263" s="11"/>
      <c r="C263" s="12"/>
      <c r="D263" s="12" t="str">
        <f>IF(C263="","",C263-IF(C262&lt;&gt;"",C262,IF(C261&lt;&gt;"",C261,IF(C260&lt;&gt;"",C260,0))))</f>
        <v/>
      </c>
      <c r="E263" s="12"/>
      <c r="F263" s="12"/>
      <c r="G263" s="9" t="str">
        <f>IF(AND(E263="",F263=""),"",IF(OR(E263&gt;1,F263&gt;1),(F263-E263)/100,F263-E263))</f>
        <v/>
      </c>
      <c r="H263" s="12" t="str">
        <f>IF(G263="","",64*G263)</f>
        <v/>
      </c>
      <c r="I263" s="13"/>
      <c r="J263" s="13" t="str">
        <f>IFERROR(IF(OR(D263="",D263=0),"",I263/D263*100),"")</f>
        <v/>
      </c>
      <c r="K263" s="14"/>
      <c r="L263" s="13" t="str">
        <f>IF(I263="","",I263*K263)</f>
        <v/>
      </c>
      <c r="M263" s="13" t="str">
        <f>IF(B263="","",IFERROR(SUMPRODUCT(ISNUMBER(B$3:B263)*(MONTH(IF(ISNUMBER(B$3:B263),B$3:B263,1))=MONTH(B263))*(YEAR(IF(ISNUMBER(B$3:B263),B$3:B263,1))=YEAR(B263))*IF(ISNUMBER(L$3:L263),L$3:L263,0)),""))</f>
        <v/>
      </c>
      <c r="N263" s="6"/>
      <c r="O263" s="7" t="str">
        <f>IF(AND(B263="",ISNUMBER(B264)),CHOOSE(MONTH(B264),"GENNAIO","FEBBRAIO","MARZO","APRILE","MAGGIO","GIUGNO","LUGLIO","AGOSTO","SETTEMBRE","OTTOBRE","NOVEMBRE","DICEMBRE")&amp;" "&amp;YEAR(B264),"")</f>
        <v/>
      </c>
      <c r="P263" s="12" t="str">
        <f>IF(K263=0.2,"CASA","")</f>
        <v/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" customHeight="1" x14ac:dyDescent="0.2">
      <c r="A264" s="5" t="str">
        <f>IF(AND(B264="",ISNUMBER(B265)),CHOOSE(MONTH(B265),"GENNAIO","FEBBRAIO","MARZO","APRILE","MAGGIO","GIUGNO","LUGLIO","AGOSTO","SETTEMBRE","OTTOBRE","NOVEMBRE","DICEMBRE")&amp;" "&amp;YEAR(B265),"")</f>
        <v/>
      </c>
      <c r="B264" s="11"/>
      <c r="C264" s="12"/>
      <c r="D264" s="12" t="str">
        <f>IF(C264="","",C264-IF(C263&lt;&gt;"",C263,IF(C262&lt;&gt;"",C262,IF(C261&lt;&gt;"",C261,0))))</f>
        <v/>
      </c>
      <c r="E264" s="12"/>
      <c r="F264" s="12"/>
      <c r="G264" s="9" t="str">
        <f>IF(AND(E264="",F264=""),"",IF(OR(E264&gt;1,F264&gt;1),(F264-E264)/100,F264-E264))</f>
        <v/>
      </c>
      <c r="H264" s="12" t="str">
        <f>IF(G264="","",64*G264)</f>
        <v/>
      </c>
      <c r="I264" s="13"/>
      <c r="J264" s="13" t="str">
        <f>IFERROR(IF(OR(D264="",D264=0),"",I264/D264*100),"")</f>
        <v/>
      </c>
      <c r="K264" s="14"/>
      <c r="L264" s="13" t="str">
        <f>IF(I264="","",I264*K264)</f>
        <v/>
      </c>
      <c r="M264" s="13" t="str">
        <f>IF(B264="","",IFERROR(SUMPRODUCT(ISNUMBER(B$3:B264)*(MONTH(IF(ISNUMBER(B$3:B264),B$3:B264,1))=MONTH(B264))*(YEAR(IF(ISNUMBER(B$3:B264),B$3:B264,1))=YEAR(B264))*IF(ISNUMBER(L$3:L264),L$3:L264,0)),""))</f>
        <v/>
      </c>
      <c r="N264" s="6"/>
      <c r="O264" s="7" t="str">
        <f>IF(AND(B264="",ISNUMBER(B265)),CHOOSE(MONTH(B265),"GENNAIO","FEBBRAIO","MARZO","APRILE","MAGGIO","GIUGNO","LUGLIO","AGOSTO","SETTEMBRE","OTTOBRE","NOVEMBRE","DICEMBRE")&amp;" "&amp;YEAR(B265),"")</f>
        <v/>
      </c>
      <c r="P264" s="12" t="str">
        <f>IF(K264=0.2,"CASA","")</f>
        <v/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" customHeight="1" x14ac:dyDescent="0.2">
      <c r="A265" s="5" t="str">
        <f>IF(AND(B265="",ISNUMBER(B266)),CHOOSE(MONTH(B266),"GENNAIO","FEBBRAIO","MARZO","APRILE","MAGGIO","GIUGNO","LUGLIO","AGOSTO","SETTEMBRE","OTTOBRE","NOVEMBRE","DICEMBRE")&amp;" "&amp;YEAR(B266),"")</f>
        <v/>
      </c>
      <c r="B265" s="11"/>
      <c r="C265" s="12"/>
      <c r="D265" s="12" t="str">
        <f>IF(C265="","",C265-IF(C264&lt;&gt;"",C264,IF(C263&lt;&gt;"",C263,IF(C262&lt;&gt;"",C262,0))))</f>
        <v/>
      </c>
      <c r="E265" s="12"/>
      <c r="F265" s="12"/>
      <c r="G265" s="9" t="str">
        <f>IF(AND(E265="",F265=""),"",IF(OR(E265&gt;1,F265&gt;1),(F265-E265)/100,F265-E265))</f>
        <v/>
      </c>
      <c r="H265" s="12" t="str">
        <f>IF(G265="","",64*G265)</f>
        <v/>
      </c>
      <c r="I265" s="13"/>
      <c r="J265" s="13" t="str">
        <f>IFERROR(IF(OR(D265="",D265=0),"",I265/D265*100),"")</f>
        <v/>
      </c>
      <c r="K265" s="14"/>
      <c r="L265" s="13" t="str">
        <f>IF(I265="","",I265*K265)</f>
        <v/>
      </c>
      <c r="M265" s="13" t="str">
        <f>IF(B265="","",IFERROR(SUMPRODUCT(ISNUMBER(B$3:B265)*(MONTH(IF(ISNUMBER(B$3:B265),B$3:B265,1))=MONTH(B265))*(YEAR(IF(ISNUMBER(B$3:B265),B$3:B265,1))=YEAR(B265))*IF(ISNUMBER(L$3:L265),L$3:L265,0)),""))</f>
        <v/>
      </c>
      <c r="N265" s="6"/>
      <c r="O265" s="7" t="str">
        <f>IF(AND(B265="",ISNUMBER(B266)),CHOOSE(MONTH(B266),"GENNAIO","FEBBRAIO","MARZO","APRILE","MAGGIO","GIUGNO","LUGLIO","AGOSTO","SETTEMBRE","OTTOBRE","NOVEMBRE","DICEMBRE")&amp;" "&amp;YEAR(B266),"")</f>
        <v/>
      </c>
      <c r="P265" s="12" t="str">
        <f>IF(K265=0.2,"CASA","")</f>
        <v/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" customHeight="1" x14ac:dyDescent="0.2">
      <c r="A266" s="5" t="str">
        <f>IF(AND(B266="",ISNUMBER(B267)),CHOOSE(MONTH(B267),"GENNAIO","FEBBRAIO","MARZO","APRILE","MAGGIO","GIUGNO","LUGLIO","AGOSTO","SETTEMBRE","OTTOBRE","NOVEMBRE","DICEMBRE")&amp;" "&amp;YEAR(B267),"")</f>
        <v/>
      </c>
      <c r="B266" s="11"/>
      <c r="C266" s="12"/>
      <c r="D266" s="12" t="str">
        <f>IF(C266="","",C266-IF(C265&lt;&gt;"",C265,IF(C264&lt;&gt;"",C264,IF(C263&lt;&gt;"",C263,0))))</f>
        <v/>
      </c>
      <c r="E266" s="12"/>
      <c r="F266" s="12"/>
      <c r="G266" s="9" t="str">
        <f>IF(AND(E266="",F266=""),"",IF(OR(E266&gt;1,F266&gt;1),(F266-E266)/100,F266-E266))</f>
        <v/>
      </c>
      <c r="H266" s="12" t="str">
        <f>IF(G266="","",64*G266)</f>
        <v/>
      </c>
      <c r="I266" s="13"/>
      <c r="J266" s="13" t="str">
        <f>IFERROR(IF(OR(D266="",D266=0),"",I266/D266*100),"")</f>
        <v/>
      </c>
      <c r="K266" s="14"/>
      <c r="L266" s="13" t="str">
        <f>IF(I266="","",I266*K266)</f>
        <v/>
      </c>
      <c r="M266" s="13" t="str">
        <f>IF(B266="","",IFERROR(SUMPRODUCT(ISNUMBER(B$3:B266)*(MONTH(IF(ISNUMBER(B$3:B266),B$3:B266,1))=MONTH(B266))*(YEAR(IF(ISNUMBER(B$3:B266),B$3:B266,1))=YEAR(B266))*IF(ISNUMBER(L$3:L266),L$3:L266,0)),""))</f>
        <v/>
      </c>
      <c r="N266" s="6"/>
      <c r="O266" s="7" t="str">
        <f>IF(AND(B266="",ISNUMBER(B267)),CHOOSE(MONTH(B267),"GENNAIO","FEBBRAIO","MARZO","APRILE","MAGGIO","GIUGNO","LUGLIO","AGOSTO","SETTEMBRE","OTTOBRE","NOVEMBRE","DICEMBRE")&amp;" "&amp;YEAR(B267),"")</f>
        <v/>
      </c>
      <c r="P266" s="12" t="str">
        <f>IF(K266=0.2,"CASA","")</f>
        <v/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" customHeight="1" x14ac:dyDescent="0.2">
      <c r="A267" s="5" t="str">
        <f>IF(AND(B267="",ISNUMBER(B268)),CHOOSE(MONTH(B268),"GENNAIO","FEBBRAIO","MARZO","APRILE","MAGGIO","GIUGNO","LUGLIO","AGOSTO","SETTEMBRE","OTTOBRE","NOVEMBRE","DICEMBRE")&amp;" "&amp;YEAR(B268),"")</f>
        <v/>
      </c>
      <c r="B267" s="11"/>
      <c r="C267" s="12"/>
      <c r="D267" s="12" t="str">
        <f>IF(C267="","",C267-IF(C266&lt;&gt;"",C266,IF(C265&lt;&gt;"",C265,IF(C264&lt;&gt;"",C264,0))))</f>
        <v/>
      </c>
      <c r="E267" s="12"/>
      <c r="F267" s="12"/>
      <c r="G267" s="9" t="str">
        <f>IF(AND(E267="",F267=""),"",IF(OR(E267&gt;1,F267&gt;1),(F267-E267)/100,F267-E267))</f>
        <v/>
      </c>
      <c r="H267" s="12" t="str">
        <f>IF(G267="","",64*G267)</f>
        <v/>
      </c>
      <c r="I267" s="13"/>
      <c r="J267" s="13" t="str">
        <f>IFERROR(IF(OR(D267="",D267=0),"",I267/D267*100),"")</f>
        <v/>
      </c>
      <c r="K267" s="14"/>
      <c r="L267" s="13" t="str">
        <f>IF(I267="","",I267*K267)</f>
        <v/>
      </c>
      <c r="M267" s="13" t="str">
        <f>IF(B267="","",IFERROR(SUMPRODUCT(ISNUMBER(B$3:B267)*(MONTH(IF(ISNUMBER(B$3:B267),B$3:B267,1))=MONTH(B267))*(YEAR(IF(ISNUMBER(B$3:B267),B$3:B267,1))=YEAR(B267))*IF(ISNUMBER(L$3:L267),L$3:L267,0)),""))</f>
        <v/>
      </c>
      <c r="N267" s="6"/>
      <c r="O267" s="7" t="str">
        <f>IF(AND(B267="",ISNUMBER(B268)),CHOOSE(MONTH(B268),"GENNAIO","FEBBRAIO","MARZO","APRILE","MAGGIO","GIUGNO","LUGLIO","AGOSTO","SETTEMBRE","OTTOBRE","NOVEMBRE","DICEMBRE")&amp;" "&amp;YEAR(B268),"")</f>
        <v/>
      </c>
      <c r="P267" s="12" t="str">
        <f>IF(K267=0.2,"CASA","")</f>
        <v/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" customHeight="1" x14ac:dyDescent="0.2">
      <c r="A268" s="5" t="str">
        <f>IF(AND(B268="",ISNUMBER(B269)),CHOOSE(MONTH(B269),"GENNAIO","FEBBRAIO","MARZO","APRILE","MAGGIO","GIUGNO","LUGLIO","AGOSTO","SETTEMBRE","OTTOBRE","NOVEMBRE","DICEMBRE")&amp;" "&amp;YEAR(B269),"")</f>
        <v/>
      </c>
      <c r="B268" s="11"/>
      <c r="C268" s="12"/>
      <c r="D268" s="12" t="str">
        <f>IF(C268="","",C268-IF(C267&lt;&gt;"",C267,IF(C266&lt;&gt;"",C266,IF(C265&lt;&gt;"",C265,0))))</f>
        <v/>
      </c>
      <c r="E268" s="12"/>
      <c r="F268" s="12"/>
      <c r="G268" s="9" t="str">
        <f>IF(AND(E268="",F268=""),"",IF(OR(E268&gt;1,F268&gt;1),(F268-E268)/100,F268-E268))</f>
        <v/>
      </c>
      <c r="H268" s="12" t="str">
        <f>IF(G268="","",64*G268)</f>
        <v/>
      </c>
      <c r="I268" s="13"/>
      <c r="J268" s="13" t="str">
        <f>IFERROR(IF(OR(D268="",D268=0),"",I268/D268*100),"")</f>
        <v/>
      </c>
      <c r="K268" s="14"/>
      <c r="L268" s="13" t="str">
        <f>IF(I268="","",I268*K268)</f>
        <v/>
      </c>
      <c r="M268" s="13" t="str">
        <f>IF(B268="","",IFERROR(SUMPRODUCT(ISNUMBER(B$3:B268)*(MONTH(IF(ISNUMBER(B$3:B268),B$3:B268,1))=MONTH(B268))*(YEAR(IF(ISNUMBER(B$3:B268),B$3:B268,1))=YEAR(B268))*IF(ISNUMBER(L$3:L268),L$3:L268,0)),""))</f>
        <v/>
      </c>
      <c r="N268" s="6"/>
      <c r="O268" s="7" t="str">
        <f>IF(AND(B268="",ISNUMBER(B269)),CHOOSE(MONTH(B269),"GENNAIO","FEBBRAIO","MARZO","APRILE","MAGGIO","GIUGNO","LUGLIO","AGOSTO","SETTEMBRE","OTTOBRE","NOVEMBRE","DICEMBRE")&amp;" "&amp;YEAR(B269),"")</f>
        <v/>
      </c>
      <c r="P268" s="12" t="str">
        <f>IF(K268=0.2,"CASA","")</f>
        <v/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" customHeight="1" x14ac:dyDescent="0.2">
      <c r="A269" s="5" t="str">
        <f>IF(AND(B269="",ISNUMBER(B270)),CHOOSE(MONTH(B270),"GENNAIO","FEBBRAIO","MARZO","APRILE","MAGGIO","GIUGNO","LUGLIO","AGOSTO","SETTEMBRE","OTTOBRE","NOVEMBRE","DICEMBRE")&amp;" "&amp;YEAR(B270),"")</f>
        <v/>
      </c>
      <c r="B269" s="11"/>
      <c r="C269" s="12"/>
      <c r="D269" s="12" t="str">
        <f>IF(C269="","",C269-IF(C268&lt;&gt;"",C268,IF(C267&lt;&gt;"",C267,IF(C266&lt;&gt;"",C266,0))))</f>
        <v/>
      </c>
      <c r="E269" s="12"/>
      <c r="F269" s="12"/>
      <c r="G269" s="9" t="str">
        <f>IF(AND(E269="",F269=""),"",IF(OR(E269&gt;1,F269&gt;1),(F269-E269)/100,F269-E269))</f>
        <v/>
      </c>
      <c r="H269" s="12" t="str">
        <f>IF(G269="","",64*G269)</f>
        <v/>
      </c>
      <c r="I269" s="13"/>
      <c r="J269" s="13" t="str">
        <f>IFERROR(IF(OR(D269="",D269=0),"",I269/D269*100),"")</f>
        <v/>
      </c>
      <c r="K269" s="14"/>
      <c r="L269" s="13" t="str">
        <f>IF(I269="","",I269*K269)</f>
        <v/>
      </c>
      <c r="M269" s="13" t="str">
        <f>IF(B269="","",IFERROR(SUMPRODUCT(ISNUMBER(B$3:B269)*(MONTH(IF(ISNUMBER(B$3:B269),B$3:B269,1))=MONTH(B269))*(YEAR(IF(ISNUMBER(B$3:B269),B$3:B269,1))=YEAR(B269))*IF(ISNUMBER(L$3:L269),L$3:L269,0)),""))</f>
        <v/>
      </c>
      <c r="N269" s="6"/>
      <c r="O269" s="7" t="str">
        <f>IF(AND(B269="",ISNUMBER(B270)),CHOOSE(MONTH(B270),"GENNAIO","FEBBRAIO","MARZO","APRILE","MAGGIO","GIUGNO","LUGLIO","AGOSTO","SETTEMBRE","OTTOBRE","NOVEMBRE","DICEMBRE")&amp;" "&amp;YEAR(B270),"")</f>
        <v/>
      </c>
      <c r="P269" s="12" t="str">
        <f>IF(K269=0.2,"CASA","")</f>
        <v/>
      </c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" customHeight="1" x14ac:dyDescent="0.2">
      <c r="A270" s="5" t="str">
        <f>IF(AND(B270="",ISNUMBER(B271)),CHOOSE(MONTH(B271),"GENNAIO","FEBBRAIO","MARZO","APRILE","MAGGIO","GIUGNO","LUGLIO","AGOSTO","SETTEMBRE","OTTOBRE","NOVEMBRE","DICEMBRE")&amp;" "&amp;YEAR(B271),"")</f>
        <v/>
      </c>
      <c r="B270" s="11"/>
      <c r="C270" s="12"/>
      <c r="D270" s="12" t="str">
        <f>IF(C270="","",C270-IF(C269&lt;&gt;"",C269,IF(C268&lt;&gt;"",C268,IF(C267&lt;&gt;"",C267,0))))</f>
        <v/>
      </c>
      <c r="E270" s="12"/>
      <c r="F270" s="12"/>
      <c r="G270" s="9" t="str">
        <f>IF(AND(E270="",F270=""),"",IF(OR(E270&gt;1,F270&gt;1),(F270-E270)/100,F270-E270))</f>
        <v/>
      </c>
      <c r="H270" s="12" t="str">
        <f>IF(G270="","",64*G270)</f>
        <v/>
      </c>
      <c r="I270" s="13"/>
      <c r="J270" s="13" t="str">
        <f>IFERROR(IF(OR(D270="",D270=0),"",I270/D270*100),"")</f>
        <v/>
      </c>
      <c r="K270" s="14"/>
      <c r="L270" s="13" t="str">
        <f>IF(I270="","",I270*K270)</f>
        <v/>
      </c>
      <c r="M270" s="13" t="str">
        <f>IF(B270="","",IFERROR(SUMPRODUCT(ISNUMBER(B$3:B270)*(MONTH(IF(ISNUMBER(B$3:B270),B$3:B270,1))=MONTH(B270))*(YEAR(IF(ISNUMBER(B$3:B270),B$3:B270,1))=YEAR(B270))*IF(ISNUMBER(L$3:L270),L$3:L270,0)),""))</f>
        <v/>
      </c>
      <c r="N270" s="6"/>
      <c r="O270" s="7" t="str">
        <f>IF(AND(B270="",ISNUMBER(B271)),CHOOSE(MONTH(B271),"GENNAIO","FEBBRAIO","MARZO","APRILE","MAGGIO","GIUGNO","LUGLIO","AGOSTO","SETTEMBRE","OTTOBRE","NOVEMBRE","DICEMBRE")&amp;" "&amp;YEAR(B271),"")</f>
        <v/>
      </c>
      <c r="P270" s="12" t="str">
        <f>IF(K270=0.2,"CASA","")</f>
        <v/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" customHeight="1" x14ac:dyDescent="0.2">
      <c r="A271" s="5" t="str">
        <f>IF(AND(B271="",ISNUMBER(B272)),CHOOSE(MONTH(B272),"GENNAIO","FEBBRAIO","MARZO","APRILE","MAGGIO","GIUGNO","LUGLIO","AGOSTO","SETTEMBRE","OTTOBRE","NOVEMBRE","DICEMBRE")&amp;" "&amp;YEAR(B272),"")</f>
        <v/>
      </c>
      <c r="B271" s="11"/>
      <c r="C271" s="12"/>
      <c r="D271" s="12" t="str">
        <f>IF(C271="","",C271-IF(C270&lt;&gt;"",C270,IF(C269&lt;&gt;"",C269,IF(C268&lt;&gt;"",C268,0))))</f>
        <v/>
      </c>
      <c r="E271" s="12"/>
      <c r="F271" s="12"/>
      <c r="G271" s="9" t="str">
        <f>IF(AND(E271="",F271=""),"",IF(OR(E271&gt;1,F271&gt;1),(F271-E271)/100,F271-E271))</f>
        <v/>
      </c>
      <c r="H271" s="12" t="str">
        <f>IF(G271="","",64*G271)</f>
        <v/>
      </c>
      <c r="I271" s="13"/>
      <c r="J271" s="13" t="str">
        <f>IFERROR(IF(OR(D271="",D271=0),"",I271/D271*100),"")</f>
        <v/>
      </c>
      <c r="K271" s="14"/>
      <c r="L271" s="13" t="str">
        <f>IF(I271="","",I271*K271)</f>
        <v/>
      </c>
      <c r="M271" s="13" t="str">
        <f>IF(B271="","",IFERROR(SUMPRODUCT(ISNUMBER(B$3:B271)*(MONTH(IF(ISNUMBER(B$3:B271),B$3:B271,1))=MONTH(B271))*(YEAR(IF(ISNUMBER(B$3:B271),B$3:B271,1))=YEAR(B271))*IF(ISNUMBER(L$3:L271),L$3:L271,0)),""))</f>
        <v/>
      </c>
      <c r="N271" s="6"/>
      <c r="O271" s="7" t="str">
        <f>IF(AND(B271="",ISNUMBER(B272)),CHOOSE(MONTH(B272),"GENNAIO","FEBBRAIO","MARZO","APRILE","MAGGIO","GIUGNO","LUGLIO","AGOSTO","SETTEMBRE","OTTOBRE","NOVEMBRE","DICEMBRE")&amp;" "&amp;YEAR(B272),"")</f>
        <v/>
      </c>
      <c r="P271" s="12" t="str">
        <f>IF(K271=0.2,"CASA","")</f>
        <v/>
      </c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" customHeight="1" x14ac:dyDescent="0.2">
      <c r="A272" s="5" t="str">
        <f>IF(AND(B272="",ISNUMBER(B273)),CHOOSE(MONTH(B273),"GENNAIO","FEBBRAIO","MARZO","APRILE","MAGGIO","GIUGNO","LUGLIO","AGOSTO","SETTEMBRE","OTTOBRE","NOVEMBRE","DICEMBRE")&amp;" "&amp;YEAR(B273),"")</f>
        <v/>
      </c>
      <c r="B272" s="11"/>
      <c r="C272" s="12"/>
      <c r="D272" s="12" t="str">
        <f>IF(C272="","",C272-IF(C271&lt;&gt;"",C271,IF(C270&lt;&gt;"",C270,IF(C269&lt;&gt;"",C269,0))))</f>
        <v/>
      </c>
      <c r="E272" s="12"/>
      <c r="F272" s="12"/>
      <c r="G272" s="9" t="str">
        <f>IF(AND(E272="",F272=""),"",IF(OR(E272&gt;1,F272&gt;1),(F272-E272)/100,F272-E272))</f>
        <v/>
      </c>
      <c r="H272" s="12" t="str">
        <f>IF(G272="","",64*G272)</f>
        <v/>
      </c>
      <c r="I272" s="13"/>
      <c r="J272" s="13" t="str">
        <f>IFERROR(IF(OR(D272="",D272=0),"",I272/D272*100),"")</f>
        <v/>
      </c>
      <c r="K272" s="14"/>
      <c r="L272" s="13" t="str">
        <f>IF(I272="","",I272*K272)</f>
        <v/>
      </c>
      <c r="M272" s="13" t="str">
        <f>IF(B272="","",IFERROR(SUMPRODUCT(ISNUMBER(B$3:B272)*(MONTH(IF(ISNUMBER(B$3:B272),B$3:B272,1))=MONTH(B272))*(YEAR(IF(ISNUMBER(B$3:B272),B$3:B272,1))=YEAR(B272))*IF(ISNUMBER(L$3:L272),L$3:L272,0)),""))</f>
        <v/>
      </c>
      <c r="N272" s="6"/>
      <c r="O272" s="7" t="str">
        <f>IF(AND(B272="",ISNUMBER(B273)),CHOOSE(MONTH(B273),"GENNAIO","FEBBRAIO","MARZO","APRILE","MAGGIO","GIUGNO","LUGLIO","AGOSTO","SETTEMBRE","OTTOBRE","NOVEMBRE","DICEMBRE")&amp;" "&amp;YEAR(B273),"")</f>
        <v/>
      </c>
      <c r="P272" s="12" t="str">
        <f>IF(K272=0.2,"CASA","")</f>
        <v/>
      </c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" customHeight="1" x14ac:dyDescent="0.2">
      <c r="A273" s="5" t="str">
        <f>IF(AND(B273="",ISNUMBER(B274)),CHOOSE(MONTH(B274),"GENNAIO","FEBBRAIO","MARZO","APRILE","MAGGIO","GIUGNO","LUGLIO","AGOSTO","SETTEMBRE","OTTOBRE","NOVEMBRE","DICEMBRE")&amp;" "&amp;YEAR(B274),"")</f>
        <v/>
      </c>
      <c r="B273" s="11"/>
      <c r="C273" s="12"/>
      <c r="D273" s="12" t="str">
        <f>IF(C273="","",C273-IF(C272&lt;&gt;"",C272,IF(C271&lt;&gt;"",C271,IF(C270&lt;&gt;"",C270,0))))</f>
        <v/>
      </c>
      <c r="E273" s="12"/>
      <c r="F273" s="12"/>
      <c r="G273" s="9" t="str">
        <f>IF(AND(E273="",F273=""),"",IF(OR(E273&gt;1,F273&gt;1),(F273-E273)/100,F273-E273))</f>
        <v/>
      </c>
      <c r="H273" s="12" t="str">
        <f>IF(G273="","",64*G273)</f>
        <v/>
      </c>
      <c r="I273" s="13"/>
      <c r="J273" s="13" t="str">
        <f>IFERROR(IF(OR(D273="",D273=0),"",I273/D273*100),"")</f>
        <v/>
      </c>
      <c r="K273" s="14"/>
      <c r="L273" s="13" t="str">
        <f>IF(I273="","",I273*K273)</f>
        <v/>
      </c>
      <c r="M273" s="13" t="str">
        <f>IF(B273="","",IFERROR(SUMPRODUCT(ISNUMBER(B$3:B273)*(MONTH(IF(ISNUMBER(B$3:B273),B$3:B273,1))=MONTH(B273))*(YEAR(IF(ISNUMBER(B$3:B273),B$3:B273,1))=YEAR(B273))*IF(ISNUMBER(L$3:L273),L$3:L273,0)),""))</f>
        <v/>
      </c>
      <c r="N273" s="6"/>
      <c r="O273" s="7" t="str">
        <f>IF(AND(B273="",ISNUMBER(B274)),CHOOSE(MONTH(B274),"GENNAIO","FEBBRAIO","MARZO","APRILE","MAGGIO","GIUGNO","LUGLIO","AGOSTO","SETTEMBRE","OTTOBRE","NOVEMBRE","DICEMBRE")&amp;" "&amp;YEAR(B274),"")</f>
        <v/>
      </c>
      <c r="P273" s="12" t="str">
        <f>IF(K273=0.2,"CASA","")</f>
        <v/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" customHeight="1" x14ac:dyDescent="0.2">
      <c r="A274" s="5" t="str">
        <f>IF(AND(B274="",ISNUMBER(B275)),CHOOSE(MONTH(B275),"GENNAIO","FEBBRAIO","MARZO","APRILE","MAGGIO","GIUGNO","LUGLIO","AGOSTO","SETTEMBRE","OTTOBRE","NOVEMBRE","DICEMBRE")&amp;" "&amp;YEAR(B275),"")</f>
        <v/>
      </c>
      <c r="B274" s="11"/>
      <c r="C274" s="12"/>
      <c r="D274" s="12" t="str">
        <f>IF(C274="","",C274-IF(C273&lt;&gt;"",C273,IF(C272&lt;&gt;"",C272,IF(C271&lt;&gt;"",C271,0))))</f>
        <v/>
      </c>
      <c r="E274" s="12"/>
      <c r="F274" s="12"/>
      <c r="G274" s="9" t="str">
        <f>IF(AND(E274="",F274=""),"",IF(OR(E274&gt;1,F274&gt;1),(F274-E274)/100,F274-E274))</f>
        <v/>
      </c>
      <c r="H274" s="12" t="str">
        <f>IF(G274="","",64*G274)</f>
        <v/>
      </c>
      <c r="I274" s="13"/>
      <c r="J274" s="13" t="str">
        <f>IFERROR(IF(OR(D274="",D274=0),"",I274/D274*100),"")</f>
        <v/>
      </c>
      <c r="K274" s="14"/>
      <c r="L274" s="13" t="str">
        <f>IF(I274="","",I274*K274)</f>
        <v/>
      </c>
      <c r="M274" s="13" t="str">
        <f>IF(B274="","",IFERROR(SUMPRODUCT(ISNUMBER(B$3:B274)*(MONTH(IF(ISNUMBER(B$3:B274),B$3:B274,1))=MONTH(B274))*(YEAR(IF(ISNUMBER(B$3:B274),B$3:B274,1))=YEAR(B274))*IF(ISNUMBER(L$3:L274),L$3:L274,0)),""))</f>
        <v/>
      </c>
      <c r="N274" s="6"/>
      <c r="O274" s="7" t="str">
        <f>IF(AND(B274="",ISNUMBER(B275)),CHOOSE(MONTH(B275),"GENNAIO","FEBBRAIO","MARZO","APRILE","MAGGIO","GIUGNO","LUGLIO","AGOSTO","SETTEMBRE","OTTOBRE","NOVEMBRE","DICEMBRE")&amp;" "&amp;YEAR(B275),"")</f>
        <v/>
      </c>
      <c r="P274" s="12" t="str">
        <f>IF(K274=0.2,"CASA","")</f>
        <v/>
      </c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" customHeight="1" x14ac:dyDescent="0.2">
      <c r="A275" s="5" t="str">
        <f>IF(AND(B275="",ISNUMBER(B276)),CHOOSE(MONTH(B276),"GENNAIO","FEBBRAIO","MARZO","APRILE","MAGGIO","GIUGNO","LUGLIO","AGOSTO","SETTEMBRE","OTTOBRE","NOVEMBRE","DICEMBRE")&amp;" "&amp;YEAR(B276),"")</f>
        <v/>
      </c>
      <c r="B275" s="11"/>
      <c r="C275" s="12"/>
      <c r="D275" s="12" t="str">
        <f>IF(C275="","",C275-IF(C274&lt;&gt;"",C274,IF(C273&lt;&gt;"",C273,IF(C272&lt;&gt;"",C272,0))))</f>
        <v/>
      </c>
      <c r="E275" s="12"/>
      <c r="F275" s="12"/>
      <c r="G275" s="9" t="str">
        <f>IF(AND(E275="",F275=""),"",IF(OR(E275&gt;1,F275&gt;1),(F275-E275)/100,F275-E275))</f>
        <v/>
      </c>
      <c r="H275" s="12" t="str">
        <f>IF(G275="","",64*G275)</f>
        <v/>
      </c>
      <c r="I275" s="13"/>
      <c r="J275" s="13" t="str">
        <f>IFERROR(IF(OR(D275="",D275=0),"",I275/D275*100),"")</f>
        <v/>
      </c>
      <c r="K275" s="14"/>
      <c r="L275" s="13" t="str">
        <f>IF(I275="","",I275*K275)</f>
        <v/>
      </c>
      <c r="M275" s="13" t="str">
        <f>IF(B275="","",IFERROR(SUMPRODUCT(ISNUMBER(B$3:B275)*(MONTH(IF(ISNUMBER(B$3:B275),B$3:B275,1))=MONTH(B275))*(YEAR(IF(ISNUMBER(B$3:B275),B$3:B275,1))=YEAR(B275))*IF(ISNUMBER(L$3:L275),L$3:L275,0)),""))</f>
        <v/>
      </c>
      <c r="N275" s="6"/>
      <c r="O275" s="7" t="str">
        <f>IF(AND(B275="",ISNUMBER(B276)),CHOOSE(MONTH(B276),"GENNAIO","FEBBRAIO","MARZO","APRILE","MAGGIO","GIUGNO","LUGLIO","AGOSTO","SETTEMBRE","OTTOBRE","NOVEMBRE","DICEMBRE")&amp;" "&amp;YEAR(B276),"")</f>
        <v/>
      </c>
      <c r="P275" s="12" t="str">
        <f>IF(K275=0.2,"CASA","")</f>
        <v/>
      </c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" customHeight="1" x14ac:dyDescent="0.2">
      <c r="A276" s="5" t="str">
        <f>IF(AND(B276="",ISNUMBER(B277)),CHOOSE(MONTH(B277),"GENNAIO","FEBBRAIO","MARZO","APRILE","MAGGIO","GIUGNO","LUGLIO","AGOSTO","SETTEMBRE","OTTOBRE","NOVEMBRE","DICEMBRE")&amp;" "&amp;YEAR(B277),"")</f>
        <v/>
      </c>
      <c r="B276" s="11"/>
      <c r="C276" s="12"/>
      <c r="D276" s="12" t="str">
        <f>IF(C276="","",C276-IF(C275&lt;&gt;"",C275,IF(C274&lt;&gt;"",C274,IF(C273&lt;&gt;"",C273,0))))</f>
        <v/>
      </c>
      <c r="E276" s="12"/>
      <c r="F276" s="12"/>
      <c r="G276" s="9" t="str">
        <f>IF(AND(E276="",F276=""),"",IF(OR(E276&gt;1,F276&gt;1),(F276-E276)/100,F276-E276))</f>
        <v/>
      </c>
      <c r="H276" s="12" t="str">
        <f>IF(G276="","",64*G276)</f>
        <v/>
      </c>
      <c r="I276" s="13"/>
      <c r="J276" s="13" t="str">
        <f>IFERROR(IF(OR(D276="",D276=0),"",I276/D276*100),"")</f>
        <v/>
      </c>
      <c r="K276" s="14"/>
      <c r="L276" s="13" t="str">
        <f>IF(I276="","",I276*K276)</f>
        <v/>
      </c>
      <c r="M276" s="13" t="str">
        <f>IF(B276="","",IFERROR(SUMPRODUCT(ISNUMBER(B$3:B276)*(MONTH(IF(ISNUMBER(B$3:B276),B$3:B276,1))=MONTH(B276))*(YEAR(IF(ISNUMBER(B$3:B276),B$3:B276,1))=YEAR(B276))*IF(ISNUMBER(L$3:L276),L$3:L276,0)),""))</f>
        <v/>
      </c>
      <c r="N276" s="6"/>
      <c r="O276" s="7" t="str">
        <f>IF(AND(B276="",ISNUMBER(B277)),CHOOSE(MONTH(B277),"GENNAIO","FEBBRAIO","MARZO","APRILE","MAGGIO","GIUGNO","LUGLIO","AGOSTO","SETTEMBRE","OTTOBRE","NOVEMBRE","DICEMBRE")&amp;" "&amp;YEAR(B277),"")</f>
        <v/>
      </c>
      <c r="P276" s="12" t="str">
        <f>IF(K276=0.2,"CASA","")</f>
        <v/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" customHeight="1" x14ac:dyDescent="0.2">
      <c r="A277" s="5" t="str">
        <f>IF(AND(B277="",ISNUMBER(B278)),CHOOSE(MONTH(B278),"GENNAIO","FEBBRAIO","MARZO","APRILE","MAGGIO","GIUGNO","LUGLIO","AGOSTO","SETTEMBRE","OTTOBRE","NOVEMBRE","DICEMBRE")&amp;" "&amp;YEAR(B278),"")</f>
        <v/>
      </c>
      <c r="B277" s="11"/>
      <c r="C277" s="12"/>
      <c r="D277" s="12" t="str">
        <f>IF(C277="","",C277-IF(C276&lt;&gt;"",C276,IF(C275&lt;&gt;"",C275,IF(C274&lt;&gt;"",C274,0))))</f>
        <v/>
      </c>
      <c r="E277" s="12"/>
      <c r="F277" s="12"/>
      <c r="G277" s="9" t="str">
        <f>IF(AND(E277="",F277=""),"",IF(OR(E277&gt;1,F277&gt;1),(F277-E277)/100,F277-E277))</f>
        <v/>
      </c>
      <c r="H277" s="12" t="str">
        <f>IF(G277="","",64*G277)</f>
        <v/>
      </c>
      <c r="I277" s="13"/>
      <c r="J277" s="13" t="str">
        <f>IFERROR(IF(OR(D277="",D277=0),"",I277/D277*100),"")</f>
        <v/>
      </c>
      <c r="K277" s="14"/>
      <c r="L277" s="13" t="str">
        <f>IF(I277="","",I277*K277)</f>
        <v/>
      </c>
      <c r="M277" s="13" t="str">
        <f>IF(B277="","",IFERROR(SUMPRODUCT(ISNUMBER(B$3:B277)*(MONTH(IF(ISNUMBER(B$3:B277),B$3:B277,1))=MONTH(B277))*(YEAR(IF(ISNUMBER(B$3:B277),B$3:B277,1))=YEAR(B277))*IF(ISNUMBER(L$3:L277),L$3:L277,0)),""))</f>
        <v/>
      </c>
      <c r="N277" s="6"/>
      <c r="O277" s="7" t="str">
        <f>IF(AND(B277="",ISNUMBER(B278)),CHOOSE(MONTH(B278),"GENNAIO","FEBBRAIO","MARZO","APRILE","MAGGIO","GIUGNO","LUGLIO","AGOSTO","SETTEMBRE","OTTOBRE","NOVEMBRE","DICEMBRE")&amp;" "&amp;YEAR(B278),"")</f>
        <v/>
      </c>
      <c r="P277" s="12" t="str">
        <f>IF(K277=0.2,"CASA","")</f>
        <v/>
      </c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" customHeight="1" x14ac:dyDescent="0.2">
      <c r="A278" s="5" t="str">
        <f>IF(AND(B278="",ISNUMBER(B279)),CHOOSE(MONTH(B279),"GENNAIO","FEBBRAIO","MARZO","APRILE","MAGGIO","GIUGNO","LUGLIO","AGOSTO","SETTEMBRE","OTTOBRE","NOVEMBRE","DICEMBRE")&amp;" "&amp;YEAR(B279),"")</f>
        <v/>
      </c>
      <c r="B278" s="11"/>
      <c r="C278" s="12"/>
      <c r="D278" s="12" t="str">
        <f>IF(C278="","",C278-IF(C277&lt;&gt;"",C277,IF(C276&lt;&gt;"",C276,IF(C275&lt;&gt;"",C275,0))))</f>
        <v/>
      </c>
      <c r="E278" s="12"/>
      <c r="F278" s="12"/>
      <c r="G278" s="9" t="str">
        <f>IF(AND(E278="",F278=""),"",IF(OR(E278&gt;1,F278&gt;1),(F278-E278)/100,F278-E278))</f>
        <v/>
      </c>
      <c r="H278" s="12" t="str">
        <f>IF(G278="","",64*G278)</f>
        <v/>
      </c>
      <c r="I278" s="13"/>
      <c r="J278" s="13" t="str">
        <f>IFERROR(IF(OR(D278="",D278=0),"",I278/D278*100),"")</f>
        <v/>
      </c>
      <c r="K278" s="14"/>
      <c r="L278" s="13" t="str">
        <f>IF(I278="","",I278*K278)</f>
        <v/>
      </c>
      <c r="M278" s="13" t="str">
        <f>IF(B278="","",IFERROR(SUMPRODUCT(ISNUMBER(B$3:B278)*(MONTH(IF(ISNUMBER(B$3:B278),B$3:B278,1))=MONTH(B278))*(YEAR(IF(ISNUMBER(B$3:B278),B$3:B278,1))=YEAR(B278))*IF(ISNUMBER(L$3:L278),L$3:L278,0)),""))</f>
        <v/>
      </c>
      <c r="N278" s="6"/>
      <c r="O278" s="7" t="str">
        <f>IF(AND(B278="",ISNUMBER(B279)),CHOOSE(MONTH(B279),"GENNAIO","FEBBRAIO","MARZO","APRILE","MAGGIO","GIUGNO","LUGLIO","AGOSTO","SETTEMBRE","OTTOBRE","NOVEMBRE","DICEMBRE")&amp;" "&amp;YEAR(B279),"")</f>
        <v/>
      </c>
      <c r="P278" s="12" t="str">
        <f>IF(K278=0.2,"CASA","")</f>
        <v/>
      </c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" customHeight="1" x14ac:dyDescent="0.2">
      <c r="A279" s="5" t="str">
        <f>IF(AND(B279="",ISNUMBER(B280)),CHOOSE(MONTH(B280),"GENNAIO","FEBBRAIO","MARZO","APRILE","MAGGIO","GIUGNO","LUGLIO","AGOSTO","SETTEMBRE","OTTOBRE","NOVEMBRE","DICEMBRE")&amp;" "&amp;YEAR(B280),"")</f>
        <v/>
      </c>
      <c r="B279" s="11"/>
      <c r="C279" s="12"/>
      <c r="D279" s="12" t="str">
        <f>IF(C279="","",C279-IF(C278&lt;&gt;"",C278,IF(C277&lt;&gt;"",C277,IF(C276&lt;&gt;"",C276,0))))</f>
        <v/>
      </c>
      <c r="E279" s="12"/>
      <c r="F279" s="12"/>
      <c r="G279" s="9" t="str">
        <f>IF(AND(E279="",F279=""),"",IF(OR(E279&gt;1,F279&gt;1),(F279-E279)/100,F279-E279))</f>
        <v/>
      </c>
      <c r="H279" s="12" t="str">
        <f>IF(G279="","",64*G279)</f>
        <v/>
      </c>
      <c r="I279" s="13"/>
      <c r="J279" s="13" t="str">
        <f>IFERROR(IF(OR(D279="",D279=0),"",I279/D279*100),"")</f>
        <v/>
      </c>
      <c r="K279" s="14"/>
      <c r="L279" s="13" t="str">
        <f>IF(I279="","",I279*K279)</f>
        <v/>
      </c>
      <c r="M279" s="13" t="str">
        <f>IF(B279="","",IFERROR(SUMPRODUCT(ISNUMBER(B$3:B279)*(MONTH(IF(ISNUMBER(B$3:B279),B$3:B279,1))=MONTH(B279))*(YEAR(IF(ISNUMBER(B$3:B279),B$3:B279,1))=YEAR(B279))*IF(ISNUMBER(L$3:L279),L$3:L279,0)),""))</f>
        <v/>
      </c>
      <c r="N279" s="6"/>
      <c r="O279" s="7" t="str">
        <f>IF(AND(B279="",ISNUMBER(B280)),CHOOSE(MONTH(B280),"GENNAIO","FEBBRAIO","MARZO","APRILE","MAGGIO","GIUGNO","LUGLIO","AGOSTO","SETTEMBRE","OTTOBRE","NOVEMBRE","DICEMBRE")&amp;" "&amp;YEAR(B280),"")</f>
        <v/>
      </c>
      <c r="P279" s="12" t="str">
        <f>IF(K279=0.2,"CASA","")</f>
        <v/>
      </c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" customHeight="1" x14ac:dyDescent="0.2">
      <c r="A280" s="5" t="str">
        <f>IF(AND(B280="",ISNUMBER(B281)),CHOOSE(MONTH(B281),"GENNAIO","FEBBRAIO","MARZO","APRILE","MAGGIO","GIUGNO","LUGLIO","AGOSTO","SETTEMBRE","OTTOBRE","NOVEMBRE","DICEMBRE")&amp;" "&amp;YEAR(B281),"")</f>
        <v/>
      </c>
      <c r="B280" s="11"/>
      <c r="C280" s="12"/>
      <c r="D280" s="12" t="str">
        <f>IF(C280="","",C280-IF(C279&lt;&gt;"",C279,IF(C278&lt;&gt;"",C278,IF(C277&lt;&gt;"",C277,0))))</f>
        <v/>
      </c>
      <c r="E280" s="12"/>
      <c r="F280" s="12"/>
      <c r="G280" s="9" t="str">
        <f>IF(AND(E280="",F280=""),"",IF(OR(E280&gt;1,F280&gt;1),(F280-E280)/100,F280-E280))</f>
        <v/>
      </c>
      <c r="H280" s="12" t="str">
        <f>IF(G280="","",64*G280)</f>
        <v/>
      </c>
      <c r="I280" s="13"/>
      <c r="J280" s="13" t="str">
        <f>IFERROR(IF(OR(D280="",D280=0),"",I280/D280*100),"")</f>
        <v/>
      </c>
      <c r="K280" s="14"/>
      <c r="L280" s="13" t="str">
        <f>IF(I280="","",I280*K280)</f>
        <v/>
      </c>
      <c r="M280" s="13" t="str">
        <f>IF(B280="","",IFERROR(SUMPRODUCT(ISNUMBER(B$3:B280)*(MONTH(IF(ISNUMBER(B$3:B280),B$3:B280,1))=MONTH(B280))*(YEAR(IF(ISNUMBER(B$3:B280),B$3:B280,1))=YEAR(B280))*IF(ISNUMBER(L$3:L280),L$3:L280,0)),""))</f>
        <v/>
      </c>
      <c r="N280" s="6"/>
      <c r="O280" s="7" t="str">
        <f>IF(AND(B280="",ISNUMBER(B281)),CHOOSE(MONTH(B281),"GENNAIO","FEBBRAIO","MARZO","APRILE","MAGGIO","GIUGNO","LUGLIO","AGOSTO","SETTEMBRE","OTTOBRE","NOVEMBRE","DICEMBRE")&amp;" "&amp;YEAR(B281),"")</f>
        <v/>
      </c>
      <c r="P280" s="12" t="str">
        <f>IF(K280=0.2,"CASA","")</f>
        <v/>
      </c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" customHeight="1" x14ac:dyDescent="0.2">
      <c r="A281" s="5" t="str">
        <f>IF(AND(B281="",ISNUMBER(B282)),CHOOSE(MONTH(B282),"GENNAIO","FEBBRAIO","MARZO","APRILE","MAGGIO","GIUGNO","LUGLIO","AGOSTO","SETTEMBRE","OTTOBRE","NOVEMBRE","DICEMBRE")&amp;" "&amp;YEAR(B282),"")</f>
        <v/>
      </c>
      <c r="B281" s="11"/>
      <c r="C281" s="12"/>
      <c r="D281" s="12" t="str">
        <f>IF(C281="","",C281-IF(C280&lt;&gt;"",C280,IF(C279&lt;&gt;"",C279,IF(C278&lt;&gt;"",C278,0))))</f>
        <v/>
      </c>
      <c r="E281" s="12"/>
      <c r="F281" s="12"/>
      <c r="G281" s="9" t="str">
        <f>IF(AND(E281="",F281=""),"",IF(OR(E281&gt;1,F281&gt;1),(F281-E281)/100,F281-E281))</f>
        <v/>
      </c>
      <c r="H281" s="12" t="str">
        <f>IF(G281="","",64*G281)</f>
        <v/>
      </c>
      <c r="I281" s="13"/>
      <c r="J281" s="13" t="str">
        <f>IFERROR(IF(OR(D281="",D281=0),"",I281/D281*100),"")</f>
        <v/>
      </c>
      <c r="K281" s="14"/>
      <c r="L281" s="13" t="str">
        <f>IF(I281="","",I281*K281)</f>
        <v/>
      </c>
      <c r="M281" s="13" t="str">
        <f>IF(B281="","",IFERROR(SUMPRODUCT(ISNUMBER(B$3:B281)*(MONTH(IF(ISNUMBER(B$3:B281),B$3:B281,1))=MONTH(B281))*(YEAR(IF(ISNUMBER(B$3:B281),B$3:B281,1))=YEAR(B281))*IF(ISNUMBER(L$3:L281),L$3:L281,0)),""))</f>
        <v/>
      </c>
      <c r="N281" s="6"/>
      <c r="O281" s="7" t="str">
        <f>IF(AND(B281="",ISNUMBER(B282)),CHOOSE(MONTH(B282),"GENNAIO","FEBBRAIO","MARZO","APRILE","MAGGIO","GIUGNO","LUGLIO","AGOSTO","SETTEMBRE","OTTOBRE","NOVEMBRE","DICEMBRE")&amp;" "&amp;YEAR(B282),"")</f>
        <v/>
      </c>
      <c r="P281" s="12" t="str">
        <f>IF(K281=0.2,"CASA","")</f>
        <v/>
      </c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" customHeight="1" x14ac:dyDescent="0.2">
      <c r="A282" s="5" t="str">
        <f>IF(AND(B282="",ISNUMBER(B283)),CHOOSE(MONTH(B283),"GENNAIO","FEBBRAIO","MARZO","APRILE","MAGGIO","GIUGNO","LUGLIO","AGOSTO","SETTEMBRE","OTTOBRE","NOVEMBRE","DICEMBRE")&amp;" "&amp;YEAR(B283),"")</f>
        <v/>
      </c>
      <c r="B282" s="11"/>
      <c r="C282" s="12"/>
      <c r="D282" s="12" t="str">
        <f>IF(C282="","",C282-IF(C281&lt;&gt;"",C281,IF(C280&lt;&gt;"",C280,IF(C279&lt;&gt;"",C279,0))))</f>
        <v/>
      </c>
      <c r="E282" s="12"/>
      <c r="F282" s="12"/>
      <c r="G282" s="9" t="str">
        <f>IF(AND(E282="",F282=""),"",IF(OR(E282&gt;1,F282&gt;1),(F282-E282)/100,F282-E282))</f>
        <v/>
      </c>
      <c r="H282" s="12" t="str">
        <f>IF(G282="","",64*G282)</f>
        <v/>
      </c>
      <c r="I282" s="13"/>
      <c r="J282" s="13" t="str">
        <f>IFERROR(IF(OR(D282="",D282=0),"",I282/D282*100),"")</f>
        <v/>
      </c>
      <c r="K282" s="14"/>
      <c r="L282" s="13" t="str">
        <f>IF(I282="","",I282*K282)</f>
        <v/>
      </c>
      <c r="M282" s="13" t="str">
        <f>IF(B282="","",IFERROR(SUMPRODUCT(ISNUMBER(B$3:B282)*(MONTH(IF(ISNUMBER(B$3:B282),B$3:B282,1))=MONTH(B282))*(YEAR(IF(ISNUMBER(B$3:B282),B$3:B282,1))=YEAR(B282))*IF(ISNUMBER(L$3:L282),L$3:L282,0)),""))</f>
        <v/>
      </c>
      <c r="N282" s="6"/>
      <c r="O282" s="7" t="str">
        <f>IF(AND(B282="",ISNUMBER(B283)),CHOOSE(MONTH(B283),"GENNAIO","FEBBRAIO","MARZO","APRILE","MAGGIO","GIUGNO","LUGLIO","AGOSTO","SETTEMBRE","OTTOBRE","NOVEMBRE","DICEMBRE")&amp;" "&amp;YEAR(B283),"")</f>
        <v/>
      </c>
      <c r="P282" s="12" t="str">
        <f>IF(K282=0.2,"CASA","")</f>
        <v/>
      </c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" customHeight="1" x14ac:dyDescent="0.2">
      <c r="A283" s="5" t="str">
        <f>IF(AND(B283="",ISNUMBER(B284)),CHOOSE(MONTH(B284),"GENNAIO","FEBBRAIO","MARZO","APRILE","MAGGIO","GIUGNO","LUGLIO","AGOSTO","SETTEMBRE","OTTOBRE","NOVEMBRE","DICEMBRE")&amp;" "&amp;YEAR(B284),"")</f>
        <v/>
      </c>
      <c r="B283" s="11"/>
      <c r="C283" s="12"/>
      <c r="D283" s="12" t="str">
        <f>IF(C283="","",C283-IF(C282&lt;&gt;"",C282,IF(C281&lt;&gt;"",C281,IF(C280&lt;&gt;"",C280,0))))</f>
        <v/>
      </c>
      <c r="E283" s="12"/>
      <c r="F283" s="12"/>
      <c r="G283" s="9" t="str">
        <f>IF(AND(E283="",F283=""),"",IF(OR(E283&gt;1,F283&gt;1),(F283-E283)/100,F283-E283))</f>
        <v/>
      </c>
      <c r="H283" s="12" t="str">
        <f>IF(G283="","",64*G283)</f>
        <v/>
      </c>
      <c r="I283" s="13"/>
      <c r="J283" s="13" t="str">
        <f>IFERROR(IF(OR(D283="",D283=0),"",I283/D283*100),"")</f>
        <v/>
      </c>
      <c r="K283" s="14"/>
      <c r="L283" s="13" t="str">
        <f>IF(I283="","",I283*K283)</f>
        <v/>
      </c>
      <c r="M283" s="13" t="str">
        <f>IF(B283="","",IFERROR(SUMPRODUCT(ISNUMBER(B$3:B283)*(MONTH(IF(ISNUMBER(B$3:B283),B$3:B283,1))=MONTH(B283))*(YEAR(IF(ISNUMBER(B$3:B283),B$3:B283,1))=YEAR(B283))*IF(ISNUMBER(L$3:L283),L$3:L283,0)),""))</f>
        <v/>
      </c>
      <c r="N283" s="6"/>
      <c r="O283" s="7" t="str">
        <f>IF(AND(B283="",ISNUMBER(B284)),CHOOSE(MONTH(B284),"GENNAIO","FEBBRAIO","MARZO","APRILE","MAGGIO","GIUGNO","LUGLIO","AGOSTO","SETTEMBRE","OTTOBRE","NOVEMBRE","DICEMBRE")&amp;" "&amp;YEAR(B284),"")</f>
        <v/>
      </c>
      <c r="P283" s="12" t="str">
        <f>IF(K283=0.2,"CASA","")</f>
        <v/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" customHeight="1" x14ac:dyDescent="0.2">
      <c r="A284" s="5" t="str">
        <f>IF(AND(B284="",ISNUMBER(B285)),CHOOSE(MONTH(B285),"GENNAIO","FEBBRAIO","MARZO","APRILE","MAGGIO","GIUGNO","LUGLIO","AGOSTO","SETTEMBRE","OTTOBRE","NOVEMBRE","DICEMBRE")&amp;" "&amp;YEAR(B285),"")</f>
        <v/>
      </c>
      <c r="B284" s="11"/>
      <c r="C284" s="12"/>
      <c r="D284" s="12" t="str">
        <f>IF(C284="","",C284-IF(C283&lt;&gt;"",C283,IF(C282&lt;&gt;"",C282,IF(C281&lt;&gt;"",C281,0))))</f>
        <v/>
      </c>
      <c r="E284" s="12"/>
      <c r="F284" s="12"/>
      <c r="G284" s="9" t="str">
        <f>IF(AND(E284="",F284=""),"",IF(OR(E284&gt;1,F284&gt;1),(F284-E284)/100,F284-E284))</f>
        <v/>
      </c>
      <c r="H284" s="12" t="str">
        <f>IF(G284="","",64*G284)</f>
        <v/>
      </c>
      <c r="I284" s="13"/>
      <c r="J284" s="13" t="str">
        <f>IFERROR(IF(OR(D284="",D284=0),"",I284/D284*100),"")</f>
        <v/>
      </c>
      <c r="K284" s="14"/>
      <c r="L284" s="13" t="str">
        <f>IF(I284="","",I284*K284)</f>
        <v/>
      </c>
      <c r="M284" s="13" t="str">
        <f>IF(B284="","",IFERROR(SUMPRODUCT(ISNUMBER(B$3:B284)*(MONTH(IF(ISNUMBER(B$3:B284),B$3:B284,1))=MONTH(B284))*(YEAR(IF(ISNUMBER(B$3:B284),B$3:B284,1))=YEAR(B284))*IF(ISNUMBER(L$3:L284),L$3:L284,0)),""))</f>
        <v/>
      </c>
      <c r="N284" s="6"/>
      <c r="O284" s="7" t="str">
        <f>IF(AND(B284="",ISNUMBER(B285)),CHOOSE(MONTH(B285),"GENNAIO","FEBBRAIO","MARZO","APRILE","MAGGIO","GIUGNO","LUGLIO","AGOSTO","SETTEMBRE","OTTOBRE","NOVEMBRE","DICEMBRE")&amp;" "&amp;YEAR(B285),"")</f>
        <v/>
      </c>
      <c r="P284" s="12" t="str">
        <f>IF(K284=0.2,"CASA","")</f>
        <v/>
      </c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" customHeight="1" x14ac:dyDescent="0.2">
      <c r="A285" s="5" t="str">
        <f>IF(AND(B285="",ISNUMBER(B286)),CHOOSE(MONTH(B286),"GENNAIO","FEBBRAIO","MARZO","APRILE","MAGGIO","GIUGNO","LUGLIO","AGOSTO","SETTEMBRE","OTTOBRE","NOVEMBRE","DICEMBRE")&amp;" "&amp;YEAR(B286),"")</f>
        <v/>
      </c>
      <c r="B285" s="11"/>
      <c r="C285" s="12"/>
      <c r="D285" s="12" t="str">
        <f>IF(C285="","",C285-IF(C284&lt;&gt;"",C284,IF(C283&lt;&gt;"",C283,IF(C282&lt;&gt;"",C282,0))))</f>
        <v/>
      </c>
      <c r="E285" s="12"/>
      <c r="F285" s="12"/>
      <c r="G285" s="9" t="str">
        <f>IF(AND(E285="",F285=""),"",IF(OR(E285&gt;1,F285&gt;1),(F285-E285)/100,F285-E285))</f>
        <v/>
      </c>
      <c r="H285" s="12" t="str">
        <f>IF(G285="","",64*G285)</f>
        <v/>
      </c>
      <c r="I285" s="13"/>
      <c r="J285" s="13" t="str">
        <f>IFERROR(IF(OR(D285="",D285=0),"",I285/D285*100),"")</f>
        <v/>
      </c>
      <c r="K285" s="14"/>
      <c r="L285" s="13" t="str">
        <f>IF(I285="","",I285*K285)</f>
        <v/>
      </c>
      <c r="M285" s="13" t="str">
        <f>IF(B285="","",IFERROR(SUMPRODUCT(ISNUMBER(B$3:B285)*(MONTH(IF(ISNUMBER(B$3:B285),B$3:B285,1))=MONTH(B285))*(YEAR(IF(ISNUMBER(B$3:B285),B$3:B285,1))=YEAR(B285))*IF(ISNUMBER(L$3:L285),L$3:L285,0)),""))</f>
        <v/>
      </c>
      <c r="N285" s="6"/>
      <c r="O285" s="7" t="str">
        <f>IF(AND(B285="",ISNUMBER(B286)),CHOOSE(MONTH(B286),"GENNAIO","FEBBRAIO","MARZO","APRILE","MAGGIO","GIUGNO","LUGLIO","AGOSTO","SETTEMBRE","OTTOBRE","NOVEMBRE","DICEMBRE")&amp;" "&amp;YEAR(B286),"")</f>
        <v/>
      </c>
      <c r="P285" s="12" t="str">
        <f>IF(K285=0.2,"CASA","")</f>
        <v/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" customHeight="1" x14ac:dyDescent="0.2">
      <c r="A286" s="5" t="str">
        <f>IF(AND(B286="",ISNUMBER(B287)),CHOOSE(MONTH(B287),"GENNAIO","FEBBRAIO","MARZO","APRILE","MAGGIO","GIUGNO","LUGLIO","AGOSTO","SETTEMBRE","OTTOBRE","NOVEMBRE","DICEMBRE")&amp;" "&amp;YEAR(B287),"")</f>
        <v/>
      </c>
      <c r="B286" s="11"/>
      <c r="C286" s="12"/>
      <c r="D286" s="12" t="str">
        <f>IF(C286="","",C286-IF(C285&lt;&gt;"",C285,IF(C284&lt;&gt;"",C284,IF(C283&lt;&gt;"",C283,0))))</f>
        <v/>
      </c>
      <c r="E286" s="12"/>
      <c r="F286" s="12"/>
      <c r="G286" s="9" t="str">
        <f>IF(AND(E286="",F286=""),"",IF(OR(E286&gt;1,F286&gt;1),(F286-E286)/100,F286-E286))</f>
        <v/>
      </c>
      <c r="H286" s="12" t="str">
        <f>IF(G286="","",64*G286)</f>
        <v/>
      </c>
      <c r="I286" s="13"/>
      <c r="J286" s="13" t="str">
        <f>IFERROR(IF(OR(D286="",D286=0),"",I286/D286*100),"")</f>
        <v/>
      </c>
      <c r="K286" s="14"/>
      <c r="L286" s="13" t="str">
        <f>IF(I286="","",I286*K286)</f>
        <v/>
      </c>
      <c r="M286" s="13" t="str">
        <f>IF(B286="","",IFERROR(SUMPRODUCT(ISNUMBER(B$3:B286)*(MONTH(IF(ISNUMBER(B$3:B286),B$3:B286,1))=MONTH(B286))*(YEAR(IF(ISNUMBER(B$3:B286),B$3:B286,1))=YEAR(B286))*IF(ISNUMBER(L$3:L286),L$3:L286,0)),""))</f>
        <v/>
      </c>
      <c r="N286" s="6"/>
      <c r="O286" s="7" t="str">
        <f>IF(AND(B286="",ISNUMBER(B287)),CHOOSE(MONTH(B287),"GENNAIO","FEBBRAIO","MARZO","APRILE","MAGGIO","GIUGNO","LUGLIO","AGOSTO","SETTEMBRE","OTTOBRE","NOVEMBRE","DICEMBRE")&amp;" "&amp;YEAR(B287),"")</f>
        <v/>
      </c>
      <c r="P286" s="12" t="str">
        <f>IF(K286=0.2,"CASA","")</f>
        <v/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" customHeight="1" x14ac:dyDescent="0.2">
      <c r="A287" s="5" t="str">
        <f>IF(AND(B287="",ISNUMBER(B288)),CHOOSE(MONTH(B288),"GENNAIO","FEBBRAIO","MARZO","APRILE","MAGGIO","GIUGNO","LUGLIO","AGOSTO","SETTEMBRE","OTTOBRE","NOVEMBRE","DICEMBRE")&amp;" "&amp;YEAR(B288),"")</f>
        <v/>
      </c>
      <c r="B287" s="11"/>
      <c r="C287" s="12"/>
      <c r="D287" s="12" t="str">
        <f>IF(C287="","",C287-IF(C286&lt;&gt;"",C286,IF(C285&lt;&gt;"",C285,IF(C284&lt;&gt;"",C284,0))))</f>
        <v/>
      </c>
      <c r="E287" s="12"/>
      <c r="F287" s="12"/>
      <c r="G287" s="9" t="str">
        <f>IF(AND(E287="",F287=""),"",IF(OR(E287&gt;1,F287&gt;1),(F287-E287)/100,F287-E287))</f>
        <v/>
      </c>
      <c r="H287" s="12" t="str">
        <f>IF(G287="","",64*G287)</f>
        <v/>
      </c>
      <c r="I287" s="13"/>
      <c r="J287" s="13" t="str">
        <f>IFERROR(IF(OR(D287="",D287=0),"",I287/D287*100),"")</f>
        <v/>
      </c>
      <c r="K287" s="14"/>
      <c r="L287" s="13" t="str">
        <f>IF(I287="","",I287*K287)</f>
        <v/>
      </c>
      <c r="M287" s="13" t="str">
        <f>IF(B287="","",IFERROR(SUMPRODUCT(ISNUMBER(B$3:B287)*(MONTH(IF(ISNUMBER(B$3:B287),B$3:B287,1))=MONTH(B287))*(YEAR(IF(ISNUMBER(B$3:B287),B$3:B287,1))=YEAR(B287))*IF(ISNUMBER(L$3:L287),L$3:L287,0)),""))</f>
        <v/>
      </c>
      <c r="N287" s="6"/>
      <c r="O287" s="7" t="str">
        <f>IF(AND(B287="",ISNUMBER(B288)),CHOOSE(MONTH(B288),"GENNAIO","FEBBRAIO","MARZO","APRILE","MAGGIO","GIUGNO","LUGLIO","AGOSTO","SETTEMBRE","OTTOBRE","NOVEMBRE","DICEMBRE")&amp;" "&amp;YEAR(B288),"")</f>
        <v/>
      </c>
      <c r="P287" s="12" t="str">
        <f>IF(K287=0.2,"CASA","")</f>
        <v/>
      </c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" customHeight="1" x14ac:dyDescent="0.2">
      <c r="A288" s="5" t="str">
        <f>IF(AND(B288="",ISNUMBER(B289)),CHOOSE(MONTH(B289),"GENNAIO","FEBBRAIO","MARZO","APRILE","MAGGIO","GIUGNO","LUGLIO","AGOSTO","SETTEMBRE","OTTOBRE","NOVEMBRE","DICEMBRE")&amp;" "&amp;YEAR(B289),"")</f>
        <v/>
      </c>
      <c r="B288" s="11"/>
      <c r="C288" s="12"/>
      <c r="D288" s="12" t="str">
        <f>IF(C288="","",C288-IF(C287&lt;&gt;"",C287,IF(C286&lt;&gt;"",C286,IF(C285&lt;&gt;"",C285,0))))</f>
        <v/>
      </c>
      <c r="E288" s="12"/>
      <c r="F288" s="12"/>
      <c r="G288" s="9" t="str">
        <f>IF(AND(E288="",F288=""),"",IF(OR(E288&gt;1,F288&gt;1),(F288-E288)/100,F288-E288))</f>
        <v/>
      </c>
      <c r="H288" s="12" t="str">
        <f>IF(G288="","",64*G288)</f>
        <v/>
      </c>
      <c r="I288" s="13"/>
      <c r="J288" s="13" t="str">
        <f>IFERROR(IF(OR(D288="",D288=0),"",I288/D288*100),"")</f>
        <v/>
      </c>
      <c r="K288" s="14"/>
      <c r="L288" s="13" t="str">
        <f>IF(I288="","",I288*K288)</f>
        <v/>
      </c>
      <c r="M288" s="13" t="str">
        <f>IF(B288="","",IFERROR(SUMPRODUCT(ISNUMBER(B$3:B288)*(MONTH(IF(ISNUMBER(B$3:B288),B$3:B288,1))=MONTH(B288))*(YEAR(IF(ISNUMBER(B$3:B288),B$3:B288,1))=YEAR(B288))*IF(ISNUMBER(L$3:L288),L$3:L288,0)),""))</f>
        <v/>
      </c>
      <c r="N288" s="6"/>
      <c r="O288" s="7" t="str">
        <f>IF(AND(B288="",ISNUMBER(B289)),CHOOSE(MONTH(B289),"GENNAIO","FEBBRAIO","MARZO","APRILE","MAGGIO","GIUGNO","LUGLIO","AGOSTO","SETTEMBRE","OTTOBRE","NOVEMBRE","DICEMBRE")&amp;" "&amp;YEAR(B289),"")</f>
        <v/>
      </c>
      <c r="P288" s="12" t="str">
        <f>IF(K288=0.2,"CASA","")</f>
        <v/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" customHeight="1" x14ac:dyDescent="0.2">
      <c r="A289" s="5" t="str">
        <f>IF(AND(B289="",ISNUMBER(B290)),CHOOSE(MONTH(B290),"GENNAIO","FEBBRAIO","MARZO","APRILE","MAGGIO","GIUGNO","LUGLIO","AGOSTO","SETTEMBRE","OTTOBRE","NOVEMBRE","DICEMBRE")&amp;" "&amp;YEAR(B290),"")</f>
        <v/>
      </c>
      <c r="B289" s="11"/>
      <c r="C289" s="12"/>
      <c r="D289" s="12" t="str">
        <f>IF(C289="","",C289-IF(C288&lt;&gt;"",C288,IF(C287&lt;&gt;"",C287,IF(C286&lt;&gt;"",C286,0))))</f>
        <v/>
      </c>
      <c r="E289" s="12"/>
      <c r="F289" s="12"/>
      <c r="G289" s="9" t="str">
        <f>IF(AND(E289="",F289=""),"",IF(OR(E289&gt;1,F289&gt;1),(F289-E289)/100,F289-E289))</f>
        <v/>
      </c>
      <c r="H289" s="12" t="str">
        <f>IF(G289="","",64*G289)</f>
        <v/>
      </c>
      <c r="I289" s="13"/>
      <c r="J289" s="13" t="str">
        <f>IFERROR(IF(OR(D289="",D289=0),"",I289/D289*100),"")</f>
        <v/>
      </c>
      <c r="K289" s="14"/>
      <c r="L289" s="13" t="str">
        <f>IF(I289="","",I289*K289)</f>
        <v/>
      </c>
      <c r="M289" s="13" t="str">
        <f>IF(B289="","",IFERROR(SUMPRODUCT(ISNUMBER(B$3:B289)*(MONTH(IF(ISNUMBER(B$3:B289),B$3:B289,1))=MONTH(B289))*(YEAR(IF(ISNUMBER(B$3:B289),B$3:B289,1))=YEAR(B289))*IF(ISNUMBER(L$3:L289),L$3:L289,0)),""))</f>
        <v/>
      </c>
      <c r="N289" s="6"/>
      <c r="O289" s="7" t="str">
        <f>IF(AND(B289="",ISNUMBER(B290)),CHOOSE(MONTH(B290),"GENNAIO","FEBBRAIO","MARZO","APRILE","MAGGIO","GIUGNO","LUGLIO","AGOSTO","SETTEMBRE","OTTOBRE","NOVEMBRE","DICEMBRE")&amp;" "&amp;YEAR(B290),"")</f>
        <v/>
      </c>
      <c r="P289" s="12" t="str">
        <f>IF(K289=0.2,"CASA","")</f>
        <v/>
      </c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" customHeight="1" x14ac:dyDescent="0.2">
      <c r="A290" s="5" t="str">
        <f>IF(AND(B290="",ISNUMBER(B291)),CHOOSE(MONTH(B291),"GENNAIO","FEBBRAIO","MARZO","APRILE","MAGGIO","GIUGNO","LUGLIO","AGOSTO","SETTEMBRE","OTTOBRE","NOVEMBRE","DICEMBRE")&amp;" "&amp;YEAR(B291),"")</f>
        <v/>
      </c>
      <c r="B290" s="11"/>
      <c r="C290" s="12"/>
      <c r="D290" s="12" t="str">
        <f>IF(C290="","",C290-IF(C289&lt;&gt;"",C289,IF(C288&lt;&gt;"",C288,IF(C287&lt;&gt;"",C287,0))))</f>
        <v/>
      </c>
      <c r="E290" s="12"/>
      <c r="F290" s="12"/>
      <c r="G290" s="9" t="str">
        <f>IF(AND(E290="",F290=""),"",IF(OR(E290&gt;1,F290&gt;1),(F290-E290)/100,F290-E290))</f>
        <v/>
      </c>
      <c r="H290" s="12" t="str">
        <f>IF(G290="","",64*G290)</f>
        <v/>
      </c>
      <c r="I290" s="13"/>
      <c r="J290" s="13" t="str">
        <f>IFERROR(IF(OR(D290="",D290=0),"",I290/D290*100),"")</f>
        <v/>
      </c>
      <c r="K290" s="14"/>
      <c r="L290" s="13" t="str">
        <f>IF(I290="","",I290*K290)</f>
        <v/>
      </c>
      <c r="M290" s="13" t="str">
        <f>IF(B290="","",IFERROR(SUMPRODUCT(ISNUMBER(B$3:B290)*(MONTH(IF(ISNUMBER(B$3:B290),B$3:B290,1))=MONTH(B290))*(YEAR(IF(ISNUMBER(B$3:B290),B$3:B290,1))=YEAR(B290))*IF(ISNUMBER(L$3:L290),L$3:L290,0)),""))</f>
        <v/>
      </c>
      <c r="N290" s="6"/>
      <c r="O290" s="7" t="str">
        <f>IF(AND(B290="",ISNUMBER(B291)),CHOOSE(MONTH(B291),"GENNAIO","FEBBRAIO","MARZO","APRILE","MAGGIO","GIUGNO","LUGLIO","AGOSTO","SETTEMBRE","OTTOBRE","NOVEMBRE","DICEMBRE")&amp;" "&amp;YEAR(B291),"")</f>
        <v/>
      </c>
      <c r="P290" s="12" t="str">
        <f>IF(K290=0.2,"CASA","")</f>
        <v/>
      </c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" customHeight="1" x14ac:dyDescent="0.2">
      <c r="A291" s="5" t="str">
        <f>IF(AND(B291="",ISNUMBER(B292)),CHOOSE(MONTH(B292),"GENNAIO","FEBBRAIO","MARZO","APRILE","MAGGIO","GIUGNO","LUGLIO","AGOSTO","SETTEMBRE","OTTOBRE","NOVEMBRE","DICEMBRE")&amp;" "&amp;YEAR(B292),"")</f>
        <v/>
      </c>
      <c r="B291" s="11"/>
      <c r="C291" s="12"/>
      <c r="D291" s="12" t="str">
        <f>IF(C291="","",C291-IF(C290&lt;&gt;"",C290,IF(C289&lt;&gt;"",C289,IF(C288&lt;&gt;"",C288,0))))</f>
        <v/>
      </c>
      <c r="E291" s="12"/>
      <c r="F291" s="12"/>
      <c r="G291" s="9" t="str">
        <f>IF(AND(E291="",F291=""),"",IF(OR(E291&gt;1,F291&gt;1),(F291-E291)/100,F291-E291))</f>
        <v/>
      </c>
      <c r="H291" s="12" t="str">
        <f>IF(G291="","",64*G291)</f>
        <v/>
      </c>
      <c r="I291" s="13"/>
      <c r="J291" s="13" t="str">
        <f>IFERROR(IF(OR(D291="",D291=0),"",I291/D291*100),"")</f>
        <v/>
      </c>
      <c r="K291" s="14"/>
      <c r="L291" s="13" t="str">
        <f>IF(I291="","",I291*K291)</f>
        <v/>
      </c>
      <c r="M291" s="13" t="str">
        <f>IF(B291="","",IFERROR(SUMPRODUCT(ISNUMBER(B$3:B291)*(MONTH(IF(ISNUMBER(B$3:B291),B$3:B291,1))=MONTH(B291))*(YEAR(IF(ISNUMBER(B$3:B291),B$3:B291,1))=YEAR(B291))*IF(ISNUMBER(L$3:L291),L$3:L291,0)),""))</f>
        <v/>
      </c>
      <c r="N291" s="6"/>
      <c r="O291" s="7" t="str">
        <f>IF(AND(B291="",ISNUMBER(B292)),CHOOSE(MONTH(B292),"GENNAIO","FEBBRAIO","MARZO","APRILE","MAGGIO","GIUGNO","LUGLIO","AGOSTO","SETTEMBRE","OTTOBRE","NOVEMBRE","DICEMBRE")&amp;" "&amp;YEAR(B292),"")</f>
        <v/>
      </c>
      <c r="P291" s="12" t="str">
        <f>IF(K291=0.2,"CASA","")</f>
        <v/>
      </c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" customHeight="1" x14ac:dyDescent="0.2">
      <c r="A292" s="5" t="str">
        <f>IF(AND(B292="",ISNUMBER(B293)),CHOOSE(MONTH(B293),"GENNAIO","FEBBRAIO","MARZO","APRILE","MAGGIO","GIUGNO","LUGLIO","AGOSTO","SETTEMBRE","OTTOBRE","NOVEMBRE","DICEMBRE")&amp;" "&amp;YEAR(B293),"")</f>
        <v/>
      </c>
      <c r="B292" s="11"/>
      <c r="C292" s="12"/>
      <c r="D292" s="12" t="str">
        <f>IF(C292="","",C292-IF(C291&lt;&gt;"",C291,IF(C290&lt;&gt;"",C290,IF(C289&lt;&gt;"",C289,0))))</f>
        <v/>
      </c>
      <c r="E292" s="12"/>
      <c r="F292" s="12"/>
      <c r="G292" s="9" t="str">
        <f>IF(AND(E292="",F292=""),"",IF(OR(E292&gt;1,F292&gt;1),(F292-E292)/100,F292-E292))</f>
        <v/>
      </c>
      <c r="H292" s="12" t="str">
        <f>IF(G292="","",64*G292)</f>
        <v/>
      </c>
      <c r="I292" s="13"/>
      <c r="J292" s="13" t="str">
        <f>IFERROR(IF(OR(D292="",D292=0),"",I292/D292*100),"")</f>
        <v/>
      </c>
      <c r="K292" s="14"/>
      <c r="L292" s="13" t="str">
        <f>IF(I292="","",I292*K292)</f>
        <v/>
      </c>
      <c r="M292" s="13" t="str">
        <f>IF(B292="","",IFERROR(SUMPRODUCT(ISNUMBER(B$3:B292)*(MONTH(IF(ISNUMBER(B$3:B292),B$3:B292,1))=MONTH(B292))*(YEAR(IF(ISNUMBER(B$3:B292),B$3:B292,1))=YEAR(B292))*IF(ISNUMBER(L$3:L292),L$3:L292,0)),""))</f>
        <v/>
      </c>
      <c r="N292" s="6"/>
      <c r="O292" s="7" t="str">
        <f>IF(AND(B292="",ISNUMBER(B293)),CHOOSE(MONTH(B293),"GENNAIO","FEBBRAIO","MARZO","APRILE","MAGGIO","GIUGNO","LUGLIO","AGOSTO","SETTEMBRE","OTTOBRE","NOVEMBRE","DICEMBRE")&amp;" "&amp;YEAR(B293),"")</f>
        <v/>
      </c>
      <c r="P292" s="12" t="str">
        <f>IF(K292=0.2,"CASA","")</f>
        <v/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" customHeight="1" x14ac:dyDescent="0.2">
      <c r="A293" s="5" t="str">
        <f>IF(AND(B293="",ISNUMBER(B294)),CHOOSE(MONTH(B294),"GENNAIO","FEBBRAIO","MARZO","APRILE","MAGGIO","GIUGNO","LUGLIO","AGOSTO","SETTEMBRE","OTTOBRE","NOVEMBRE","DICEMBRE")&amp;" "&amp;YEAR(B294),"")</f>
        <v/>
      </c>
      <c r="B293" s="11"/>
      <c r="C293" s="12"/>
      <c r="D293" s="12" t="str">
        <f>IF(C293="","",C293-IF(C292&lt;&gt;"",C292,IF(C291&lt;&gt;"",C291,IF(C290&lt;&gt;"",C290,0))))</f>
        <v/>
      </c>
      <c r="E293" s="12"/>
      <c r="F293" s="12"/>
      <c r="G293" s="9" t="str">
        <f>IF(AND(E293="",F293=""),"",IF(OR(E293&gt;1,F293&gt;1),(F293-E293)/100,F293-E293))</f>
        <v/>
      </c>
      <c r="H293" s="12" t="str">
        <f>IF(G293="","",64*G293)</f>
        <v/>
      </c>
      <c r="I293" s="13"/>
      <c r="J293" s="13" t="str">
        <f>IFERROR(IF(OR(D293="",D293=0),"",I293/D293*100),"")</f>
        <v/>
      </c>
      <c r="K293" s="14"/>
      <c r="L293" s="13" t="str">
        <f>IF(I293="","",I293*K293)</f>
        <v/>
      </c>
      <c r="M293" s="13" t="str">
        <f>IF(B293="","",IFERROR(SUMPRODUCT(ISNUMBER(B$3:B293)*(MONTH(IF(ISNUMBER(B$3:B293),B$3:B293,1))=MONTH(B293))*(YEAR(IF(ISNUMBER(B$3:B293),B$3:B293,1))=YEAR(B293))*IF(ISNUMBER(L$3:L293),L$3:L293,0)),""))</f>
        <v/>
      </c>
      <c r="N293" s="6"/>
      <c r="O293" s="7" t="str">
        <f>IF(AND(B293="",ISNUMBER(B294)),CHOOSE(MONTH(B294),"GENNAIO","FEBBRAIO","MARZO","APRILE","MAGGIO","GIUGNO","LUGLIO","AGOSTO","SETTEMBRE","OTTOBRE","NOVEMBRE","DICEMBRE")&amp;" "&amp;YEAR(B294),"")</f>
        <v/>
      </c>
      <c r="P293" s="12" t="str">
        <f>IF(K293=0.2,"CASA","")</f>
        <v/>
      </c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" customHeight="1" x14ac:dyDescent="0.2">
      <c r="A294" s="5" t="str">
        <f>IF(AND(B294="",ISNUMBER(B295)),CHOOSE(MONTH(B295),"GENNAIO","FEBBRAIO","MARZO","APRILE","MAGGIO","GIUGNO","LUGLIO","AGOSTO","SETTEMBRE","OTTOBRE","NOVEMBRE","DICEMBRE")&amp;" "&amp;YEAR(B295),"")</f>
        <v/>
      </c>
      <c r="B294" s="11"/>
      <c r="C294" s="12"/>
      <c r="D294" s="12" t="str">
        <f>IF(C294="","",C294-IF(C293&lt;&gt;"",C293,IF(C292&lt;&gt;"",C292,IF(C291&lt;&gt;"",C291,0))))</f>
        <v/>
      </c>
      <c r="E294" s="12"/>
      <c r="F294" s="12"/>
      <c r="G294" s="9" t="str">
        <f>IF(AND(E294="",F294=""),"",IF(OR(E294&gt;1,F294&gt;1),(F294-E294)/100,F294-E294))</f>
        <v/>
      </c>
      <c r="H294" s="12" t="str">
        <f>IF(G294="","",64*G294)</f>
        <v/>
      </c>
      <c r="I294" s="13"/>
      <c r="J294" s="13" t="str">
        <f>IFERROR(IF(OR(D294="",D294=0),"",I294/D294*100),"")</f>
        <v/>
      </c>
      <c r="K294" s="14"/>
      <c r="L294" s="13" t="str">
        <f>IF(I294="","",I294*K294)</f>
        <v/>
      </c>
      <c r="M294" s="13" t="str">
        <f>IF(B294="","",IFERROR(SUMPRODUCT(ISNUMBER(B$3:B294)*(MONTH(IF(ISNUMBER(B$3:B294),B$3:B294,1))=MONTH(B294))*(YEAR(IF(ISNUMBER(B$3:B294),B$3:B294,1))=YEAR(B294))*IF(ISNUMBER(L$3:L294),L$3:L294,0)),""))</f>
        <v/>
      </c>
      <c r="N294" s="6"/>
      <c r="O294" s="7" t="str">
        <f>IF(AND(B294="",ISNUMBER(B295)),CHOOSE(MONTH(B295),"GENNAIO","FEBBRAIO","MARZO","APRILE","MAGGIO","GIUGNO","LUGLIO","AGOSTO","SETTEMBRE","OTTOBRE","NOVEMBRE","DICEMBRE")&amp;" "&amp;YEAR(B295),"")</f>
        <v/>
      </c>
      <c r="P294" s="12" t="str">
        <f>IF(K294=0.2,"CASA","")</f>
        <v/>
      </c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" customHeight="1" x14ac:dyDescent="0.2">
      <c r="A295" s="5" t="str">
        <f>IF(AND(B295="",ISNUMBER(B296)),CHOOSE(MONTH(B296),"GENNAIO","FEBBRAIO","MARZO","APRILE","MAGGIO","GIUGNO","LUGLIO","AGOSTO","SETTEMBRE","OTTOBRE","NOVEMBRE","DICEMBRE")&amp;" "&amp;YEAR(B296),"")</f>
        <v/>
      </c>
      <c r="B295" s="11"/>
      <c r="C295" s="12"/>
      <c r="D295" s="12" t="str">
        <f>IF(C295="","",C295-IF(C294&lt;&gt;"",C294,IF(C293&lt;&gt;"",C293,IF(C292&lt;&gt;"",C292,0))))</f>
        <v/>
      </c>
      <c r="E295" s="12"/>
      <c r="F295" s="12"/>
      <c r="G295" s="9" t="str">
        <f>IF(AND(E295="",F295=""),"",IF(OR(E295&gt;1,F295&gt;1),(F295-E295)/100,F295-E295))</f>
        <v/>
      </c>
      <c r="H295" s="12" t="str">
        <f>IF(G295="","",64*G295)</f>
        <v/>
      </c>
      <c r="I295" s="13"/>
      <c r="J295" s="13" t="str">
        <f>IFERROR(IF(OR(D295="",D295=0),"",I295/D295*100),"")</f>
        <v/>
      </c>
      <c r="K295" s="14"/>
      <c r="L295" s="13" t="str">
        <f>IF(I295="","",I295*K295)</f>
        <v/>
      </c>
      <c r="M295" s="13" t="str">
        <f>IF(B295="","",IFERROR(SUMPRODUCT(ISNUMBER(B$3:B295)*(MONTH(IF(ISNUMBER(B$3:B295),B$3:B295,1))=MONTH(B295))*(YEAR(IF(ISNUMBER(B$3:B295),B$3:B295,1))=YEAR(B295))*IF(ISNUMBER(L$3:L295),L$3:L295,0)),""))</f>
        <v/>
      </c>
      <c r="N295" s="6"/>
      <c r="O295" s="7" t="str">
        <f>IF(AND(B295="",ISNUMBER(B296)),CHOOSE(MONTH(B296),"GENNAIO","FEBBRAIO","MARZO","APRILE","MAGGIO","GIUGNO","LUGLIO","AGOSTO","SETTEMBRE","OTTOBRE","NOVEMBRE","DICEMBRE")&amp;" "&amp;YEAR(B296),"")</f>
        <v/>
      </c>
      <c r="P295" s="12" t="str">
        <f>IF(K295=0.2,"CASA","")</f>
        <v/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" customHeight="1" x14ac:dyDescent="0.2">
      <c r="A296" s="5" t="str">
        <f>IF(AND(B296="",ISNUMBER(B297)),CHOOSE(MONTH(B297),"GENNAIO","FEBBRAIO","MARZO","APRILE","MAGGIO","GIUGNO","LUGLIO","AGOSTO","SETTEMBRE","OTTOBRE","NOVEMBRE","DICEMBRE")&amp;" "&amp;YEAR(B297),"")</f>
        <v/>
      </c>
      <c r="B296" s="11"/>
      <c r="C296" s="12"/>
      <c r="D296" s="12" t="str">
        <f>IF(C296="","",C296-IF(C295&lt;&gt;"",C295,IF(C294&lt;&gt;"",C294,IF(C293&lt;&gt;"",C293,0))))</f>
        <v/>
      </c>
      <c r="E296" s="12"/>
      <c r="F296" s="12"/>
      <c r="G296" s="9" t="str">
        <f>IF(AND(E296="",F296=""),"",IF(OR(E296&gt;1,F296&gt;1),(F296-E296)/100,F296-E296))</f>
        <v/>
      </c>
      <c r="H296" s="12" t="str">
        <f>IF(G296="","",64*G296)</f>
        <v/>
      </c>
      <c r="I296" s="13"/>
      <c r="J296" s="13" t="str">
        <f>IFERROR(IF(OR(D296="",D296=0),"",I296/D296*100),"")</f>
        <v/>
      </c>
      <c r="K296" s="14"/>
      <c r="L296" s="13" t="str">
        <f>IF(I296="","",I296*K296)</f>
        <v/>
      </c>
      <c r="M296" s="13" t="str">
        <f>IF(B296="","",IFERROR(SUMPRODUCT(ISNUMBER(B$3:B296)*(MONTH(IF(ISNUMBER(B$3:B296),B$3:B296,1))=MONTH(B296))*(YEAR(IF(ISNUMBER(B$3:B296),B$3:B296,1))=YEAR(B296))*IF(ISNUMBER(L$3:L296),L$3:L296,0)),""))</f>
        <v/>
      </c>
      <c r="N296" s="6"/>
      <c r="O296" s="7" t="str">
        <f>IF(AND(B296="",ISNUMBER(B297)),CHOOSE(MONTH(B297),"GENNAIO","FEBBRAIO","MARZO","APRILE","MAGGIO","GIUGNO","LUGLIO","AGOSTO","SETTEMBRE","OTTOBRE","NOVEMBRE","DICEMBRE")&amp;" "&amp;YEAR(B297),"")</f>
        <v/>
      </c>
      <c r="P296" s="12" t="str">
        <f>IF(K296=0.2,"CASA","")</f>
        <v/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" customHeight="1" x14ac:dyDescent="0.2">
      <c r="A297" s="5" t="str">
        <f>IF(AND(B297="",ISNUMBER(B298)),CHOOSE(MONTH(B298),"GENNAIO","FEBBRAIO","MARZO","APRILE","MAGGIO","GIUGNO","LUGLIO","AGOSTO","SETTEMBRE","OTTOBRE","NOVEMBRE","DICEMBRE")&amp;" "&amp;YEAR(B298),"")</f>
        <v/>
      </c>
      <c r="B297" s="11"/>
      <c r="C297" s="12"/>
      <c r="D297" s="12" t="str">
        <f>IF(C297="","",C297-IF(C296&lt;&gt;"",C296,IF(C295&lt;&gt;"",C295,IF(C294&lt;&gt;"",C294,0))))</f>
        <v/>
      </c>
      <c r="E297" s="12"/>
      <c r="F297" s="12"/>
      <c r="G297" s="9" t="str">
        <f>IF(AND(E297="",F297=""),"",IF(OR(E297&gt;1,F297&gt;1),(F297-E297)/100,F297-E297))</f>
        <v/>
      </c>
      <c r="H297" s="12" t="str">
        <f>IF(G297="","",64*G297)</f>
        <v/>
      </c>
      <c r="I297" s="13"/>
      <c r="J297" s="13" t="str">
        <f>IFERROR(IF(OR(D297="",D297=0),"",I297/D297*100),"")</f>
        <v/>
      </c>
      <c r="K297" s="14"/>
      <c r="L297" s="13" t="str">
        <f>IF(I297="","",I297*K297)</f>
        <v/>
      </c>
      <c r="M297" s="13" t="str">
        <f>IF(B297="","",IFERROR(SUMPRODUCT(ISNUMBER(B$3:B297)*(MONTH(IF(ISNUMBER(B$3:B297),B$3:B297,1))=MONTH(B297))*(YEAR(IF(ISNUMBER(B$3:B297),B$3:B297,1))=YEAR(B297))*IF(ISNUMBER(L$3:L297),L$3:L297,0)),""))</f>
        <v/>
      </c>
      <c r="N297" s="6"/>
      <c r="O297" s="7" t="str">
        <f>IF(AND(B297="",ISNUMBER(B298)),CHOOSE(MONTH(B298),"GENNAIO","FEBBRAIO","MARZO","APRILE","MAGGIO","GIUGNO","LUGLIO","AGOSTO","SETTEMBRE","OTTOBRE","NOVEMBRE","DICEMBRE")&amp;" "&amp;YEAR(B298),"")</f>
        <v/>
      </c>
      <c r="P297" s="12" t="str">
        <f>IF(K297=0.2,"CASA","")</f>
        <v/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" customHeight="1" x14ac:dyDescent="0.2">
      <c r="A298" s="5" t="str">
        <f>IF(AND(B298="",ISNUMBER(B299)),CHOOSE(MONTH(B299),"GENNAIO","FEBBRAIO","MARZO","APRILE","MAGGIO","GIUGNO","LUGLIO","AGOSTO","SETTEMBRE","OTTOBRE","NOVEMBRE","DICEMBRE")&amp;" "&amp;YEAR(B299),"")</f>
        <v/>
      </c>
      <c r="B298" s="11"/>
      <c r="C298" s="12"/>
      <c r="D298" s="12" t="str">
        <f>IF(C298="","",C298-IF(C297&lt;&gt;"",C297,IF(C296&lt;&gt;"",C296,IF(C295&lt;&gt;"",C295,0))))</f>
        <v/>
      </c>
      <c r="E298" s="12"/>
      <c r="F298" s="12"/>
      <c r="G298" s="9" t="str">
        <f>IF(AND(E298="",F298=""),"",IF(OR(E298&gt;1,F298&gt;1),(F298-E298)/100,F298-E298))</f>
        <v/>
      </c>
      <c r="H298" s="12" t="str">
        <f>IF(G298="","",64*G298)</f>
        <v/>
      </c>
      <c r="I298" s="13"/>
      <c r="J298" s="13" t="str">
        <f>IFERROR(IF(OR(D298="",D298=0),"",I298/D298*100),"")</f>
        <v/>
      </c>
      <c r="K298" s="14"/>
      <c r="L298" s="13" t="str">
        <f>IF(I298="","",I298*K298)</f>
        <v/>
      </c>
      <c r="M298" s="13" t="str">
        <f>IF(B298="","",IFERROR(SUMPRODUCT(ISNUMBER(B$3:B298)*(MONTH(IF(ISNUMBER(B$3:B298),B$3:B298,1))=MONTH(B298))*(YEAR(IF(ISNUMBER(B$3:B298),B$3:B298,1))=YEAR(B298))*IF(ISNUMBER(L$3:L298),L$3:L298,0)),""))</f>
        <v/>
      </c>
      <c r="N298" s="6"/>
      <c r="O298" s="7" t="str">
        <f>IF(AND(B298="",ISNUMBER(B299)),CHOOSE(MONTH(B299),"GENNAIO","FEBBRAIO","MARZO","APRILE","MAGGIO","GIUGNO","LUGLIO","AGOSTO","SETTEMBRE","OTTOBRE","NOVEMBRE","DICEMBRE")&amp;" "&amp;YEAR(B299),"")</f>
        <v/>
      </c>
      <c r="P298" s="12" t="str">
        <f>IF(K298=0.2,"CASA","")</f>
        <v/>
      </c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" customHeight="1" x14ac:dyDescent="0.2">
      <c r="A299" s="5" t="str">
        <f>IF(AND(B299="",ISNUMBER(B300)),CHOOSE(MONTH(B300),"GENNAIO","FEBBRAIO","MARZO","APRILE","MAGGIO","GIUGNO","LUGLIO","AGOSTO","SETTEMBRE","OTTOBRE","NOVEMBRE","DICEMBRE")&amp;" "&amp;YEAR(B300),"")</f>
        <v/>
      </c>
      <c r="B299" s="11"/>
      <c r="C299" s="12"/>
      <c r="D299" s="12" t="str">
        <f>IF(C299="","",C299-IF(C298&lt;&gt;"",C298,IF(C297&lt;&gt;"",C297,IF(C296&lt;&gt;"",C296,0))))</f>
        <v/>
      </c>
      <c r="E299" s="12"/>
      <c r="F299" s="12"/>
      <c r="G299" s="9" t="str">
        <f>IF(AND(E299="",F299=""),"",IF(OR(E299&gt;1,F299&gt;1),(F299-E299)/100,F299-E299))</f>
        <v/>
      </c>
      <c r="H299" s="12" t="str">
        <f>IF(G299="","",64*G299)</f>
        <v/>
      </c>
      <c r="I299" s="13"/>
      <c r="J299" s="13" t="str">
        <f>IFERROR(IF(OR(D299="",D299=0),"",I299/D299*100),"")</f>
        <v/>
      </c>
      <c r="K299" s="14"/>
      <c r="L299" s="13" t="str">
        <f>IF(I299="","",I299*K299)</f>
        <v/>
      </c>
      <c r="M299" s="13" t="str">
        <f>IF(B299="","",IFERROR(SUMPRODUCT(ISNUMBER(B$3:B299)*(MONTH(IF(ISNUMBER(B$3:B299),B$3:B299,1))=MONTH(B299))*(YEAR(IF(ISNUMBER(B$3:B299),B$3:B299,1))=YEAR(B299))*IF(ISNUMBER(L$3:L299),L$3:L299,0)),""))</f>
        <v/>
      </c>
      <c r="N299" s="6"/>
      <c r="O299" s="7" t="str">
        <f>IF(AND(B299="",ISNUMBER(B300)),CHOOSE(MONTH(B300),"GENNAIO","FEBBRAIO","MARZO","APRILE","MAGGIO","GIUGNO","LUGLIO","AGOSTO","SETTEMBRE","OTTOBRE","NOVEMBRE","DICEMBRE")&amp;" "&amp;YEAR(B300),"")</f>
        <v/>
      </c>
      <c r="P299" s="12" t="str">
        <f>IF(K299=0.2,"CASA","")</f>
        <v/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" customHeight="1" x14ac:dyDescent="0.2">
      <c r="A300" s="5" t="str">
        <f>IF(AND(B300="",ISNUMBER(B301)),CHOOSE(MONTH(B301),"GENNAIO","FEBBRAIO","MARZO","APRILE","MAGGIO","GIUGNO","LUGLIO","AGOSTO","SETTEMBRE","OTTOBRE","NOVEMBRE","DICEMBRE")&amp;" "&amp;YEAR(B301),"")</f>
        <v/>
      </c>
      <c r="B300" s="11"/>
      <c r="C300" s="12"/>
      <c r="D300" s="12" t="str">
        <f>IF(C300="","",C300-IF(C299&lt;&gt;"",C299,IF(C298&lt;&gt;"",C298,IF(C297&lt;&gt;"",C297,0))))</f>
        <v/>
      </c>
      <c r="E300" s="12"/>
      <c r="F300" s="12"/>
      <c r="G300" s="9" t="str">
        <f>IF(AND(E300="",F300=""),"",IF(OR(E300&gt;1,F300&gt;1),(F300-E300)/100,F300-E300))</f>
        <v/>
      </c>
      <c r="H300" s="12" t="str">
        <f>IF(G300="","",64*G300)</f>
        <v/>
      </c>
      <c r="I300" s="13"/>
      <c r="J300" s="13" t="str">
        <f>IFERROR(IF(OR(D300="",D300=0),"",I300/D300*100),"")</f>
        <v/>
      </c>
      <c r="K300" s="14"/>
      <c r="L300" s="13" t="str">
        <f>IF(I300="","",I300*K300)</f>
        <v/>
      </c>
      <c r="M300" s="13" t="str">
        <f>IF(B300="","",IFERROR(SUMPRODUCT(ISNUMBER(B$3:B300)*(MONTH(IF(ISNUMBER(B$3:B300),B$3:B300,1))=MONTH(B300))*(YEAR(IF(ISNUMBER(B$3:B300),B$3:B300,1))=YEAR(B300))*IF(ISNUMBER(L$3:L300),L$3:L300,0)),""))</f>
        <v/>
      </c>
      <c r="N300" s="6"/>
      <c r="O300" s="7" t="str">
        <f>IF(AND(B300="",ISNUMBER(B301)),CHOOSE(MONTH(B301),"GENNAIO","FEBBRAIO","MARZO","APRILE","MAGGIO","GIUGNO","LUGLIO","AGOSTO","SETTEMBRE","OTTOBRE","NOVEMBRE","DICEMBRE")&amp;" "&amp;YEAR(B301),"")</f>
        <v/>
      </c>
      <c r="P300" s="12" t="str">
        <f>IF(K300=0.2,"CASA","")</f>
        <v/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" customHeight="1" x14ac:dyDescent="0.2">
      <c r="A301" s="5" t="str">
        <f>IF(AND(B301="",ISNUMBER(B302)),CHOOSE(MONTH(B302),"GENNAIO","FEBBRAIO","MARZO","APRILE","MAGGIO","GIUGNO","LUGLIO","AGOSTO","SETTEMBRE","OTTOBRE","NOVEMBRE","DICEMBRE")&amp;" "&amp;YEAR(B302),"")</f>
        <v/>
      </c>
      <c r="B301" s="11"/>
      <c r="C301" s="12"/>
      <c r="D301" s="12" t="str">
        <f>IF(C301="","",C301-IF(C300&lt;&gt;"",C300,IF(C299&lt;&gt;"",C299,IF(C298&lt;&gt;"",C298,0))))</f>
        <v/>
      </c>
      <c r="E301" s="12"/>
      <c r="F301" s="12"/>
      <c r="G301" s="9" t="str">
        <f>IF(AND(E301="",F301=""),"",IF(OR(E301&gt;1,F301&gt;1),(F301-E301)/100,F301-E301))</f>
        <v/>
      </c>
      <c r="H301" s="12" t="str">
        <f>IF(G301="","",64*G301)</f>
        <v/>
      </c>
      <c r="I301" s="13"/>
      <c r="J301" s="13" t="str">
        <f>IFERROR(IF(OR(D301="",D301=0),"",I301/D301*100),"")</f>
        <v/>
      </c>
      <c r="K301" s="14"/>
      <c r="L301" s="13" t="str">
        <f>IF(I301="","",I301*K301)</f>
        <v/>
      </c>
      <c r="M301" s="13" t="str">
        <f>IF(B301="","",IFERROR(SUMPRODUCT(ISNUMBER(B$3:B301)*(MONTH(IF(ISNUMBER(B$3:B301),B$3:B301,1))=MONTH(B301))*(YEAR(IF(ISNUMBER(B$3:B301),B$3:B301,1))=YEAR(B301))*IF(ISNUMBER(L$3:L301),L$3:L301,0)),""))</f>
        <v/>
      </c>
      <c r="N301" s="6"/>
      <c r="O301" s="7" t="str">
        <f>IF(AND(B301="",ISNUMBER(B302)),CHOOSE(MONTH(B302),"GENNAIO","FEBBRAIO","MARZO","APRILE","MAGGIO","GIUGNO","LUGLIO","AGOSTO","SETTEMBRE","OTTOBRE","NOVEMBRE","DICEMBRE")&amp;" "&amp;YEAR(B302),"")</f>
        <v/>
      </c>
      <c r="P301" s="12" t="str">
        <f>IF(K301=0.2,"CASA","")</f>
        <v/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" customHeight="1" x14ac:dyDescent="0.2">
      <c r="A302" s="5" t="str">
        <f>IF(AND(B302="",ISNUMBER(B303)),CHOOSE(MONTH(B303),"GENNAIO","FEBBRAIO","MARZO","APRILE","MAGGIO","GIUGNO","LUGLIO","AGOSTO","SETTEMBRE","OTTOBRE","NOVEMBRE","DICEMBRE")&amp;" "&amp;YEAR(B303),"")</f>
        <v/>
      </c>
      <c r="B302" s="11"/>
      <c r="C302" s="12"/>
      <c r="D302" s="12" t="str">
        <f>IF(C302="","",C302-IF(C301&lt;&gt;"",C301,IF(C300&lt;&gt;"",C300,IF(C299&lt;&gt;"",C299,0))))</f>
        <v/>
      </c>
      <c r="E302" s="12"/>
      <c r="F302" s="12"/>
      <c r="G302" s="9" t="str">
        <f>IF(AND(E302="",F302=""),"",IF(OR(E302&gt;1,F302&gt;1),(F302-E302)/100,F302-E302))</f>
        <v/>
      </c>
      <c r="H302" s="12" t="str">
        <f>IF(G302="","",64*G302)</f>
        <v/>
      </c>
      <c r="I302" s="13"/>
      <c r="J302" s="13" t="str">
        <f>IFERROR(IF(OR(D302="",D302=0),"",I302/D302*100),"")</f>
        <v/>
      </c>
      <c r="K302" s="14"/>
      <c r="L302" s="13" t="str">
        <f>IF(I302="","",I302*K302)</f>
        <v/>
      </c>
      <c r="M302" s="13" t="str">
        <f>IF(B302="","",IFERROR(SUMPRODUCT(ISNUMBER(B$3:B302)*(MONTH(IF(ISNUMBER(B$3:B302),B$3:B302,1))=MONTH(B302))*(YEAR(IF(ISNUMBER(B$3:B302),B$3:B302,1))=YEAR(B302))*IF(ISNUMBER(L$3:L302),L$3:L302,0)),""))</f>
        <v/>
      </c>
      <c r="N302" s="6"/>
      <c r="O302" s="7" t="str">
        <f>IF(AND(B302="",ISNUMBER(B303)),CHOOSE(MONTH(B303),"GENNAIO","FEBBRAIO","MARZO","APRILE","MAGGIO","GIUGNO","LUGLIO","AGOSTO","SETTEMBRE","OTTOBRE","NOVEMBRE","DICEMBRE")&amp;" "&amp;YEAR(B303),"")</f>
        <v/>
      </c>
      <c r="P302" s="12" t="str">
        <f>IF(K302=0.2,"CASA","")</f>
        <v/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" customHeight="1" x14ac:dyDescent="0.2">
      <c r="A303" s="5" t="str">
        <f>IF(AND(B303="",ISNUMBER(B304)),CHOOSE(MONTH(B304),"GENNAIO","FEBBRAIO","MARZO","APRILE","MAGGIO","GIUGNO","LUGLIO","AGOSTO","SETTEMBRE","OTTOBRE","NOVEMBRE","DICEMBRE")&amp;" "&amp;YEAR(B304),"")</f>
        <v/>
      </c>
      <c r="B303" s="11"/>
      <c r="C303" s="12"/>
      <c r="D303" s="12" t="str">
        <f>IF(C303="","",C303-IF(C302&lt;&gt;"",C302,IF(C301&lt;&gt;"",C301,IF(C300&lt;&gt;"",C300,0))))</f>
        <v/>
      </c>
      <c r="E303" s="12"/>
      <c r="F303" s="12"/>
      <c r="G303" s="9" t="str">
        <f>IF(AND(E303="",F303=""),"",IF(OR(E303&gt;1,F303&gt;1),(F303-E303)/100,F303-E303))</f>
        <v/>
      </c>
      <c r="H303" s="12" t="str">
        <f>IF(G303="","",64*G303)</f>
        <v/>
      </c>
      <c r="I303" s="13"/>
      <c r="J303" s="13" t="str">
        <f>IFERROR(IF(OR(D303="",D303=0),"",I303/D303*100),"")</f>
        <v/>
      </c>
      <c r="K303" s="14"/>
      <c r="L303" s="13" t="str">
        <f>IF(I303="","",I303*K303)</f>
        <v/>
      </c>
      <c r="M303" s="13" t="str">
        <f>IF(B303="","",IFERROR(SUMPRODUCT(ISNUMBER(B$3:B303)*(MONTH(IF(ISNUMBER(B$3:B303),B$3:B303,1))=MONTH(B303))*(YEAR(IF(ISNUMBER(B$3:B303),B$3:B303,1))=YEAR(B303))*IF(ISNUMBER(L$3:L303),L$3:L303,0)),""))</f>
        <v/>
      </c>
      <c r="N303" s="6"/>
      <c r="O303" s="7" t="str">
        <f>IF(AND(B303="",ISNUMBER(B304)),CHOOSE(MONTH(B304),"GENNAIO","FEBBRAIO","MARZO","APRILE","MAGGIO","GIUGNO","LUGLIO","AGOSTO","SETTEMBRE","OTTOBRE","NOVEMBRE","DICEMBRE")&amp;" "&amp;YEAR(B304),"")</f>
        <v/>
      </c>
      <c r="P303" s="12" t="str">
        <f>IF(K303=0.2,"CASA","")</f>
        <v/>
      </c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" customHeight="1" x14ac:dyDescent="0.2">
      <c r="A304" s="5" t="str">
        <f>IF(AND(B304="",ISNUMBER(B305)),CHOOSE(MONTH(B305),"GENNAIO","FEBBRAIO","MARZO","APRILE","MAGGIO","GIUGNO","LUGLIO","AGOSTO","SETTEMBRE","OTTOBRE","NOVEMBRE","DICEMBRE")&amp;" "&amp;YEAR(B305),"")</f>
        <v/>
      </c>
      <c r="B304" s="11"/>
      <c r="C304" s="12"/>
      <c r="D304" s="12" t="str">
        <f>IF(C304="","",C304-IF(C303&lt;&gt;"",C303,IF(C302&lt;&gt;"",C302,IF(C301&lt;&gt;"",C301,0))))</f>
        <v/>
      </c>
      <c r="E304" s="12"/>
      <c r="F304" s="12"/>
      <c r="G304" s="9" t="str">
        <f>IF(AND(E304="",F304=""),"",IF(OR(E304&gt;1,F304&gt;1),(F304-E304)/100,F304-E304))</f>
        <v/>
      </c>
      <c r="H304" s="12" t="str">
        <f>IF(G304="","",64*G304)</f>
        <v/>
      </c>
      <c r="I304" s="13"/>
      <c r="J304" s="13" t="str">
        <f>IFERROR(IF(OR(D304="",D304=0),"",I304/D304*100),"")</f>
        <v/>
      </c>
      <c r="K304" s="14"/>
      <c r="L304" s="13" t="str">
        <f>IF(I304="","",I304*K304)</f>
        <v/>
      </c>
      <c r="M304" s="13" t="str">
        <f>IF(B304="","",IFERROR(SUMPRODUCT(ISNUMBER(B$3:B304)*(MONTH(IF(ISNUMBER(B$3:B304),B$3:B304,1))=MONTH(B304))*(YEAR(IF(ISNUMBER(B$3:B304),B$3:B304,1))=YEAR(B304))*IF(ISNUMBER(L$3:L304),L$3:L304,0)),""))</f>
        <v/>
      </c>
      <c r="N304" s="6"/>
      <c r="O304" s="7" t="str">
        <f>IF(AND(B304="",ISNUMBER(B305)),CHOOSE(MONTH(B305),"GENNAIO","FEBBRAIO","MARZO","APRILE","MAGGIO","GIUGNO","LUGLIO","AGOSTO","SETTEMBRE","OTTOBRE","NOVEMBRE","DICEMBRE")&amp;" "&amp;YEAR(B305),"")</f>
        <v/>
      </c>
      <c r="P304" s="12" t="str">
        <f>IF(K304=0.2,"CASA","")</f>
        <v/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" customHeight="1" x14ac:dyDescent="0.2">
      <c r="A305" s="5" t="str">
        <f>IF(AND(B305="",ISNUMBER(B306)),CHOOSE(MONTH(B306),"GENNAIO","FEBBRAIO","MARZO","APRILE","MAGGIO","GIUGNO","LUGLIO","AGOSTO","SETTEMBRE","OTTOBRE","NOVEMBRE","DICEMBRE")&amp;" "&amp;YEAR(B306),"")</f>
        <v/>
      </c>
      <c r="B305" s="11"/>
      <c r="C305" s="12"/>
      <c r="D305" s="12" t="str">
        <f>IF(C305="","",C305-IF(C304&lt;&gt;"",C304,IF(C303&lt;&gt;"",C303,IF(C302&lt;&gt;"",C302,0))))</f>
        <v/>
      </c>
      <c r="E305" s="12"/>
      <c r="F305" s="12"/>
      <c r="G305" s="9" t="str">
        <f>IF(AND(E305="",F305=""),"",IF(OR(E305&gt;1,F305&gt;1),(F305-E305)/100,F305-E305))</f>
        <v/>
      </c>
      <c r="H305" s="12" t="str">
        <f>IF(G305="","",64*G305)</f>
        <v/>
      </c>
      <c r="I305" s="13"/>
      <c r="J305" s="13" t="str">
        <f>IFERROR(IF(OR(D305="",D305=0),"",I305/D305*100),"")</f>
        <v/>
      </c>
      <c r="K305" s="14"/>
      <c r="L305" s="13" t="str">
        <f>IF(I305="","",I305*K305)</f>
        <v/>
      </c>
      <c r="M305" s="13" t="str">
        <f>IF(B305="","",IFERROR(SUMPRODUCT(ISNUMBER(B$3:B305)*(MONTH(IF(ISNUMBER(B$3:B305),B$3:B305,1))=MONTH(B305))*(YEAR(IF(ISNUMBER(B$3:B305),B$3:B305,1))=YEAR(B305))*IF(ISNUMBER(L$3:L305),L$3:L305,0)),""))</f>
        <v/>
      </c>
      <c r="N305" s="6"/>
      <c r="O305" s="7" t="str">
        <f>IF(AND(B305="",ISNUMBER(B306)),CHOOSE(MONTH(B306),"GENNAIO","FEBBRAIO","MARZO","APRILE","MAGGIO","GIUGNO","LUGLIO","AGOSTO","SETTEMBRE","OTTOBRE","NOVEMBRE","DICEMBRE")&amp;" "&amp;YEAR(B306),"")</f>
        <v/>
      </c>
      <c r="P305" s="12" t="str">
        <f>IF(K305=0.2,"CASA","")</f>
        <v/>
      </c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" customHeight="1" x14ac:dyDescent="0.2">
      <c r="A306" s="5" t="str">
        <f>IF(AND(B306="",ISNUMBER(B307)),CHOOSE(MONTH(B307),"GENNAIO","FEBBRAIO","MARZO","APRILE","MAGGIO","GIUGNO","LUGLIO","AGOSTO","SETTEMBRE","OTTOBRE","NOVEMBRE","DICEMBRE")&amp;" "&amp;YEAR(B307),"")</f>
        <v/>
      </c>
      <c r="B306" s="11"/>
      <c r="C306" s="12"/>
      <c r="D306" s="12" t="str">
        <f>IF(C306="","",C306-IF(C305&lt;&gt;"",C305,IF(C304&lt;&gt;"",C304,IF(C303&lt;&gt;"",C303,0))))</f>
        <v/>
      </c>
      <c r="E306" s="12"/>
      <c r="F306" s="12"/>
      <c r="G306" s="9" t="str">
        <f>IF(AND(E306="",F306=""),"",IF(OR(E306&gt;1,F306&gt;1),(F306-E306)/100,F306-E306))</f>
        <v/>
      </c>
      <c r="H306" s="12" t="str">
        <f>IF(G306="","",64*G306)</f>
        <v/>
      </c>
      <c r="I306" s="13"/>
      <c r="J306" s="13" t="str">
        <f>IFERROR(IF(OR(D306="",D306=0),"",I306/D306*100),"")</f>
        <v/>
      </c>
      <c r="K306" s="14"/>
      <c r="L306" s="13" t="str">
        <f>IF(I306="","",I306*K306)</f>
        <v/>
      </c>
      <c r="M306" s="13" t="str">
        <f>IF(B306="","",IFERROR(SUMPRODUCT(ISNUMBER(B$3:B306)*(MONTH(IF(ISNUMBER(B$3:B306),B$3:B306,1))=MONTH(B306))*(YEAR(IF(ISNUMBER(B$3:B306),B$3:B306,1))=YEAR(B306))*IF(ISNUMBER(L$3:L306),L$3:L306,0)),""))</f>
        <v/>
      </c>
      <c r="N306" s="6"/>
      <c r="O306" s="7" t="str">
        <f>IF(AND(B306="",ISNUMBER(B307)),CHOOSE(MONTH(B307),"GENNAIO","FEBBRAIO","MARZO","APRILE","MAGGIO","GIUGNO","LUGLIO","AGOSTO","SETTEMBRE","OTTOBRE","NOVEMBRE","DICEMBRE")&amp;" "&amp;YEAR(B307),"")</f>
        <v/>
      </c>
      <c r="P306" s="12" t="str">
        <f>IF(K306=0.2,"CASA","")</f>
        <v/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" customHeight="1" x14ac:dyDescent="0.2">
      <c r="A307" s="5" t="str">
        <f>IF(AND(B307="",ISNUMBER(B308)),CHOOSE(MONTH(B308),"GENNAIO","FEBBRAIO","MARZO","APRILE","MAGGIO","GIUGNO","LUGLIO","AGOSTO","SETTEMBRE","OTTOBRE","NOVEMBRE","DICEMBRE")&amp;" "&amp;YEAR(B308),"")</f>
        <v/>
      </c>
      <c r="B307" s="11"/>
      <c r="C307" s="12"/>
      <c r="D307" s="12" t="str">
        <f>IF(C307="","",C307-IF(C306&lt;&gt;"",C306,IF(C305&lt;&gt;"",C305,IF(C304&lt;&gt;"",C304,0))))</f>
        <v/>
      </c>
      <c r="E307" s="12"/>
      <c r="F307" s="12"/>
      <c r="G307" s="9" t="str">
        <f>IF(AND(E307="",F307=""),"",IF(OR(E307&gt;1,F307&gt;1),(F307-E307)/100,F307-E307))</f>
        <v/>
      </c>
      <c r="H307" s="12" t="str">
        <f>IF(G307="","",64*G307)</f>
        <v/>
      </c>
      <c r="I307" s="13"/>
      <c r="J307" s="13" t="str">
        <f>IFERROR(IF(OR(D307="",D307=0),"",I307/D307*100),"")</f>
        <v/>
      </c>
      <c r="K307" s="14"/>
      <c r="L307" s="13" t="str">
        <f>IF(I307="","",I307*K307)</f>
        <v/>
      </c>
      <c r="M307" s="13" t="str">
        <f>IF(B307="","",IFERROR(SUMPRODUCT(ISNUMBER(B$3:B307)*(MONTH(IF(ISNUMBER(B$3:B307),B$3:B307,1))=MONTH(B307))*(YEAR(IF(ISNUMBER(B$3:B307),B$3:B307,1))=YEAR(B307))*IF(ISNUMBER(L$3:L307),L$3:L307,0)),""))</f>
        <v/>
      </c>
      <c r="N307" s="6"/>
      <c r="O307" s="7" t="str">
        <f>IF(AND(B307="",ISNUMBER(B308)),CHOOSE(MONTH(B308),"GENNAIO","FEBBRAIO","MARZO","APRILE","MAGGIO","GIUGNO","LUGLIO","AGOSTO","SETTEMBRE","OTTOBRE","NOVEMBRE","DICEMBRE")&amp;" "&amp;YEAR(B308),"")</f>
        <v/>
      </c>
      <c r="P307" s="12" t="str">
        <f>IF(K307=0.2,"CASA","")</f>
        <v/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" customHeight="1" x14ac:dyDescent="0.2">
      <c r="A308" s="5" t="str">
        <f>IF(AND(B308="",ISNUMBER(B309)),CHOOSE(MONTH(B309),"GENNAIO","FEBBRAIO","MARZO","APRILE","MAGGIO","GIUGNO","LUGLIO","AGOSTO","SETTEMBRE","OTTOBRE","NOVEMBRE","DICEMBRE")&amp;" "&amp;YEAR(B309),"")</f>
        <v/>
      </c>
      <c r="B308" s="11"/>
      <c r="C308" s="12"/>
      <c r="D308" s="12" t="str">
        <f>IF(C308="","",C308-IF(C307&lt;&gt;"",C307,IF(C306&lt;&gt;"",C306,IF(C305&lt;&gt;"",C305,0))))</f>
        <v/>
      </c>
      <c r="E308" s="12"/>
      <c r="F308" s="12"/>
      <c r="G308" s="9" t="str">
        <f>IF(AND(E308="",F308=""),"",IF(OR(E308&gt;1,F308&gt;1),(F308-E308)/100,F308-E308))</f>
        <v/>
      </c>
      <c r="H308" s="12" t="str">
        <f>IF(G308="","",64*G308)</f>
        <v/>
      </c>
      <c r="I308" s="13"/>
      <c r="J308" s="13" t="str">
        <f>IFERROR(IF(OR(D308="",D308=0),"",I308/D308*100),"")</f>
        <v/>
      </c>
      <c r="K308" s="14"/>
      <c r="L308" s="13" t="str">
        <f>IF(I308="","",I308*K308)</f>
        <v/>
      </c>
      <c r="M308" s="13" t="str">
        <f>IF(B308="","",IFERROR(SUMPRODUCT(ISNUMBER(B$3:B308)*(MONTH(IF(ISNUMBER(B$3:B308),B$3:B308,1))=MONTH(B308))*(YEAR(IF(ISNUMBER(B$3:B308),B$3:B308,1))=YEAR(B308))*IF(ISNUMBER(L$3:L308),L$3:L308,0)),""))</f>
        <v/>
      </c>
      <c r="N308" s="6"/>
      <c r="O308" s="7" t="str">
        <f>IF(AND(B308="",ISNUMBER(B309)),CHOOSE(MONTH(B309),"GENNAIO","FEBBRAIO","MARZO","APRILE","MAGGIO","GIUGNO","LUGLIO","AGOSTO","SETTEMBRE","OTTOBRE","NOVEMBRE","DICEMBRE")&amp;" "&amp;YEAR(B309),"")</f>
        <v/>
      </c>
      <c r="P308" s="12" t="str">
        <f>IF(K308=0.2,"CASA","")</f>
        <v/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" customHeight="1" x14ac:dyDescent="0.2">
      <c r="A309" s="5" t="str">
        <f>IF(AND(B309="",ISNUMBER(B310)),CHOOSE(MONTH(B310),"GENNAIO","FEBBRAIO","MARZO","APRILE","MAGGIO","GIUGNO","LUGLIO","AGOSTO","SETTEMBRE","OTTOBRE","NOVEMBRE","DICEMBRE")&amp;" "&amp;YEAR(B310),"")</f>
        <v/>
      </c>
      <c r="B309" s="11"/>
      <c r="C309" s="12"/>
      <c r="D309" s="12" t="str">
        <f>IF(C309="","",C309-IF(C308&lt;&gt;"",C308,IF(C307&lt;&gt;"",C307,IF(C306&lt;&gt;"",C306,0))))</f>
        <v/>
      </c>
      <c r="E309" s="12"/>
      <c r="F309" s="12"/>
      <c r="G309" s="9" t="str">
        <f>IF(AND(E309="",F309=""),"",IF(OR(E309&gt;1,F309&gt;1),(F309-E309)/100,F309-E309))</f>
        <v/>
      </c>
      <c r="H309" s="12" t="str">
        <f>IF(G309="","",64*G309)</f>
        <v/>
      </c>
      <c r="I309" s="13"/>
      <c r="J309" s="13" t="str">
        <f>IFERROR(IF(OR(D309="",D309=0),"",I309/D309*100),"")</f>
        <v/>
      </c>
      <c r="K309" s="14"/>
      <c r="L309" s="13" t="str">
        <f>IF(I309="","",I309*K309)</f>
        <v/>
      </c>
      <c r="M309" s="13" t="str">
        <f>IF(B309="","",IFERROR(SUMPRODUCT(ISNUMBER(B$3:B309)*(MONTH(IF(ISNUMBER(B$3:B309),B$3:B309,1))=MONTH(B309))*(YEAR(IF(ISNUMBER(B$3:B309),B$3:B309,1))=YEAR(B309))*IF(ISNUMBER(L$3:L309),L$3:L309,0)),""))</f>
        <v/>
      </c>
      <c r="N309" s="6"/>
      <c r="O309" s="7" t="str">
        <f>IF(AND(B309="",ISNUMBER(B310)),CHOOSE(MONTH(B310),"GENNAIO","FEBBRAIO","MARZO","APRILE","MAGGIO","GIUGNO","LUGLIO","AGOSTO","SETTEMBRE","OTTOBRE","NOVEMBRE","DICEMBRE")&amp;" "&amp;YEAR(B310),"")</f>
        <v/>
      </c>
      <c r="P309" s="12" t="str">
        <f>IF(K309=0.2,"CASA","")</f>
        <v/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" customHeight="1" x14ac:dyDescent="0.2">
      <c r="A310" s="5" t="str">
        <f>IF(AND(B310="",ISNUMBER(B311)),CHOOSE(MONTH(B311),"GENNAIO","FEBBRAIO","MARZO","APRILE","MAGGIO","GIUGNO","LUGLIO","AGOSTO","SETTEMBRE","OTTOBRE","NOVEMBRE","DICEMBRE")&amp;" "&amp;YEAR(B311),"")</f>
        <v/>
      </c>
      <c r="B310" s="11"/>
      <c r="C310" s="12"/>
      <c r="D310" s="12" t="str">
        <f>IF(C310="","",C310-IF(C309&lt;&gt;"",C309,IF(C308&lt;&gt;"",C308,IF(C307&lt;&gt;"",C307,0))))</f>
        <v/>
      </c>
      <c r="E310" s="12"/>
      <c r="F310" s="12"/>
      <c r="G310" s="9" t="str">
        <f>IF(AND(E310="",F310=""),"",IF(OR(E310&gt;1,F310&gt;1),(F310-E310)/100,F310-E310))</f>
        <v/>
      </c>
      <c r="H310" s="12" t="str">
        <f>IF(G310="","",64*G310)</f>
        <v/>
      </c>
      <c r="I310" s="13"/>
      <c r="J310" s="13" t="str">
        <f>IFERROR(IF(OR(D310="",D310=0),"",I310/D310*100),"")</f>
        <v/>
      </c>
      <c r="K310" s="14"/>
      <c r="L310" s="13" t="str">
        <f>IF(I310="","",I310*K310)</f>
        <v/>
      </c>
      <c r="M310" s="13" t="str">
        <f>IF(B310="","",IFERROR(SUMPRODUCT(ISNUMBER(B$3:B310)*(MONTH(IF(ISNUMBER(B$3:B310),B$3:B310,1))=MONTH(B310))*(YEAR(IF(ISNUMBER(B$3:B310),B$3:B310,1))=YEAR(B310))*IF(ISNUMBER(L$3:L310),L$3:L310,0)),""))</f>
        <v/>
      </c>
      <c r="N310" s="6"/>
      <c r="O310" s="7" t="str">
        <f>IF(AND(B310="",ISNUMBER(B311)),CHOOSE(MONTH(B311),"GENNAIO","FEBBRAIO","MARZO","APRILE","MAGGIO","GIUGNO","LUGLIO","AGOSTO","SETTEMBRE","OTTOBRE","NOVEMBRE","DICEMBRE")&amp;" "&amp;YEAR(B311),"")</f>
        <v/>
      </c>
      <c r="P310" s="12" t="str">
        <f>IF(K310=0.2,"CASA","")</f>
        <v/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" customHeight="1" x14ac:dyDescent="0.2">
      <c r="A311" s="5" t="str">
        <f>IF(AND(B311="",ISNUMBER(B312)),CHOOSE(MONTH(B312),"GENNAIO","FEBBRAIO","MARZO","APRILE","MAGGIO","GIUGNO","LUGLIO","AGOSTO","SETTEMBRE","OTTOBRE","NOVEMBRE","DICEMBRE")&amp;" "&amp;YEAR(B312),"")</f>
        <v/>
      </c>
      <c r="B311" s="11"/>
      <c r="C311" s="12"/>
      <c r="D311" s="12" t="str">
        <f>IF(C311="","",C311-IF(C310&lt;&gt;"",C310,IF(C309&lt;&gt;"",C309,IF(C308&lt;&gt;"",C308,0))))</f>
        <v/>
      </c>
      <c r="E311" s="12"/>
      <c r="F311" s="12"/>
      <c r="G311" s="9" t="str">
        <f>IF(AND(E311="",F311=""),"",IF(OR(E311&gt;1,F311&gt;1),(F311-E311)/100,F311-E311))</f>
        <v/>
      </c>
      <c r="H311" s="12" t="str">
        <f>IF(G311="","",64*G311)</f>
        <v/>
      </c>
      <c r="I311" s="13"/>
      <c r="J311" s="13" t="str">
        <f>IFERROR(IF(OR(D311="",D311=0),"",I311/D311*100),"")</f>
        <v/>
      </c>
      <c r="K311" s="14"/>
      <c r="L311" s="13" t="str">
        <f>IF(I311="","",I311*K311)</f>
        <v/>
      </c>
      <c r="M311" s="13" t="str">
        <f>IF(B311="","",IFERROR(SUMPRODUCT(ISNUMBER(B$3:B311)*(MONTH(IF(ISNUMBER(B$3:B311),B$3:B311,1))=MONTH(B311))*(YEAR(IF(ISNUMBER(B$3:B311),B$3:B311,1))=YEAR(B311))*IF(ISNUMBER(L$3:L311),L$3:L311,0)),""))</f>
        <v/>
      </c>
      <c r="N311" s="6"/>
      <c r="O311" s="7" t="str">
        <f>IF(AND(B311="",ISNUMBER(B312)),CHOOSE(MONTH(B312),"GENNAIO","FEBBRAIO","MARZO","APRILE","MAGGIO","GIUGNO","LUGLIO","AGOSTO","SETTEMBRE","OTTOBRE","NOVEMBRE","DICEMBRE")&amp;" "&amp;YEAR(B312),"")</f>
        <v/>
      </c>
      <c r="P311" s="12" t="str">
        <f>IF(K311=0.2,"CASA","")</f>
        <v/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" customHeight="1" x14ac:dyDescent="0.2">
      <c r="A312" s="5" t="str">
        <f>IF(AND(B312="",ISNUMBER(B313)),CHOOSE(MONTH(B313),"GENNAIO","FEBBRAIO","MARZO","APRILE","MAGGIO","GIUGNO","LUGLIO","AGOSTO","SETTEMBRE","OTTOBRE","NOVEMBRE","DICEMBRE")&amp;" "&amp;YEAR(B313),"")</f>
        <v/>
      </c>
      <c r="B312" s="11"/>
      <c r="C312" s="12"/>
      <c r="D312" s="12" t="str">
        <f>IF(C312="","",C312-IF(C311&lt;&gt;"",C311,IF(C310&lt;&gt;"",C310,IF(C309&lt;&gt;"",C309,0))))</f>
        <v/>
      </c>
      <c r="E312" s="12"/>
      <c r="F312" s="12"/>
      <c r="G312" s="9" t="str">
        <f>IF(AND(E312="",F312=""),"",IF(OR(E312&gt;1,F312&gt;1),(F312-E312)/100,F312-E312))</f>
        <v/>
      </c>
      <c r="H312" s="12" t="str">
        <f>IF(G312="","",64*G312)</f>
        <v/>
      </c>
      <c r="I312" s="13"/>
      <c r="J312" s="13" t="str">
        <f>IFERROR(IF(OR(D312="",D312=0),"",I312/D312*100),"")</f>
        <v/>
      </c>
      <c r="K312" s="14"/>
      <c r="L312" s="13" t="str">
        <f>IF(I312="","",I312*K312)</f>
        <v/>
      </c>
      <c r="M312" s="13" t="str">
        <f>IF(B312="","",IFERROR(SUMPRODUCT(ISNUMBER(B$3:B312)*(MONTH(IF(ISNUMBER(B$3:B312),B$3:B312,1))=MONTH(B312))*(YEAR(IF(ISNUMBER(B$3:B312),B$3:B312,1))=YEAR(B312))*IF(ISNUMBER(L$3:L312),L$3:L312,0)),""))</f>
        <v/>
      </c>
      <c r="N312" s="6"/>
      <c r="O312" s="7" t="str">
        <f>IF(AND(B312="",ISNUMBER(B313)),CHOOSE(MONTH(B313),"GENNAIO","FEBBRAIO","MARZO","APRILE","MAGGIO","GIUGNO","LUGLIO","AGOSTO","SETTEMBRE","OTTOBRE","NOVEMBRE","DICEMBRE")&amp;" "&amp;YEAR(B313),"")</f>
        <v/>
      </c>
      <c r="P312" s="12" t="str">
        <f>IF(K312=0.2,"CASA","")</f>
        <v/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" customHeight="1" x14ac:dyDescent="0.2">
      <c r="A313" s="5" t="str">
        <f>IF(AND(B313="",ISNUMBER(B314)),CHOOSE(MONTH(B314),"GENNAIO","FEBBRAIO","MARZO","APRILE","MAGGIO","GIUGNO","LUGLIO","AGOSTO","SETTEMBRE","OTTOBRE","NOVEMBRE","DICEMBRE")&amp;" "&amp;YEAR(B314),"")</f>
        <v/>
      </c>
      <c r="B313" s="11"/>
      <c r="C313" s="12"/>
      <c r="D313" s="12" t="str">
        <f>IF(C313="","",C313-IF(C312&lt;&gt;"",C312,IF(C311&lt;&gt;"",C311,IF(C310&lt;&gt;"",C310,0))))</f>
        <v/>
      </c>
      <c r="E313" s="12"/>
      <c r="F313" s="12"/>
      <c r="G313" s="9" t="str">
        <f>IF(AND(E313="",F313=""),"",IF(OR(E313&gt;1,F313&gt;1),(F313-E313)/100,F313-E313))</f>
        <v/>
      </c>
      <c r="H313" s="12" t="str">
        <f>IF(G313="","",64*G313)</f>
        <v/>
      </c>
      <c r="I313" s="13"/>
      <c r="J313" s="13" t="str">
        <f>IFERROR(IF(OR(D313="",D313=0),"",I313/D313*100),"")</f>
        <v/>
      </c>
      <c r="K313" s="14"/>
      <c r="L313" s="13" t="str">
        <f>IF(I313="","",I313*K313)</f>
        <v/>
      </c>
      <c r="M313" s="13" t="str">
        <f>IF(B313="","",IFERROR(SUMPRODUCT(ISNUMBER(B$3:B313)*(MONTH(IF(ISNUMBER(B$3:B313),B$3:B313,1))=MONTH(B313))*(YEAR(IF(ISNUMBER(B$3:B313),B$3:B313,1))=YEAR(B313))*IF(ISNUMBER(L$3:L313),L$3:L313,0)),""))</f>
        <v/>
      </c>
      <c r="N313" s="6"/>
      <c r="O313" s="7" t="str">
        <f>IF(AND(B313="",ISNUMBER(B314)),CHOOSE(MONTH(B314),"GENNAIO","FEBBRAIO","MARZO","APRILE","MAGGIO","GIUGNO","LUGLIO","AGOSTO","SETTEMBRE","OTTOBRE","NOVEMBRE","DICEMBRE")&amp;" "&amp;YEAR(B314),"")</f>
        <v/>
      </c>
      <c r="P313" s="12" t="str">
        <f>IF(K313=0.2,"CASA","")</f>
        <v/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" customHeight="1" x14ac:dyDescent="0.2">
      <c r="A314" s="5" t="str">
        <f>IF(AND(B314="",ISNUMBER(B315)),CHOOSE(MONTH(B315),"GENNAIO","FEBBRAIO","MARZO","APRILE","MAGGIO","GIUGNO","LUGLIO","AGOSTO","SETTEMBRE","OTTOBRE","NOVEMBRE","DICEMBRE")&amp;" "&amp;YEAR(B315),"")</f>
        <v/>
      </c>
      <c r="B314" s="11"/>
      <c r="C314" s="12"/>
      <c r="D314" s="12" t="str">
        <f>IF(C314="","",C314-IF(C313&lt;&gt;"",C313,IF(C312&lt;&gt;"",C312,IF(C311&lt;&gt;"",C311,0))))</f>
        <v/>
      </c>
      <c r="E314" s="12"/>
      <c r="F314" s="12"/>
      <c r="G314" s="9" t="str">
        <f>IF(AND(E314="",F314=""),"",IF(OR(E314&gt;1,F314&gt;1),(F314-E314)/100,F314-E314))</f>
        <v/>
      </c>
      <c r="H314" s="12" t="str">
        <f>IF(G314="","",64*G314)</f>
        <v/>
      </c>
      <c r="I314" s="13"/>
      <c r="J314" s="13" t="str">
        <f>IFERROR(IF(OR(D314="",D314=0),"",I314/D314*100),"")</f>
        <v/>
      </c>
      <c r="K314" s="14"/>
      <c r="L314" s="13" t="str">
        <f>IF(I314="","",I314*K314)</f>
        <v/>
      </c>
      <c r="M314" s="13" t="str">
        <f>IF(B314="","",IFERROR(SUMPRODUCT(ISNUMBER(B$3:B314)*(MONTH(IF(ISNUMBER(B$3:B314),B$3:B314,1))=MONTH(B314))*(YEAR(IF(ISNUMBER(B$3:B314),B$3:B314,1))=YEAR(B314))*IF(ISNUMBER(L$3:L314),L$3:L314,0)),""))</f>
        <v/>
      </c>
      <c r="N314" s="6"/>
      <c r="O314" s="7" t="str">
        <f>IF(AND(B314="",ISNUMBER(B315)),CHOOSE(MONTH(B315),"GENNAIO","FEBBRAIO","MARZO","APRILE","MAGGIO","GIUGNO","LUGLIO","AGOSTO","SETTEMBRE","OTTOBRE","NOVEMBRE","DICEMBRE")&amp;" "&amp;YEAR(B315),"")</f>
        <v/>
      </c>
      <c r="P314" s="12" t="str">
        <f>IF(K314=0.2,"CASA","")</f>
        <v/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" customHeight="1" x14ac:dyDescent="0.2">
      <c r="A315" s="5" t="str">
        <f>IF(AND(B315="",ISNUMBER(B316)),CHOOSE(MONTH(B316),"GENNAIO","FEBBRAIO","MARZO","APRILE","MAGGIO","GIUGNO","LUGLIO","AGOSTO","SETTEMBRE","OTTOBRE","NOVEMBRE","DICEMBRE")&amp;" "&amp;YEAR(B316),"")</f>
        <v/>
      </c>
      <c r="B315" s="11"/>
      <c r="C315" s="12"/>
      <c r="D315" s="12" t="str">
        <f>IF(C315="","",C315-IF(C314&lt;&gt;"",C314,IF(C313&lt;&gt;"",C313,IF(C312&lt;&gt;"",C312,0))))</f>
        <v/>
      </c>
      <c r="E315" s="12"/>
      <c r="F315" s="12"/>
      <c r="G315" s="9" t="str">
        <f>IF(AND(E315="",F315=""),"",IF(OR(E315&gt;1,F315&gt;1),(F315-E315)/100,F315-E315))</f>
        <v/>
      </c>
      <c r="H315" s="12" t="str">
        <f>IF(G315="","",64*G315)</f>
        <v/>
      </c>
      <c r="I315" s="13"/>
      <c r="J315" s="13" t="str">
        <f>IFERROR(IF(OR(D315="",D315=0),"",I315/D315*100),"")</f>
        <v/>
      </c>
      <c r="K315" s="14"/>
      <c r="L315" s="13" t="str">
        <f>IF(I315="","",I315*K315)</f>
        <v/>
      </c>
      <c r="M315" s="13" t="str">
        <f>IF(B315="","",IFERROR(SUMPRODUCT(ISNUMBER(B$3:B315)*(MONTH(IF(ISNUMBER(B$3:B315),B$3:B315,1))=MONTH(B315))*(YEAR(IF(ISNUMBER(B$3:B315),B$3:B315,1))=YEAR(B315))*IF(ISNUMBER(L$3:L315),L$3:L315,0)),""))</f>
        <v/>
      </c>
      <c r="N315" s="6"/>
      <c r="O315" s="7" t="str">
        <f>IF(AND(B315="",ISNUMBER(B316)),CHOOSE(MONTH(B316),"GENNAIO","FEBBRAIO","MARZO","APRILE","MAGGIO","GIUGNO","LUGLIO","AGOSTO","SETTEMBRE","OTTOBRE","NOVEMBRE","DICEMBRE")&amp;" "&amp;YEAR(B316),"")</f>
        <v/>
      </c>
      <c r="P315" s="12" t="str">
        <f>IF(K315=0.2,"CASA","")</f>
        <v/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" customHeight="1" x14ac:dyDescent="0.2">
      <c r="A316" s="5" t="str">
        <f>IF(AND(B316="",ISNUMBER(B317)),CHOOSE(MONTH(B317),"GENNAIO","FEBBRAIO","MARZO","APRILE","MAGGIO","GIUGNO","LUGLIO","AGOSTO","SETTEMBRE","OTTOBRE","NOVEMBRE","DICEMBRE")&amp;" "&amp;YEAR(B317),"")</f>
        <v/>
      </c>
      <c r="B316" s="11"/>
      <c r="C316" s="12"/>
      <c r="D316" s="12" t="str">
        <f>IF(C316="","",C316-IF(C315&lt;&gt;"",C315,IF(C314&lt;&gt;"",C314,IF(C313&lt;&gt;"",C313,0))))</f>
        <v/>
      </c>
      <c r="E316" s="12"/>
      <c r="F316" s="12"/>
      <c r="G316" s="9" t="str">
        <f>IF(AND(E316="",F316=""),"",IF(OR(E316&gt;1,F316&gt;1),(F316-E316)/100,F316-E316))</f>
        <v/>
      </c>
      <c r="H316" s="12" t="str">
        <f>IF(G316="","",64*G316)</f>
        <v/>
      </c>
      <c r="I316" s="13"/>
      <c r="J316" s="13" t="str">
        <f>IFERROR(IF(OR(D316="",D316=0),"",I316/D316*100),"")</f>
        <v/>
      </c>
      <c r="K316" s="14"/>
      <c r="L316" s="13" t="str">
        <f>IF(I316="","",I316*K316)</f>
        <v/>
      </c>
      <c r="M316" s="13" t="str">
        <f>IF(B316="","",IFERROR(SUMPRODUCT(ISNUMBER(B$3:B316)*(MONTH(IF(ISNUMBER(B$3:B316),B$3:B316,1))=MONTH(B316))*(YEAR(IF(ISNUMBER(B$3:B316),B$3:B316,1))=YEAR(B316))*IF(ISNUMBER(L$3:L316),L$3:L316,0)),""))</f>
        <v/>
      </c>
      <c r="N316" s="6"/>
      <c r="O316" s="7" t="str">
        <f>IF(AND(B316="",ISNUMBER(B317)),CHOOSE(MONTH(B317),"GENNAIO","FEBBRAIO","MARZO","APRILE","MAGGIO","GIUGNO","LUGLIO","AGOSTO","SETTEMBRE","OTTOBRE","NOVEMBRE","DICEMBRE")&amp;" "&amp;YEAR(B317),"")</f>
        <v/>
      </c>
      <c r="P316" s="12" t="str">
        <f>IF(K316=0.2,"CASA","")</f>
        <v/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" customHeight="1" x14ac:dyDescent="0.2">
      <c r="A317" s="5" t="str">
        <f>IF(AND(B317="",ISNUMBER(B318)),CHOOSE(MONTH(B318),"GENNAIO","FEBBRAIO","MARZO","APRILE","MAGGIO","GIUGNO","LUGLIO","AGOSTO","SETTEMBRE","OTTOBRE","NOVEMBRE","DICEMBRE")&amp;" "&amp;YEAR(B318),"")</f>
        <v/>
      </c>
      <c r="B317" s="11"/>
      <c r="C317" s="12"/>
      <c r="D317" s="12" t="str">
        <f>IF(C317="","",C317-IF(C316&lt;&gt;"",C316,IF(C315&lt;&gt;"",C315,IF(C314&lt;&gt;"",C314,0))))</f>
        <v/>
      </c>
      <c r="E317" s="12"/>
      <c r="F317" s="12"/>
      <c r="G317" s="9" t="str">
        <f>IF(AND(E317="",F317=""),"",IF(OR(E317&gt;1,F317&gt;1),(F317-E317)/100,F317-E317))</f>
        <v/>
      </c>
      <c r="H317" s="12" t="str">
        <f>IF(G317="","",64*G317)</f>
        <v/>
      </c>
      <c r="I317" s="13"/>
      <c r="J317" s="13" t="str">
        <f>IFERROR(IF(OR(D317="",D317=0),"",I317/D317*100),"")</f>
        <v/>
      </c>
      <c r="K317" s="14"/>
      <c r="L317" s="13" t="str">
        <f>IF(I317="","",I317*K317)</f>
        <v/>
      </c>
      <c r="M317" s="13" t="str">
        <f>IF(B317="","",IFERROR(SUMPRODUCT(ISNUMBER(B$3:B317)*(MONTH(IF(ISNUMBER(B$3:B317),B$3:B317,1))=MONTH(B317))*(YEAR(IF(ISNUMBER(B$3:B317),B$3:B317,1))=YEAR(B317))*IF(ISNUMBER(L$3:L317),L$3:L317,0)),""))</f>
        <v/>
      </c>
      <c r="N317" s="6"/>
      <c r="O317" s="7" t="str">
        <f>IF(AND(B317="",ISNUMBER(B318)),CHOOSE(MONTH(B318),"GENNAIO","FEBBRAIO","MARZO","APRILE","MAGGIO","GIUGNO","LUGLIO","AGOSTO","SETTEMBRE","OTTOBRE","NOVEMBRE","DICEMBRE")&amp;" "&amp;YEAR(B318),"")</f>
        <v/>
      </c>
      <c r="P317" s="12" t="str">
        <f>IF(K317=0.2,"CASA","")</f>
        <v/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" customHeight="1" x14ac:dyDescent="0.2">
      <c r="A318" s="5" t="str">
        <f>IF(AND(B318="",ISNUMBER(B319)),CHOOSE(MONTH(B319),"GENNAIO","FEBBRAIO","MARZO","APRILE","MAGGIO","GIUGNO","LUGLIO","AGOSTO","SETTEMBRE","OTTOBRE","NOVEMBRE","DICEMBRE")&amp;" "&amp;YEAR(B319),"")</f>
        <v/>
      </c>
      <c r="B318" s="11"/>
      <c r="C318" s="12"/>
      <c r="D318" s="12" t="str">
        <f>IF(C318="","",C318-IF(C317&lt;&gt;"",C317,IF(C316&lt;&gt;"",C316,IF(C315&lt;&gt;"",C315,0))))</f>
        <v/>
      </c>
      <c r="E318" s="12"/>
      <c r="F318" s="12"/>
      <c r="G318" s="9" t="str">
        <f>IF(AND(E318="",F318=""),"",IF(OR(E318&gt;1,F318&gt;1),(F318-E318)/100,F318-E318))</f>
        <v/>
      </c>
      <c r="H318" s="12" t="str">
        <f>IF(G318="","",64*G318)</f>
        <v/>
      </c>
      <c r="I318" s="13"/>
      <c r="J318" s="13" t="str">
        <f>IFERROR(IF(OR(D318="",D318=0),"",I318/D318*100),"")</f>
        <v/>
      </c>
      <c r="K318" s="14"/>
      <c r="L318" s="13" t="str">
        <f>IF(I318="","",I318*K318)</f>
        <v/>
      </c>
      <c r="M318" s="13" t="str">
        <f>IF(B318="","",IFERROR(SUMPRODUCT(ISNUMBER(B$3:B318)*(MONTH(IF(ISNUMBER(B$3:B318),B$3:B318,1))=MONTH(B318))*(YEAR(IF(ISNUMBER(B$3:B318),B$3:B318,1))=YEAR(B318))*IF(ISNUMBER(L$3:L318),L$3:L318,0)),""))</f>
        <v/>
      </c>
      <c r="N318" s="6"/>
      <c r="O318" s="7" t="str">
        <f>IF(AND(B318="",ISNUMBER(B319)),CHOOSE(MONTH(B319),"GENNAIO","FEBBRAIO","MARZO","APRILE","MAGGIO","GIUGNO","LUGLIO","AGOSTO","SETTEMBRE","OTTOBRE","NOVEMBRE","DICEMBRE")&amp;" "&amp;YEAR(B319),"")</f>
        <v/>
      </c>
      <c r="P318" s="12" t="str">
        <f>IF(K318=0.2,"CASA","")</f>
        <v/>
      </c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" customHeight="1" x14ac:dyDescent="0.2">
      <c r="A319" s="5" t="str">
        <f>IF(AND(B319="",ISNUMBER(B320)),CHOOSE(MONTH(B320),"GENNAIO","FEBBRAIO","MARZO","APRILE","MAGGIO","GIUGNO","LUGLIO","AGOSTO","SETTEMBRE","OTTOBRE","NOVEMBRE","DICEMBRE")&amp;" "&amp;YEAR(B320),"")</f>
        <v/>
      </c>
      <c r="B319" s="11"/>
      <c r="C319" s="12"/>
      <c r="D319" s="12" t="str">
        <f>IF(C319="","",C319-IF(C318&lt;&gt;"",C318,IF(C317&lt;&gt;"",C317,IF(C316&lt;&gt;"",C316,0))))</f>
        <v/>
      </c>
      <c r="E319" s="12"/>
      <c r="F319" s="12"/>
      <c r="G319" s="9" t="str">
        <f>IF(AND(E319="",F319=""),"",IF(OR(E319&gt;1,F319&gt;1),(F319-E319)/100,F319-E319))</f>
        <v/>
      </c>
      <c r="H319" s="12" t="str">
        <f>IF(G319="","",64*G319)</f>
        <v/>
      </c>
      <c r="I319" s="13"/>
      <c r="J319" s="13" t="str">
        <f>IFERROR(IF(OR(D319="",D319=0),"",I319/D319*100),"")</f>
        <v/>
      </c>
      <c r="K319" s="14"/>
      <c r="L319" s="13" t="str">
        <f>IF(I319="","",I319*K319)</f>
        <v/>
      </c>
      <c r="M319" s="13" t="str">
        <f>IF(B319="","",IFERROR(SUMPRODUCT(ISNUMBER(B$3:B319)*(MONTH(IF(ISNUMBER(B$3:B319),B$3:B319,1))=MONTH(B319))*(YEAR(IF(ISNUMBER(B$3:B319),B$3:B319,1))=YEAR(B319))*IF(ISNUMBER(L$3:L319),L$3:L319,0)),""))</f>
        <v/>
      </c>
      <c r="N319" s="6"/>
      <c r="O319" s="7" t="str">
        <f>IF(AND(B319="",ISNUMBER(B320)),CHOOSE(MONTH(B320),"GENNAIO","FEBBRAIO","MARZO","APRILE","MAGGIO","GIUGNO","LUGLIO","AGOSTO","SETTEMBRE","OTTOBRE","NOVEMBRE","DICEMBRE")&amp;" "&amp;YEAR(B320),"")</f>
        <v/>
      </c>
      <c r="P319" s="12" t="str">
        <f>IF(K319=0.2,"CASA","")</f>
        <v/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" customHeight="1" x14ac:dyDescent="0.2">
      <c r="A320" s="5" t="str">
        <f>IF(AND(B320="",ISNUMBER(B321)),CHOOSE(MONTH(B321),"GENNAIO","FEBBRAIO","MARZO","APRILE","MAGGIO","GIUGNO","LUGLIO","AGOSTO","SETTEMBRE","OTTOBRE","NOVEMBRE","DICEMBRE")&amp;" "&amp;YEAR(B321),"")</f>
        <v/>
      </c>
      <c r="B320" s="11"/>
      <c r="C320" s="12"/>
      <c r="D320" s="12" t="str">
        <f>IF(C320="","",C320-IF(C319&lt;&gt;"",C319,IF(C318&lt;&gt;"",C318,IF(C317&lt;&gt;"",C317,0))))</f>
        <v/>
      </c>
      <c r="E320" s="12"/>
      <c r="F320" s="12"/>
      <c r="G320" s="9" t="str">
        <f>IF(AND(E320="",F320=""),"",IF(OR(E320&gt;1,F320&gt;1),(F320-E320)/100,F320-E320))</f>
        <v/>
      </c>
      <c r="H320" s="12" t="str">
        <f>IF(G320="","",64*G320)</f>
        <v/>
      </c>
      <c r="I320" s="13"/>
      <c r="J320" s="13" t="str">
        <f>IFERROR(IF(OR(D320="",D320=0),"",I320/D320*100),"")</f>
        <v/>
      </c>
      <c r="K320" s="14"/>
      <c r="L320" s="13" t="str">
        <f>IF(I320="","",I320*K320)</f>
        <v/>
      </c>
      <c r="M320" s="13" t="str">
        <f>IF(B320="","",IFERROR(SUMPRODUCT(ISNUMBER(B$3:B320)*(MONTH(IF(ISNUMBER(B$3:B320),B$3:B320,1))=MONTH(B320))*(YEAR(IF(ISNUMBER(B$3:B320),B$3:B320,1))=YEAR(B320))*IF(ISNUMBER(L$3:L320),L$3:L320,0)),""))</f>
        <v/>
      </c>
      <c r="N320" s="6"/>
      <c r="O320" s="7" t="str">
        <f>IF(AND(B320="",ISNUMBER(B321)),CHOOSE(MONTH(B321),"GENNAIO","FEBBRAIO","MARZO","APRILE","MAGGIO","GIUGNO","LUGLIO","AGOSTO","SETTEMBRE","OTTOBRE","NOVEMBRE","DICEMBRE")&amp;" "&amp;YEAR(B321),"")</f>
        <v/>
      </c>
      <c r="P320" s="12" t="str">
        <f>IF(K320=0.2,"CASA","")</f>
        <v/>
      </c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" customHeight="1" x14ac:dyDescent="0.2">
      <c r="A321" s="5" t="str">
        <f>IF(AND(B321="",ISNUMBER(B322)),CHOOSE(MONTH(B322),"GENNAIO","FEBBRAIO","MARZO","APRILE","MAGGIO","GIUGNO","LUGLIO","AGOSTO","SETTEMBRE","OTTOBRE","NOVEMBRE","DICEMBRE")&amp;" "&amp;YEAR(B322),"")</f>
        <v/>
      </c>
      <c r="B321" s="11"/>
      <c r="C321" s="12"/>
      <c r="D321" s="12" t="str">
        <f>IF(C321="","",C321-IF(C320&lt;&gt;"",C320,IF(C319&lt;&gt;"",C319,IF(C318&lt;&gt;"",C318,0))))</f>
        <v/>
      </c>
      <c r="E321" s="12"/>
      <c r="F321" s="12"/>
      <c r="G321" s="9" t="str">
        <f>IF(AND(E321="",F321=""),"",IF(OR(E321&gt;1,F321&gt;1),(F321-E321)/100,F321-E321))</f>
        <v/>
      </c>
      <c r="H321" s="12" t="str">
        <f>IF(G321="","",64*G321)</f>
        <v/>
      </c>
      <c r="I321" s="13"/>
      <c r="J321" s="13" t="str">
        <f>IFERROR(IF(OR(D321="",D321=0),"",I321/D321*100),"")</f>
        <v/>
      </c>
      <c r="K321" s="14"/>
      <c r="L321" s="13" t="str">
        <f>IF(I321="","",I321*K321)</f>
        <v/>
      </c>
      <c r="M321" s="13" t="str">
        <f>IF(B321="","",IFERROR(SUMPRODUCT(ISNUMBER(B$3:B321)*(MONTH(IF(ISNUMBER(B$3:B321),B$3:B321,1))=MONTH(B321))*(YEAR(IF(ISNUMBER(B$3:B321),B$3:B321,1))=YEAR(B321))*IF(ISNUMBER(L$3:L321),L$3:L321,0)),""))</f>
        <v/>
      </c>
      <c r="N321" s="6"/>
      <c r="O321" s="7" t="str">
        <f>IF(AND(B321="",ISNUMBER(B322)),CHOOSE(MONTH(B322),"GENNAIO","FEBBRAIO","MARZO","APRILE","MAGGIO","GIUGNO","LUGLIO","AGOSTO","SETTEMBRE","OTTOBRE","NOVEMBRE","DICEMBRE")&amp;" "&amp;YEAR(B322),"")</f>
        <v/>
      </c>
      <c r="P321" s="12" t="str">
        <f>IF(K321=0.2,"CASA","")</f>
        <v/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" customHeight="1" x14ac:dyDescent="0.2">
      <c r="A322" s="5" t="str">
        <f>IF(AND(B322="",ISNUMBER(B323)),CHOOSE(MONTH(B323),"GENNAIO","FEBBRAIO","MARZO","APRILE","MAGGIO","GIUGNO","LUGLIO","AGOSTO","SETTEMBRE","OTTOBRE","NOVEMBRE","DICEMBRE")&amp;" "&amp;YEAR(B323),"")</f>
        <v/>
      </c>
      <c r="B322" s="11"/>
      <c r="C322" s="12"/>
      <c r="D322" s="12" t="str">
        <f>IF(C322="","",C322-IF(C321&lt;&gt;"",C321,IF(C320&lt;&gt;"",C320,IF(C319&lt;&gt;"",C319,0))))</f>
        <v/>
      </c>
      <c r="E322" s="12"/>
      <c r="F322" s="12"/>
      <c r="G322" s="9" t="str">
        <f>IF(AND(E322="",F322=""),"",IF(OR(E322&gt;1,F322&gt;1),(F322-E322)/100,F322-E322))</f>
        <v/>
      </c>
      <c r="H322" s="12" t="str">
        <f>IF(G322="","",64*G322)</f>
        <v/>
      </c>
      <c r="I322" s="13"/>
      <c r="J322" s="13" t="str">
        <f>IFERROR(IF(OR(D322="",D322=0),"",I322/D322*100),"")</f>
        <v/>
      </c>
      <c r="K322" s="14"/>
      <c r="L322" s="13" t="str">
        <f>IF(I322="","",I322*K322)</f>
        <v/>
      </c>
      <c r="M322" s="13" t="str">
        <f>IF(B322="","",IFERROR(SUMPRODUCT(ISNUMBER(B$3:B322)*(MONTH(IF(ISNUMBER(B$3:B322),B$3:B322,1))=MONTH(B322))*(YEAR(IF(ISNUMBER(B$3:B322),B$3:B322,1))=YEAR(B322))*IF(ISNUMBER(L$3:L322),L$3:L322,0)),""))</f>
        <v/>
      </c>
      <c r="N322" s="6"/>
      <c r="O322" s="7" t="str">
        <f>IF(AND(B322="",ISNUMBER(B323)),CHOOSE(MONTH(B323),"GENNAIO","FEBBRAIO","MARZO","APRILE","MAGGIO","GIUGNO","LUGLIO","AGOSTO","SETTEMBRE","OTTOBRE","NOVEMBRE","DICEMBRE")&amp;" "&amp;YEAR(B323),"")</f>
        <v/>
      </c>
      <c r="P322" s="12" t="str">
        <f>IF(K322=0.2,"CASA","")</f>
        <v/>
      </c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" customHeight="1" x14ac:dyDescent="0.2">
      <c r="A323" s="5" t="str">
        <f>IF(AND(B323="",ISNUMBER(B324)),CHOOSE(MONTH(B324),"GENNAIO","FEBBRAIO","MARZO","APRILE","MAGGIO","GIUGNO","LUGLIO","AGOSTO","SETTEMBRE","OTTOBRE","NOVEMBRE","DICEMBRE")&amp;" "&amp;YEAR(B324),"")</f>
        <v/>
      </c>
      <c r="B323" s="11"/>
      <c r="C323" s="12"/>
      <c r="D323" s="12" t="str">
        <f>IF(C323="","",C323-IF(C322&lt;&gt;"",C322,IF(C321&lt;&gt;"",C321,IF(C320&lt;&gt;"",C320,0))))</f>
        <v/>
      </c>
      <c r="E323" s="12"/>
      <c r="F323" s="12"/>
      <c r="G323" s="9" t="str">
        <f>IF(AND(E323="",F323=""),"",IF(OR(E323&gt;1,F323&gt;1),(F323-E323)/100,F323-E323))</f>
        <v/>
      </c>
      <c r="H323" s="12" t="str">
        <f>IF(G323="","",64*G323)</f>
        <v/>
      </c>
      <c r="I323" s="13"/>
      <c r="J323" s="13" t="str">
        <f>IFERROR(IF(OR(D323="",D323=0),"",I323/D323*100),"")</f>
        <v/>
      </c>
      <c r="K323" s="14"/>
      <c r="L323" s="13" t="str">
        <f>IF(I323="","",I323*K323)</f>
        <v/>
      </c>
      <c r="M323" s="13" t="str">
        <f>IF(B323="","",IFERROR(SUMPRODUCT(ISNUMBER(B$3:B323)*(MONTH(IF(ISNUMBER(B$3:B323),B$3:B323,1))=MONTH(B323))*(YEAR(IF(ISNUMBER(B$3:B323),B$3:B323,1))=YEAR(B323))*IF(ISNUMBER(L$3:L323),L$3:L323,0)),""))</f>
        <v/>
      </c>
      <c r="N323" s="6"/>
      <c r="O323" s="7" t="str">
        <f>IF(AND(B323="",ISNUMBER(B324)),CHOOSE(MONTH(B324),"GENNAIO","FEBBRAIO","MARZO","APRILE","MAGGIO","GIUGNO","LUGLIO","AGOSTO","SETTEMBRE","OTTOBRE","NOVEMBRE","DICEMBRE")&amp;" "&amp;YEAR(B324),"")</f>
        <v/>
      </c>
      <c r="P323" s="12" t="str">
        <f>IF(K323=0.2,"CASA","")</f>
        <v/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" customHeight="1" x14ac:dyDescent="0.2">
      <c r="A324" s="5" t="str">
        <f>IF(AND(B324="",ISNUMBER(B325)),CHOOSE(MONTH(B325),"GENNAIO","FEBBRAIO","MARZO","APRILE","MAGGIO","GIUGNO","LUGLIO","AGOSTO","SETTEMBRE","OTTOBRE","NOVEMBRE","DICEMBRE")&amp;" "&amp;YEAR(B325),"")</f>
        <v/>
      </c>
      <c r="B324" s="11"/>
      <c r="C324" s="12"/>
      <c r="D324" s="12" t="str">
        <f>IF(C324="","",C324-IF(C323&lt;&gt;"",C323,IF(C322&lt;&gt;"",C322,IF(C321&lt;&gt;"",C321,0))))</f>
        <v/>
      </c>
      <c r="E324" s="12"/>
      <c r="F324" s="12"/>
      <c r="G324" s="9" t="str">
        <f>IF(AND(E324="",F324=""),"",IF(OR(E324&gt;1,F324&gt;1),(F324-E324)/100,F324-E324))</f>
        <v/>
      </c>
      <c r="H324" s="12" t="str">
        <f>IF(G324="","",64*G324)</f>
        <v/>
      </c>
      <c r="I324" s="13"/>
      <c r="J324" s="13" t="str">
        <f>IFERROR(IF(OR(D324="",D324=0),"",I324/D324*100),"")</f>
        <v/>
      </c>
      <c r="K324" s="14"/>
      <c r="L324" s="13" t="str">
        <f>IF(I324="","",I324*K324)</f>
        <v/>
      </c>
      <c r="M324" s="13" t="str">
        <f>IF(B324="","",IFERROR(SUMPRODUCT(ISNUMBER(B$3:B324)*(MONTH(IF(ISNUMBER(B$3:B324),B$3:B324,1))=MONTH(B324))*(YEAR(IF(ISNUMBER(B$3:B324),B$3:B324,1))=YEAR(B324))*IF(ISNUMBER(L$3:L324),L$3:L324,0)),""))</f>
        <v/>
      </c>
      <c r="N324" s="6"/>
      <c r="O324" s="7" t="str">
        <f>IF(AND(B324="",ISNUMBER(B325)),CHOOSE(MONTH(B325),"GENNAIO","FEBBRAIO","MARZO","APRILE","MAGGIO","GIUGNO","LUGLIO","AGOSTO","SETTEMBRE","OTTOBRE","NOVEMBRE","DICEMBRE")&amp;" "&amp;YEAR(B325),"")</f>
        <v/>
      </c>
      <c r="P324" s="12" t="str">
        <f>IF(K324=0.2,"CASA","")</f>
        <v/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" customHeight="1" x14ac:dyDescent="0.2">
      <c r="A325" s="5" t="str">
        <f>IF(AND(B325="",ISNUMBER(B326)),CHOOSE(MONTH(B326),"GENNAIO","FEBBRAIO","MARZO","APRILE","MAGGIO","GIUGNO","LUGLIO","AGOSTO","SETTEMBRE","OTTOBRE","NOVEMBRE","DICEMBRE")&amp;" "&amp;YEAR(B326),"")</f>
        <v/>
      </c>
      <c r="B325" s="11"/>
      <c r="C325" s="12"/>
      <c r="D325" s="12" t="str">
        <f>IF(C325="","",C325-IF(C324&lt;&gt;"",C324,IF(C323&lt;&gt;"",C323,IF(C322&lt;&gt;"",C322,0))))</f>
        <v/>
      </c>
      <c r="E325" s="12"/>
      <c r="F325" s="12"/>
      <c r="G325" s="9" t="str">
        <f>IF(AND(E325="",F325=""),"",IF(OR(E325&gt;1,F325&gt;1),(F325-E325)/100,F325-E325))</f>
        <v/>
      </c>
      <c r="H325" s="12" t="str">
        <f>IF(G325="","",64*G325)</f>
        <v/>
      </c>
      <c r="I325" s="13"/>
      <c r="J325" s="13" t="str">
        <f>IFERROR(IF(OR(D325="",D325=0),"",I325/D325*100),"")</f>
        <v/>
      </c>
      <c r="K325" s="14"/>
      <c r="L325" s="13" t="str">
        <f>IF(I325="","",I325*K325)</f>
        <v/>
      </c>
      <c r="M325" s="13" t="str">
        <f>IF(B325="","",IFERROR(SUMPRODUCT(ISNUMBER(B$3:B325)*(MONTH(IF(ISNUMBER(B$3:B325),B$3:B325,1))=MONTH(B325))*(YEAR(IF(ISNUMBER(B$3:B325),B$3:B325,1))=YEAR(B325))*IF(ISNUMBER(L$3:L325),L$3:L325,0)),""))</f>
        <v/>
      </c>
      <c r="N325" s="6"/>
      <c r="O325" s="7" t="str">
        <f>IF(AND(B325="",ISNUMBER(B326)),CHOOSE(MONTH(B326),"GENNAIO","FEBBRAIO","MARZO","APRILE","MAGGIO","GIUGNO","LUGLIO","AGOSTO","SETTEMBRE","OTTOBRE","NOVEMBRE","DICEMBRE")&amp;" "&amp;YEAR(B326),"")</f>
        <v/>
      </c>
      <c r="P325" s="12" t="str">
        <f>IF(K325=0.2,"CASA","")</f>
        <v/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" customHeight="1" x14ac:dyDescent="0.2">
      <c r="A326" s="5" t="str">
        <f>IF(AND(B326="",ISNUMBER(B327)),CHOOSE(MONTH(B327),"GENNAIO","FEBBRAIO","MARZO","APRILE","MAGGIO","GIUGNO","LUGLIO","AGOSTO","SETTEMBRE","OTTOBRE","NOVEMBRE","DICEMBRE")&amp;" "&amp;YEAR(B327),"")</f>
        <v/>
      </c>
      <c r="B326" s="11"/>
      <c r="C326" s="12"/>
      <c r="D326" s="12" t="str">
        <f>IF(C326="","",C326-IF(C325&lt;&gt;"",C325,IF(C324&lt;&gt;"",C324,IF(C323&lt;&gt;"",C323,0))))</f>
        <v/>
      </c>
      <c r="E326" s="12"/>
      <c r="F326" s="12"/>
      <c r="G326" s="9" t="str">
        <f>IF(AND(E326="",F326=""),"",IF(OR(E326&gt;1,F326&gt;1),(F326-E326)/100,F326-E326))</f>
        <v/>
      </c>
      <c r="H326" s="12" t="str">
        <f>IF(G326="","",64*G326)</f>
        <v/>
      </c>
      <c r="I326" s="13"/>
      <c r="J326" s="13" t="str">
        <f>IFERROR(IF(OR(D326="",D326=0),"",I326/D326*100),"")</f>
        <v/>
      </c>
      <c r="K326" s="14"/>
      <c r="L326" s="13" t="str">
        <f>IF(I326="","",I326*K326)</f>
        <v/>
      </c>
      <c r="M326" s="13" t="str">
        <f>IF(B326="","",IFERROR(SUMPRODUCT(ISNUMBER(B$3:B326)*(MONTH(IF(ISNUMBER(B$3:B326),B$3:B326,1))=MONTH(B326))*(YEAR(IF(ISNUMBER(B$3:B326),B$3:B326,1))=YEAR(B326))*IF(ISNUMBER(L$3:L326),L$3:L326,0)),""))</f>
        <v/>
      </c>
      <c r="N326" s="6"/>
      <c r="O326" s="7" t="str">
        <f>IF(AND(B326="",ISNUMBER(B327)),CHOOSE(MONTH(B327),"GENNAIO","FEBBRAIO","MARZO","APRILE","MAGGIO","GIUGNO","LUGLIO","AGOSTO","SETTEMBRE","OTTOBRE","NOVEMBRE","DICEMBRE")&amp;" "&amp;YEAR(B327),"")</f>
        <v/>
      </c>
      <c r="P326" s="12" t="str">
        <f>IF(K326=0.2,"CASA","")</f>
        <v/>
      </c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" customHeight="1" x14ac:dyDescent="0.2">
      <c r="A327" s="5" t="str">
        <f>IF(AND(B327="",ISNUMBER(B328)),CHOOSE(MONTH(B328),"GENNAIO","FEBBRAIO","MARZO","APRILE","MAGGIO","GIUGNO","LUGLIO","AGOSTO","SETTEMBRE","OTTOBRE","NOVEMBRE","DICEMBRE")&amp;" "&amp;YEAR(B328),"")</f>
        <v/>
      </c>
      <c r="B327" s="11"/>
      <c r="C327" s="12"/>
      <c r="D327" s="12" t="str">
        <f>IF(C327="","",C327-IF(C326&lt;&gt;"",C326,IF(C325&lt;&gt;"",C325,IF(C324&lt;&gt;"",C324,0))))</f>
        <v/>
      </c>
      <c r="E327" s="12"/>
      <c r="F327" s="12"/>
      <c r="G327" s="9" t="str">
        <f>IF(AND(E327="",F327=""),"",IF(OR(E327&gt;1,F327&gt;1),(F327-E327)/100,F327-E327))</f>
        <v/>
      </c>
      <c r="H327" s="12" t="str">
        <f>IF(G327="","",64*G327)</f>
        <v/>
      </c>
      <c r="I327" s="13"/>
      <c r="J327" s="13" t="str">
        <f>IFERROR(IF(OR(D327="",D327=0),"",I327/D327*100),"")</f>
        <v/>
      </c>
      <c r="K327" s="14"/>
      <c r="L327" s="13" t="str">
        <f>IF(I327="","",I327*K327)</f>
        <v/>
      </c>
      <c r="M327" s="13" t="str">
        <f>IF(B327="","",IFERROR(SUMPRODUCT(ISNUMBER(B$3:B327)*(MONTH(IF(ISNUMBER(B$3:B327),B$3:B327,1))=MONTH(B327))*(YEAR(IF(ISNUMBER(B$3:B327),B$3:B327,1))=YEAR(B327))*IF(ISNUMBER(L$3:L327),L$3:L327,0)),""))</f>
        <v/>
      </c>
      <c r="N327" s="6"/>
      <c r="O327" s="7" t="str">
        <f>IF(AND(B327="",ISNUMBER(B328)),CHOOSE(MONTH(B328),"GENNAIO","FEBBRAIO","MARZO","APRILE","MAGGIO","GIUGNO","LUGLIO","AGOSTO","SETTEMBRE","OTTOBRE","NOVEMBRE","DICEMBRE")&amp;" "&amp;YEAR(B328),"")</f>
        <v/>
      </c>
      <c r="P327" s="12" t="str">
        <f>IF(K327=0.2,"CASA","")</f>
        <v/>
      </c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" customHeight="1" x14ac:dyDescent="0.2">
      <c r="A328" s="5" t="str">
        <f>IF(AND(B328="",ISNUMBER(B329)),CHOOSE(MONTH(B329),"GENNAIO","FEBBRAIO","MARZO","APRILE","MAGGIO","GIUGNO","LUGLIO","AGOSTO","SETTEMBRE","OTTOBRE","NOVEMBRE","DICEMBRE")&amp;" "&amp;YEAR(B329),"")</f>
        <v/>
      </c>
      <c r="B328" s="11"/>
      <c r="C328" s="12"/>
      <c r="D328" s="12" t="str">
        <f>IF(C328="","",C328-IF(C327&lt;&gt;"",C327,IF(C326&lt;&gt;"",C326,IF(C325&lt;&gt;"",C325,0))))</f>
        <v/>
      </c>
      <c r="E328" s="12"/>
      <c r="F328" s="12"/>
      <c r="G328" s="9" t="str">
        <f>IF(AND(E328="",F328=""),"",IF(OR(E328&gt;1,F328&gt;1),(F328-E328)/100,F328-E328))</f>
        <v/>
      </c>
      <c r="H328" s="12" t="str">
        <f>IF(G328="","",64*G328)</f>
        <v/>
      </c>
      <c r="I328" s="13"/>
      <c r="J328" s="13" t="str">
        <f>IFERROR(IF(OR(D328="",D328=0),"",I328/D328*100),"")</f>
        <v/>
      </c>
      <c r="K328" s="14"/>
      <c r="L328" s="13" t="str">
        <f>IF(I328="","",I328*K328)</f>
        <v/>
      </c>
      <c r="M328" s="13" t="str">
        <f>IF(B328="","",IFERROR(SUMPRODUCT(ISNUMBER(B$3:B328)*(MONTH(IF(ISNUMBER(B$3:B328),B$3:B328,1))=MONTH(B328))*(YEAR(IF(ISNUMBER(B$3:B328),B$3:B328,1))=YEAR(B328))*IF(ISNUMBER(L$3:L328),L$3:L328,0)),""))</f>
        <v/>
      </c>
      <c r="N328" s="6"/>
      <c r="O328" s="7" t="str">
        <f>IF(AND(B328="",ISNUMBER(B329)),CHOOSE(MONTH(B329),"GENNAIO","FEBBRAIO","MARZO","APRILE","MAGGIO","GIUGNO","LUGLIO","AGOSTO","SETTEMBRE","OTTOBRE","NOVEMBRE","DICEMBRE")&amp;" "&amp;YEAR(B329),"")</f>
        <v/>
      </c>
      <c r="P328" s="12" t="str">
        <f>IF(K328=0.2,"CASA","")</f>
        <v/>
      </c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" customHeight="1" x14ac:dyDescent="0.2">
      <c r="A329" s="5" t="str">
        <f>IF(AND(B329="",ISNUMBER(B330)),CHOOSE(MONTH(B330),"GENNAIO","FEBBRAIO","MARZO","APRILE","MAGGIO","GIUGNO","LUGLIO","AGOSTO","SETTEMBRE","OTTOBRE","NOVEMBRE","DICEMBRE")&amp;" "&amp;YEAR(B330),"")</f>
        <v/>
      </c>
      <c r="B329" s="11"/>
      <c r="C329" s="12"/>
      <c r="D329" s="12" t="str">
        <f>IF(C329="","",C329-IF(C328&lt;&gt;"",C328,IF(C327&lt;&gt;"",C327,IF(C326&lt;&gt;"",C326,0))))</f>
        <v/>
      </c>
      <c r="E329" s="12"/>
      <c r="F329" s="12"/>
      <c r="G329" s="9" t="str">
        <f>IF(AND(E329="",F329=""),"",IF(OR(E329&gt;1,F329&gt;1),(F329-E329)/100,F329-E329))</f>
        <v/>
      </c>
      <c r="H329" s="12" t="str">
        <f>IF(G329="","",64*G329)</f>
        <v/>
      </c>
      <c r="I329" s="13"/>
      <c r="J329" s="13" t="str">
        <f>IFERROR(IF(OR(D329="",D329=0),"",I329/D329*100),"")</f>
        <v/>
      </c>
      <c r="K329" s="14"/>
      <c r="L329" s="13" t="str">
        <f>IF(I329="","",I329*K329)</f>
        <v/>
      </c>
      <c r="M329" s="13" t="str">
        <f>IF(B329="","",IFERROR(SUMPRODUCT(ISNUMBER(B$3:B329)*(MONTH(IF(ISNUMBER(B$3:B329),B$3:B329,1))=MONTH(B329))*(YEAR(IF(ISNUMBER(B$3:B329),B$3:B329,1))=YEAR(B329))*IF(ISNUMBER(L$3:L329),L$3:L329,0)),""))</f>
        <v/>
      </c>
      <c r="N329" s="6"/>
      <c r="O329" s="7" t="str">
        <f>IF(AND(B329="",ISNUMBER(B330)),CHOOSE(MONTH(B330),"GENNAIO","FEBBRAIO","MARZO","APRILE","MAGGIO","GIUGNO","LUGLIO","AGOSTO","SETTEMBRE","OTTOBRE","NOVEMBRE","DICEMBRE")&amp;" "&amp;YEAR(B330),"")</f>
        <v/>
      </c>
      <c r="P329" s="12" t="str">
        <f>IF(K329=0.2,"CASA","")</f>
        <v/>
      </c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" customHeight="1" x14ac:dyDescent="0.2">
      <c r="A330" s="5" t="str">
        <f>IF(AND(B330="",ISNUMBER(B331)),CHOOSE(MONTH(B331),"GENNAIO","FEBBRAIO","MARZO","APRILE","MAGGIO","GIUGNO","LUGLIO","AGOSTO","SETTEMBRE","OTTOBRE","NOVEMBRE","DICEMBRE")&amp;" "&amp;YEAR(B331),"")</f>
        <v/>
      </c>
      <c r="B330" s="11"/>
      <c r="C330" s="12"/>
      <c r="D330" s="12" t="str">
        <f>IF(C330="","",C330-IF(C329&lt;&gt;"",C329,IF(C328&lt;&gt;"",C328,IF(C327&lt;&gt;"",C327,0))))</f>
        <v/>
      </c>
      <c r="E330" s="12"/>
      <c r="F330" s="12"/>
      <c r="G330" s="9" t="str">
        <f>IF(AND(E330="",F330=""),"",IF(OR(E330&gt;1,F330&gt;1),(F330-E330)/100,F330-E330))</f>
        <v/>
      </c>
      <c r="H330" s="12" t="str">
        <f>IF(G330="","",64*G330)</f>
        <v/>
      </c>
      <c r="I330" s="13"/>
      <c r="J330" s="13" t="str">
        <f>IFERROR(IF(OR(D330="",D330=0),"",I330/D330*100),"")</f>
        <v/>
      </c>
      <c r="K330" s="14"/>
      <c r="L330" s="13" t="str">
        <f>IF(I330="","",I330*K330)</f>
        <v/>
      </c>
      <c r="M330" s="13" t="str">
        <f>IF(B330="","",IFERROR(SUMPRODUCT(ISNUMBER(B$3:B330)*(MONTH(IF(ISNUMBER(B$3:B330),B$3:B330,1))=MONTH(B330))*(YEAR(IF(ISNUMBER(B$3:B330),B$3:B330,1))=YEAR(B330))*IF(ISNUMBER(L$3:L330),L$3:L330,0)),""))</f>
        <v/>
      </c>
      <c r="N330" s="6"/>
      <c r="O330" s="7" t="str">
        <f>IF(AND(B330="",ISNUMBER(B331)),CHOOSE(MONTH(B331),"GENNAIO","FEBBRAIO","MARZO","APRILE","MAGGIO","GIUGNO","LUGLIO","AGOSTO","SETTEMBRE","OTTOBRE","NOVEMBRE","DICEMBRE")&amp;" "&amp;YEAR(B331),"")</f>
        <v/>
      </c>
      <c r="P330" s="12" t="str">
        <f>IF(K330=0.2,"CASA","")</f>
        <v/>
      </c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" customHeight="1" x14ac:dyDescent="0.2">
      <c r="A331" s="5" t="str">
        <f>IF(AND(B331="",ISNUMBER(B332)),CHOOSE(MONTH(B332),"GENNAIO","FEBBRAIO","MARZO","APRILE","MAGGIO","GIUGNO","LUGLIO","AGOSTO","SETTEMBRE","OTTOBRE","NOVEMBRE","DICEMBRE")&amp;" "&amp;YEAR(B332),"")</f>
        <v/>
      </c>
      <c r="B331" s="11"/>
      <c r="C331" s="12"/>
      <c r="D331" s="12" t="str">
        <f>IF(C331="","",C331-IF(C330&lt;&gt;"",C330,IF(C329&lt;&gt;"",C329,IF(C328&lt;&gt;"",C328,0))))</f>
        <v/>
      </c>
      <c r="E331" s="12"/>
      <c r="F331" s="12"/>
      <c r="G331" s="9" t="str">
        <f>IF(AND(E331="",F331=""),"",IF(OR(E331&gt;1,F331&gt;1),(F331-E331)/100,F331-E331))</f>
        <v/>
      </c>
      <c r="H331" s="12" t="str">
        <f>IF(G331="","",64*G331)</f>
        <v/>
      </c>
      <c r="I331" s="13"/>
      <c r="J331" s="13" t="str">
        <f>IFERROR(IF(OR(D331="",D331=0),"",I331/D331*100),"")</f>
        <v/>
      </c>
      <c r="K331" s="14"/>
      <c r="L331" s="13" t="str">
        <f>IF(I331="","",I331*K331)</f>
        <v/>
      </c>
      <c r="M331" s="13" t="str">
        <f>IF(B331="","",IFERROR(SUMPRODUCT(ISNUMBER(B$3:B331)*(MONTH(IF(ISNUMBER(B$3:B331),B$3:B331,1))=MONTH(B331))*(YEAR(IF(ISNUMBER(B$3:B331),B$3:B331,1))=YEAR(B331))*IF(ISNUMBER(L$3:L331),L$3:L331,0)),""))</f>
        <v/>
      </c>
      <c r="N331" s="6"/>
      <c r="O331" s="7" t="str">
        <f>IF(AND(B331="",ISNUMBER(B332)),CHOOSE(MONTH(B332),"GENNAIO","FEBBRAIO","MARZO","APRILE","MAGGIO","GIUGNO","LUGLIO","AGOSTO","SETTEMBRE","OTTOBRE","NOVEMBRE","DICEMBRE")&amp;" "&amp;YEAR(B332),"")</f>
        <v/>
      </c>
      <c r="P331" s="12" t="str">
        <f>IF(K331=0.2,"CASA","")</f>
        <v/>
      </c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" customHeight="1" x14ac:dyDescent="0.2">
      <c r="A332" s="5" t="str">
        <f>IF(AND(B332="",ISNUMBER(B333)),CHOOSE(MONTH(B333),"GENNAIO","FEBBRAIO","MARZO","APRILE","MAGGIO","GIUGNO","LUGLIO","AGOSTO","SETTEMBRE","OTTOBRE","NOVEMBRE","DICEMBRE")&amp;" "&amp;YEAR(B333),"")</f>
        <v/>
      </c>
      <c r="B332" s="11"/>
      <c r="C332" s="12"/>
      <c r="D332" s="12" t="str">
        <f>IF(C332="","",C332-IF(C331&lt;&gt;"",C331,IF(C330&lt;&gt;"",C330,IF(C329&lt;&gt;"",C329,0))))</f>
        <v/>
      </c>
      <c r="E332" s="12"/>
      <c r="F332" s="12"/>
      <c r="G332" s="9" t="str">
        <f>IF(AND(E332="",F332=""),"",IF(OR(E332&gt;1,F332&gt;1),(F332-E332)/100,F332-E332))</f>
        <v/>
      </c>
      <c r="H332" s="12" t="str">
        <f>IF(G332="","",64*G332)</f>
        <v/>
      </c>
      <c r="I332" s="13"/>
      <c r="J332" s="13" t="str">
        <f>IFERROR(IF(OR(D332="",D332=0),"",I332/D332*100),"")</f>
        <v/>
      </c>
      <c r="K332" s="14"/>
      <c r="L332" s="13" t="str">
        <f>IF(I332="","",I332*K332)</f>
        <v/>
      </c>
      <c r="M332" s="13" t="str">
        <f>IF(B332="","",IFERROR(SUMPRODUCT(ISNUMBER(B$3:B332)*(MONTH(IF(ISNUMBER(B$3:B332),B$3:B332,1))=MONTH(B332))*(YEAR(IF(ISNUMBER(B$3:B332),B$3:B332,1))=YEAR(B332))*IF(ISNUMBER(L$3:L332),L$3:L332,0)),""))</f>
        <v/>
      </c>
      <c r="N332" s="6"/>
      <c r="O332" s="7" t="str">
        <f>IF(AND(B332="",ISNUMBER(B333)),CHOOSE(MONTH(B333),"GENNAIO","FEBBRAIO","MARZO","APRILE","MAGGIO","GIUGNO","LUGLIO","AGOSTO","SETTEMBRE","OTTOBRE","NOVEMBRE","DICEMBRE")&amp;" "&amp;YEAR(B333),"")</f>
        <v/>
      </c>
      <c r="P332" s="12" t="str">
        <f>IF(K332=0.2,"CASA","")</f>
        <v/>
      </c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" customHeight="1" x14ac:dyDescent="0.2">
      <c r="A333" s="5" t="str">
        <f>IF(AND(B333="",ISNUMBER(B334)),CHOOSE(MONTH(B334),"GENNAIO","FEBBRAIO","MARZO","APRILE","MAGGIO","GIUGNO","LUGLIO","AGOSTO","SETTEMBRE","OTTOBRE","NOVEMBRE","DICEMBRE")&amp;" "&amp;YEAR(B334),"")</f>
        <v/>
      </c>
      <c r="B333" s="11"/>
      <c r="C333" s="12"/>
      <c r="D333" s="12" t="str">
        <f>IF(C333="","",C333-IF(C332&lt;&gt;"",C332,IF(C331&lt;&gt;"",C331,IF(C330&lt;&gt;"",C330,0))))</f>
        <v/>
      </c>
      <c r="E333" s="12"/>
      <c r="F333" s="12"/>
      <c r="G333" s="9" t="str">
        <f>IF(AND(E333="",F333=""),"",IF(OR(E333&gt;1,F333&gt;1),(F333-E333)/100,F333-E333))</f>
        <v/>
      </c>
      <c r="H333" s="12" t="str">
        <f>IF(G333="","",64*G333)</f>
        <v/>
      </c>
      <c r="I333" s="13"/>
      <c r="J333" s="13" t="str">
        <f>IFERROR(IF(OR(D333="",D333=0),"",I333/D333*100),"")</f>
        <v/>
      </c>
      <c r="K333" s="14"/>
      <c r="L333" s="13" t="str">
        <f>IF(I333="","",I333*K333)</f>
        <v/>
      </c>
      <c r="M333" s="13" t="str">
        <f>IF(B333="","",IFERROR(SUMPRODUCT(ISNUMBER(B$3:B333)*(MONTH(IF(ISNUMBER(B$3:B333),B$3:B333,1))=MONTH(B333))*(YEAR(IF(ISNUMBER(B$3:B333),B$3:B333,1))=YEAR(B333))*IF(ISNUMBER(L$3:L333),L$3:L333,0)),""))</f>
        <v/>
      </c>
      <c r="N333" s="6"/>
      <c r="O333" s="7" t="str">
        <f>IF(AND(B333="",ISNUMBER(B334)),CHOOSE(MONTH(B334),"GENNAIO","FEBBRAIO","MARZO","APRILE","MAGGIO","GIUGNO","LUGLIO","AGOSTO","SETTEMBRE","OTTOBRE","NOVEMBRE","DICEMBRE")&amp;" "&amp;YEAR(B334),"")</f>
        <v/>
      </c>
      <c r="P333" s="12" t="str">
        <f>IF(K333=0.2,"CASA","")</f>
        <v/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" customHeight="1" x14ac:dyDescent="0.2">
      <c r="A334" s="5" t="str">
        <f>IF(AND(B334="",ISNUMBER(B335)),CHOOSE(MONTH(B335),"GENNAIO","FEBBRAIO","MARZO","APRILE","MAGGIO","GIUGNO","LUGLIO","AGOSTO","SETTEMBRE","OTTOBRE","NOVEMBRE","DICEMBRE")&amp;" "&amp;YEAR(B335),"")</f>
        <v/>
      </c>
      <c r="B334" s="11"/>
      <c r="C334" s="12"/>
      <c r="D334" s="12" t="str">
        <f>IF(C334="","",C334-IF(C333&lt;&gt;"",C333,IF(C332&lt;&gt;"",C332,IF(C331&lt;&gt;"",C331,0))))</f>
        <v/>
      </c>
      <c r="E334" s="12"/>
      <c r="F334" s="12"/>
      <c r="G334" s="9" t="str">
        <f>IF(AND(E334="",F334=""),"",IF(OR(E334&gt;1,F334&gt;1),(F334-E334)/100,F334-E334))</f>
        <v/>
      </c>
      <c r="H334" s="12" t="str">
        <f>IF(G334="","",64*G334)</f>
        <v/>
      </c>
      <c r="I334" s="13"/>
      <c r="J334" s="13" t="str">
        <f>IFERROR(IF(OR(D334="",D334=0),"",I334/D334*100),"")</f>
        <v/>
      </c>
      <c r="K334" s="14"/>
      <c r="L334" s="13" t="str">
        <f>IF(I334="","",I334*K334)</f>
        <v/>
      </c>
      <c r="M334" s="13" t="str">
        <f>IF(B334="","",IFERROR(SUMPRODUCT(ISNUMBER(B$3:B334)*(MONTH(IF(ISNUMBER(B$3:B334),B$3:B334,1))=MONTH(B334))*(YEAR(IF(ISNUMBER(B$3:B334),B$3:B334,1))=YEAR(B334))*IF(ISNUMBER(L$3:L334),L$3:L334,0)),""))</f>
        <v/>
      </c>
      <c r="N334" s="6"/>
      <c r="O334" s="7" t="str">
        <f>IF(AND(B334="",ISNUMBER(B335)),CHOOSE(MONTH(B335),"GENNAIO","FEBBRAIO","MARZO","APRILE","MAGGIO","GIUGNO","LUGLIO","AGOSTO","SETTEMBRE","OTTOBRE","NOVEMBRE","DICEMBRE")&amp;" "&amp;YEAR(B335),"")</f>
        <v/>
      </c>
      <c r="P334" s="12" t="str">
        <f>IF(K334=0.2,"CASA","")</f>
        <v/>
      </c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" customHeight="1" x14ac:dyDescent="0.2">
      <c r="A335" s="5" t="str">
        <f>IF(AND(B335="",ISNUMBER(B336)),CHOOSE(MONTH(B336),"GENNAIO","FEBBRAIO","MARZO","APRILE","MAGGIO","GIUGNO","LUGLIO","AGOSTO","SETTEMBRE","OTTOBRE","NOVEMBRE","DICEMBRE")&amp;" "&amp;YEAR(B336),"")</f>
        <v/>
      </c>
      <c r="B335" s="11"/>
      <c r="C335" s="12"/>
      <c r="D335" s="12" t="str">
        <f>IF(C335="","",C335-IF(C334&lt;&gt;"",C334,IF(C333&lt;&gt;"",C333,IF(C332&lt;&gt;"",C332,0))))</f>
        <v/>
      </c>
      <c r="E335" s="12"/>
      <c r="F335" s="12"/>
      <c r="G335" s="9" t="str">
        <f>IF(AND(E335="",F335=""),"",IF(OR(E335&gt;1,F335&gt;1),(F335-E335)/100,F335-E335))</f>
        <v/>
      </c>
      <c r="H335" s="12" t="str">
        <f>IF(G335="","",64*G335)</f>
        <v/>
      </c>
      <c r="I335" s="13"/>
      <c r="J335" s="13" t="str">
        <f>IFERROR(IF(OR(D335="",D335=0),"",I335/D335*100),"")</f>
        <v/>
      </c>
      <c r="K335" s="14"/>
      <c r="L335" s="13" t="str">
        <f>IF(I335="","",I335*K335)</f>
        <v/>
      </c>
      <c r="M335" s="13" t="str">
        <f>IF(B335="","",IFERROR(SUMPRODUCT(ISNUMBER(B$3:B335)*(MONTH(IF(ISNUMBER(B$3:B335),B$3:B335,1))=MONTH(B335))*(YEAR(IF(ISNUMBER(B$3:B335),B$3:B335,1))=YEAR(B335))*IF(ISNUMBER(L$3:L335),L$3:L335,0)),""))</f>
        <v/>
      </c>
      <c r="N335" s="6"/>
      <c r="O335" s="7" t="str">
        <f>IF(AND(B335="",ISNUMBER(B336)),CHOOSE(MONTH(B336),"GENNAIO","FEBBRAIO","MARZO","APRILE","MAGGIO","GIUGNO","LUGLIO","AGOSTO","SETTEMBRE","OTTOBRE","NOVEMBRE","DICEMBRE")&amp;" "&amp;YEAR(B336),"")</f>
        <v/>
      </c>
      <c r="P335" s="12" t="str">
        <f>IF(K335=0.2,"CASA","")</f>
        <v/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" customHeight="1" x14ac:dyDescent="0.2">
      <c r="A336" s="5" t="str">
        <f>IF(AND(B336="",ISNUMBER(B337)),CHOOSE(MONTH(B337),"GENNAIO","FEBBRAIO","MARZO","APRILE","MAGGIO","GIUGNO","LUGLIO","AGOSTO","SETTEMBRE","OTTOBRE","NOVEMBRE","DICEMBRE")&amp;" "&amp;YEAR(B337),"")</f>
        <v/>
      </c>
      <c r="B336" s="11"/>
      <c r="C336" s="12"/>
      <c r="D336" s="12" t="str">
        <f>IF(C336="","",C336-IF(C335&lt;&gt;"",C335,IF(C334&lt;&gt;"",C334,IF(C333&lt;&gt;"",C333,0))))</f>
        <v/>
      </c>
      <c r="E336" s="12"/>
      <c r="F336" s="12"/>
      <c r="G336" s="9" t="str">
        <f>IF(AND(E336="",F336=""),"",IF(OR(E336&gt;1,F336&gt;1),(F336-E336)/100,F336-E336))</f>
        <v/>
      </c>
      <c r="H336" s="12" t="str">
        <f>IF(G336="","",64*G336)</f>
        <v/>
      </c>
      <c r="I336" s="13"/>
      <c r="J336" s="13" t="str">
        <f>IFERROR(IF(OR(D336="",D336=0),"",I336/D336*100),"")</f>
        <v/>
      </c>
      <c r="K336" s="14"/>
      <c r="L336" s="13" t="str">
        <f>IF(I336="","",I336*K336)</f>
        <v/>
      </c>
      <c r="M336" s="13" t="str">
        <f>IF(B336="","",IFERROR(SUMPRODUCT(ISNUMBER(B$3:B336)*(MONTH(IF(ISNUMBER(B$3:B336),B$3:B336,1))=MONTH(B336))*(YEAR(IF(ISNUMBER(B$3:B336),B$3:B336,1))=YEAR(B336))*IF(ISNUMBER(L$3:L336),L$3:L336,0)),""))</f>
        <v/>
      </c>
      <c r="N336" s="6"/>
      <c r="O336" s="7" t="str">
        <f>IF(AND(B336="",ISNUMBER(B337)),CHOOSE(MONTH(B337),"GENNAIO","FEBBRAIO","MARZO","APRILE","MAGGIO","GIUGNO","LUGLIO","AGOSTO","SETTEMBRE","OTTOBRE","NOVEMBRE","DICEMBRE")&amp;" "&amp;YEAR(B337),"")</f>
        <v/>
      </c>
      <c r="P336" s="12" t="str">
        <f>IF(K336=0.2,"CASA","")</f>
        <v/>
      </c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" customHeight="1" x14ac:dyDescent="0.2">
      <c r="A337" s="5" t="str">
        <f>IF(AND(B337="",ISNUMBER(B338)),CHOOSE(MONTH(B338),"GENNAIO","FEBBRAIO","MARZO","APRILE","MAGGIO","GIUGNO","LUGLIO","AGOSTO","SETTEMBRE","OTTOBRE","NOVEMBRE","DICEMBRE")&amp;" "&amp;YEAR(B338),"")</f>
        <v/>
      </c>
      <c r="B337" s="11"/>
      <c r="C337" s="12"/>
      <c r="D337" s="12" t="str">
        <f>IF(C337="","",C337-IF(C336&lt;&gt;"",C336,IF(C335&lt;&gt;"",C335,IF(C334&lt;&gt;"",C334,0))))</f>
        <v/>
      </c>
      <c r="E337" s="12"/>
      <c r="F337" s="12"/>
      <c r="G337" s="9" t="str">
        <f>IF(AND(E337="",F337=""),"",IF(OR(E337&gt;1,F337&gt;1),(F337-E337)/100,F337-E337))</f>
        <v/>
      </c>
      <c r="H337" s="12" t="str">
        <f>IF(G337="","",64*G337)</f>
        <v/>
      </c>
      <c r="I337" s="13"/>
      <c r="J337" s="13" t="str">
        <f>IFERROR(IF(OR(D337="",D337=0),"",I337/D337*100),"")</f>
        <v/>
      </c>
      <c r="K337" s="14"/>
      <c r="L337" s="13" t="str">
        <f>IF(I337="","",I337*K337)</f>
        <v/>
      </c>
      <c r="M337" s="13" t="str">
        <f>IF(B337="","",IFERROR(SUMPRODUCT(ISNUMBER(B$3:B337)*(MONTH(IF(ISNUMBER(B$3:B337),B$3:B337,1))=MONTH(B337))*(YEAR(IF(ISNUMBER(B$3:B337),B$3:B337,1))=YEAR(B337))*IF(ISNUMBER(L$3:L337),L$3:L337,0)),""))</f>
        <v/>
      </c>
      <c r="N337" s="6"/>
      <c r="O337" s="7" t="str">
        <f>IF(AND(B337="",ISNUMBER(B338)),CHOOSE(MONTH(B338),"GENNAIO","FEBBRAIO","MARZO","APRILE","MAGGIO","GIUGNO","LUGLIO","AGOSTO","SETTEMBRE","OTTOBRE","NOVEMBRE","DICEMBRE")&amp;" "&amp;YEAR(B338),"")</f>
        <v/>
      </c>
      <c r="P337" s="12" t="str">
        <f>IF(K337=0.2,"CASA","")</f>
        <v/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" customHeight="1" x14ac:dyDescent="0.2">
      <c r="A338" s="5" t="str">
        <f>IF(AND(B338="",ISNUMBER(B339)),CHOOSE(MONTH(B339),"GENNAIO","FEBBRAIO","MARZO","APRILE","MAGGIO","GIUGNO","LUGLIO","AGOSTO","SETTEMBRE","OTTOBRE","NOVEMBRE","DICEMBRE")&amp;" "&amp;YEAR(B339),"")</f>
        <v/>
      </c>
      <c r="B338" s="11"/>
      <c r="C338" s="12"/>
      <c r="D338" s="12" t="str">
        <f>IF(C338="","",C338-IF(C337&lt;&gt;"",C337,IF(C336&lt;&gt;"",C336,IF(C335&lt;&gt;"",C335,0))))</f>
        <v/>
      </c>
      <c r="E338" s="12"/>
      <c r="F338" s="12"/>
      <c r="G338" s="9" t="str">
        <f>IF(AND(E338="",F338=""),"",IF(OR(E338&gt;1,F338&gt;1),(F338-E338)/100,F338-E338))</f>
        <v/>
      </c>
      <c r="H338" s="12" t="str">
        <f>IF(G338="","",64*G338)</f>
        <v/>
      </c>
      <c r="I338" s="13"/>
      <c r="J338" s="13" t="str">
        <f>IFERROR(IF(OR(D338="",D338=0),"",I338/D338*100),"")</f>
        <v/>
      </c>
      <c r="K338" s="14"/>
      <c r="L338" s="13" t="str">
        <f>IF(I338="","",I338*K338)</f>
        <v/>
      </c>
      <c r="M338" s="13" t="str">
        <f>IF(B338="","",IFERROR(SUMPRODUCT(ISNUMBER(B$3:B338)*(MONTH(IF(ISNUMBER(B$3:B338),B$3:B338,1))=MONTH(B338))*(YEAR(IF(ISNUMBER(B$3:B338),B$3:B338,1))=YEAR(B338))*IF(ISNUMBER(L$3:L338),L$3:L338,0)),""))</f>
        <v/>
      </c>
      <c r="N338" s="6"/>
      <c r="O338" s="7" t="str">
        <f>IF(AND(B338="",ISNUMBER(B339)),CHOOSE(MONTH(B339),"GENNAIO","FEBBRAIO","MARZO","APRILE","MAGGIO","GIUGNO","LUGLIO","AGOSTO","SETTEMBRE","OTTOBRE","NOVEMBRE","DICEMBRE")&amp;" "&amp;YEAR(B339),"")</f>
        <v/>
      </c>
      <c r="P338" s="12" t="str">
        <f>IF(K338=0.2,"CASA","")</f>
        <v/>
      </c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" customHeight="1" x14ac:dyDescent="0.2">
      <c r="A339" s="5" t="str">
        <f>IF(AND(B339="",ISNUMBER(B340)),CHOOSE(MONTH(B340),"GENNAIO","FEBBRAIO","MARZO","APRILE","MAGGIO","GIUGNO","LUGLIO","AGOSTO","SETTEMBRE","OTTOBRE","NOVEMBRE","DICEMBRE")&amp;" "&amp;YEAR(B340),"")</f>
        <v/>
      </c>
      <c r="B339" s="11"/>
      <c r="C339" s="12"/>
      <c r="D339" s="12" t="str">
        <f>IF(C339="","",C339-IF(C338&lt;&gt;"",C338,IF(C337&lt;&gt;"",C337,IF(C336&lt;&gt;"",C336,0))))</f>
        <v/>
      </c>
      <c r="E339" s="12"/>
      <c r="F339" s="12"/>
      <c r="G339" s="9" t="str">
        <f>IF(AND(E339="",F339=""),"",IF(OR(E339&gt;1,F339&gt;1),(F339-E339)/100,F339-E339))</f>
        <v/>
      </c>
      <c r="H339" s="12" t="str">
        <f>IF(G339="","",64*G339)</f>
        <v/>
      </c>
      <c r="I339" s="13"/>
      <c r="J339" s="13" t="str">
        <f>IFERROR(IF(OR(D339="",D339=0),"",I339/D339*100),"")</f>
        <v/>
      </c>
      <c r="K339" s="14"/>
      <c r="L339" s="13" t="str">
        <f>IF(I339="","",I339*K339)</f>
        <v/>
      </c>
      <c r="M339" s="13" t="str">
        <f>IF(B339="","",IFERROR(SUMPRODUCT(ISNUMBER(B$3:B339)*(MONTH(IF(ISNUMBER(B$3:B339),B$3:B339,1))=MONTH(B339))*(YEAR(IF(ISNUMBER(B$3:B339),B$3:B339,1))=YEAR(B339))*IF(ISNUMBER(L$3:L339),L$3:L339,0)),""))</f>
        <v/>
      </c>
      <c r="N339" s="6"/>
      <c r="O339" s="7" t="str">
        <f>IF(AND(B339="",ISNUMBER(B340)),CHOOSE(MONTH(B340),"GENNAIO","FEBBRAIO","MARZO","APRILE","MAGGIO","GIUGNO","LUGLIO","AGOSTO","SETTEMBRE","OTTOBRE","NOVEMBRE","DICEMBRE")&amp;" "&amp;YEAR(B340),"")</f>
        <v/>
      </c>
      <c r="P339" s="12" t="str">
        <f>IF(K339=0.2,"CASA","")</f>
        <v/>
      </c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" customHeight="1" x14ac:dyDescent="0.2">
      <c r="A340" s="5" t="str">
        <f>IF(AND(B340="",ISNUMBER(B341)),CHOOSE(MONTH(B341),"GENNAIO","FEBBRAIO","MARZO","APRILE","MAGGIO","GIUGNO","LUGLIO","AGOSTO","SETTEMBRE","OTTOBRE","NOVEMBRE","DICEMBRE")&amp;" "&amp;YEAR(B341),"")</f>
        <v/>
      </c>
      <c r="B340" s="11"/>
      <c r="C340" s="12"/>
      <c r="D340" s="12" t="str">
        <f>IF(C340="","",C340-IF(C339&lt;&gt;"",C339,IF(C338&lt;&gt;"",C338,IF(C337&lt;&gt;"",C337,0))))</f>
        <v/>
      </c>
      <c r="E340" s="12"/>
      <c r="F340" s="12"/>
      <c r="G340" s="9" t="str">
        <f>IF(AND(E340="",F340=""),"",IF(OR(E340&gt;1,F340&gt;1),(F340-E340)/100,F340-E340))</f>
        <v/>
      </c>
      <c r="H340" s="12" t="str">
        <f>IF(G340="","",64*G340)</f>
        <v/>
      </c>
      <c r="I340" s="13"/>
      <c r="J340" s="13" t="str">
        <f>IFERROR(IF(OR(D340="",D340=0),"",I340/D340*100),"")</f>
        <v/>
      </c>
      <c r="K340" s="14"/>
      <c r="L340" s="13" t="str">
        <f>IF(I340="","",I340*K340)</f>
        <v/>
      </c>
      <c r="M340" s="13" t="str">
        <f>IF(B340="","",IFERROR(SUMPRODUCT(ISNUMBER(B$3:B340)*(MONTH(IF(ISNUMBER(B$3:B340),B$3:B340,1))=MONTH(B340))*(YEAR(IF(ISNUMBER(B$3:B340),B$3:B340,1))=YEAR(B340))*IF(ISNUMBER(L$3:L340),L$3:L340,0)),""))</f>
        <v/>
      </c>
      <c r="N340" s="6"/>
      <c r="O340" s="7" t="str">
        <f>IF(AND(B340="",ISNUMBER(B341)),CHOOSE(MONTH(B341),"GENNAIO","FEBBRAIO","MARZO","APRILE","MAGGIO","GIUGNO","LUGLIO","AGOSTO","SETTEMBRE","OTTOBRE","NOVEMBRE","DICEMBRE")&amp;" "&amp;YEAR(B341),"")</f>
        <v/>
      </c>
      <c r="P340" s="12" t="str">
        <f>IF(K340=0.2,"CASA","")</f>
        <v/>
      </c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" customHeight="1" x14ac:dyDescent="0.2">
      <c r="A341" s="5" t="str">
        <f>IF(AND(B341="",ISNUMBER(B342)),CHOOSE(MONTH(B342),"GENNAIO","FEBBRAIO","MARZO","APRILE","MAGGIO","GIUGNO","LUGLIO","AGOSTO","SETTEMBRE","OTTOBRE","NOVEMBRE","DICEMBRE")&amp;" "&amp;YEAR(B342),"")</f>
        <v/>
      </c>
      <c r="B341" s="11"/>
      <c r="C341" s="12"/>
      <c r="D341" s="12" t="str">
        <f>IF(C341="","",C341-IF(C340&lt;&gt;"",C340,IF(C339&lt;&gt;"",C339,IF(C338&lt;&gt;"",C338,0))))</f>
        <v/>
      </c>
      <c r="E341" s="12"/>
      <c r="F341" s="12"/>
      <c r="G341" s="9" t="str">
        <f>IF(AND(E341="",F341=""),"",IF(OR(E341&gt;1,F341&gt;1),(F341-E341)/100,F341-E341))</f>
        <v/>
      </c>
      <c r="H341" s="12" t="str">
        <f>IF(G341="","",64*G341)</f>
        <v/>
      </c>
      <c r="I341" s="13"/>
      <c r="J341" s="13" t="str">
        <f>IFERROR(IF(OR(D341="",D341=0),"",I341/D341*100),"")</f>
        <v/>
      </c>
      <c r="K341" s="14"/>
      <c r="L341" s="13" t="str">
        <f>IF(I341="","",I341*K341)</f>
        <v/>
      </c>
      <c r="M341" s="13" t="str">
        <f>IF(B341="","",IFERROR(SUMPRODUCT(ISNUMBER(B$3:B341)*(MONTH(IF(ISNUMBER(B$3:B341),B$3:B341,1))=MONTH(B341))*(YEAR(IF(ISNUMBER(B$3:B341),B$3:B341,1))=YEAR(B341))*IF(ISNUMBER(L$3:L341),L$3:L341,0)),""))</f>
        <v/>
      </c>
      <c r="N341" s="6"/>
      <c r="O341" s="7" t="str">
        <f>IF(AND(B341="",ISNUMBER(B342)),CHOOSE(MONTH(B342),"GENNAIO","FEBBRAIO","MARZO","APRILE","MAGGIO","GIUGNO","LUGLIO","AGOSTO","SETTEMBRE","OTTOBRE","NOVEMBRE","DICEMBRE")&amp;" "&amp;YEAR(B342),"")</f>
        <v/>
      </c>
      <c r="P341" s="12" t="str">
        <f>IF(K341=0.2,"CASA","")</f>
        <v/>
      </c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" customHeight="1" x14ac:dyDescent="0.2">
      <c r="A342" s="5" t="str">
        <f>IF(AND(B342="",ISNUMBER(B343)),CHOOSE(MONTH(B343),"GENNAIO","FEBBRAIO","MARZO","APRILE","MAGGIO","GIUGNO","LUGLIO","AGOSTO","SETTEMBRE","OTTOBRE","NOVEMBRE","DICEMBRE")&amp;" "&amp;YEAR(B343),"")</f>
        <v/>
      </c>
      <c r="B342" s="11"/>
      <c r="C342" s="12"/>
      <c r="D342" s="12" t="str">
        <f>IF(C342="","",C342-IF(C341&lt;&gt;"",C341,IF(C340&lt;&gt;"",C340,IF(C339&lt;&gt;"",C339,0))))</f>
        <v/>
      </c>
      <c r="E342" s="12"/>
      <c r="F342" s="12"/>
      <c r="G342" s="9" t="str">
        <f>IF(AND(E342="",F342=""),"",IF(OR(E342&gt;1,F342&gt;1),(F342-E342)/100,F342-E342))</f>
        <v/>
      </c>
      <c r="H342" s="12" t="str">
        <f>IF(G342="","",64*G342)</f>
        <v/>
      </c>
      <c r="I342" s="13"/>
      <c r="J342" s="13" t="str">
        <f>IFERROR(IF(OR(D342="",D342=0),"",I342/D342*100),"")</f>
        <v/>
      </c>
      <c r="K342" s="14"/>
      <c r="L342" s="13" t="str">
        <f>IF(I342="","",I342*K342)</f>
        <v/>
      </c>
      <c r="M342" s="13" t="str">
        <f>IF(B342="","",IFERROR(SUMPRODUCT(ISNUMBER(B$3:B342)*(MONTH(IF(ISNUMBER(B$3:B342),B$3:B342,1))=MONTH(B342))*(YEAR(IF(ISNUMBER(B$3:B342),B$3:B342,1))=YEAR(B342))*IF(ISNUMBER(L$3:L342),L$3:L342,0)),""))</f>
        <v/>
      </c>
      <c r="N342" s="6"/>
      <c r="O342" s="7" t="str">
        <f>IF(AND(B342="",ISNUMBER(B343)),CHOOSE(MONTH(B343),"GENNAIO","FEBBRAIO","MARZO","APRILE","MAGGIO","GIUGNO","LUGLIO","AGOSTO","SETTEMBRE","OTTOBRE","NOVEMBRE","DICEMBRE")&amp;" "&amp;YEAR(B343),"")</f>
        <v/>
      </c>
      <c r="P342" s="12" t="str">
        <f>IF(K342=0.2,"CASA","")</f>
        <v/>
      </c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" customHeight="1" x14ac:dyDescent="0.2">
      <c r="A343" s="5" t="str">
        <f>IF(AND(B343="",ISNUMBER(B344)),CHOOSE(MONTH(B344),"GENNAIO","FEBBRAIO","MARZO","APRILE","MAGGIO","GIUGNO","LUGLIO","AGOSTO","SETTEMBRE","OTTOBRE","NOVEMBRE","DICEMBRE")&amp;" "&amp;YEAR(B344),"")</f>
        <v/>
      </c>
      <c r="B343" s="11"/>
      <c r="C343" s="12"/>
      <c r="D343" s="12" t="str">
        <f>IF(C343="","",C343-IF(C342&lt;&gt;"",C342,IF(C341&lt;&gt;"",C341,IF(C340&lt;&gt;"",C340,0))))</f>
        <v/>
      </c>
      <c r="E343" s="12"/>
      <c r="F343" s="12"/>
      <c r="G343" s="9" t="str">
        <f>IF(AND(E343="",F343=""),"",IF(OR(E343&gt;1,F343&gt;1),(F343-E343)/100,F343-E343))</f>
        <v/>
      </c>
      <c r="H343" s="12" t="str">
        <f>IF(G343="","",64*G343)</f>
        <v/>
      </c>
      <c r="I343" s="13"/>
      <c r="J343" s="13" t="str">
        <f>IFERROR(IF(OR(D343="",D343=0),"",I343/D343*100),"")</f>
        <v/>
      </c>
      <c r="K343" s="14"/>
      <c r="L343" s="13" t="str">
        <f>IF(I343="","",I343*K343)</f>
        <v/>
      </c>
      <c r="M343" s="13" t="str">
        <f>IF(B343="","",IFERROR(SUMPRODUCT(ISNUMBER(B$3:B343)*(MONTH(IF(ISNUMBER(B$3:B343),B$3:B343,1))=MONTH(B343))*(YEAR(IF(ISNUMBER(B$3:B343),B$3:B343,1))=YEAR(B343))*IF(ISNUMBER(L$3:L343),L$3:L343,0)),""))</f>
        <v/>
      </c>
      <c r="N343" s="6"/>
      <c r="O343" s="7" t="str">
        <f>IF(AND(B343="",ISNUMBER(B344)),CHOOSE(MONTH(B344),"GENNAIO","FEBBRAIO","MARZO","APRILE","MAGGIO","GIUGNO","LUGLIO","AGOSTO","SETTEMBRE","OTTOBRE","NOVEMBRE","DICEMBRE")&amp;" "&amp;YEAR(B344),"")</f>
        <v/>
      </c>
      <c r="P343" s="12" t="str">
        <f>IF(K343=0.2,"CASA","")</f>
        <v/>
      </c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" customHeight="1" x14ac:dyDescent="0.2">
      <c r="A344" s="5" t="str">
        <f>IF(AND(B344="",ISNUMBER(B345)),CHOOSE(MONTH(B345),"GENNAIO","FEBBRAIO","MARZO","APRILE","MAGGIO","GIUGNO","LUGLIO","AGOSTO","SETTEMBRE","OTTOBRE","NOVEMBRE","DICEMBRE")&amp;" "&amp;YEAR(B345),"")</f>
        <v/>
      </c>
      <c r="B344" s="11"/>
      <c r="C344" s="12"/>
      <c r="D344" s="12" t="str">
        <f>IF(C344="","",C344-IF(C343&lt;&gt;"",C343,IF(C342&lt;&gt;"",C342,IF(C341&lt;&gt;"",C341,0))))</f>
        <v/>
      </c>
      <c r="E344" s="12"/>
      <c r="F344" s="12"/>
      <c r="G344" s="9" t="str">
        <f>IF(AND(E344="",F344=""),"",IF(OR(E344&gt;1,F344&gt;1),(F344-E344)/100,F344-E344))</f>
        <v/>
      </c>
      <c r="H344" s="12" t="str">
        <f>IF(G344="","",64*G344)</f>
        <v/>
      </c>
      <c r="I344" s="13"/>
      <c r="J344" s="13" t="str">
        <f>IFERROR(IF(OR(D344="",D344=0),"",I344/D344*100),"")</f>
        <v/>
      </c>
      <c r="K344" s="14"/>
      <c r="L344" s="13" t="str">
        <f>IF(I344="","",I344*K344)</f>
        <v/>
      </c>
      <c r="M344" s="13" t="str">
        <f>IF(B344="","",IFERROR(SUMPRODUCT(ISNUMBER(B$3:B344)*(MONTH(IF(ISNUMBER(B$3:B344),B$3:B344,1))=MONTH(B344))*(YEAR(IF(ISNUMBER(B$3:B344),B$3:B344,1))=YEAR(B344))*IF(ISNUMBER(L$3:L344),L$3:L344,0)),""))</f>
        <v/>
      </c>
      <c r="N344" s="6"/>
      <c r="O344" s="7" t="str">
        <f>IF(AND(B344="",ISNUMBER(B345)),CHOOSE(MONTH(B345),"GENNAIO","FEBBRAIO","MARZO","APRILE","MAGGIO","GIUGNO","LUGLIO","AGOSTO","SETTEMBRE","OTTOBRE","NOVEMBRE","DICEMBRE")&amp;" "&amp;YEAR(B345),"")</f>
        <v/>
      </c>
      <c r="P344" s="12" t="str">
        <f>IF(K344=0.2,"CASA","")</f>
        <v/>
      </c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" customHeight="1" x14ac:dyDescent="0.2">
      <c r="A345" s="5" t="str">
        <f>IF(AND(B345="",ISNUMBER(B346)),CHOOSE(MONTH(B346),"GENNAIO","FEBBRAIO","MARZO","APRILE","MAGGIO","GIUGNO","LUGLIO","AGOSTO","SETTEMBRE","OTTOBRE","NOVEMBRE","DICEMBRE")&amp;" "&amp;YEAR(B346),"")</f>
        <v/>
      </c>
      <c r="B345" s="11"/>
      <c r="C345" s="12"/>
      <c r="D345" s="12" t="str">
        <f>IF(C345="","",C345-IF(C344&lt;&gt;"",C344,IF(C343&lt;&gt;"",C343,IF(C342&lt;&gt;"",C342,0))))</f>
        <v/>
      </c>
      <c r="E345" s="12"/>
      <c r="F345" s="12"/>
      <c r="G345" s="9" t="str">
        <f>IF(AND(E345="",F345=""),"",IF(OR(E345&gt;1,F345&gt;1),(F345-E345)/100,F345-E345))</f>
        <v/>
      </c>
      <c r="H345" s="12" t="str">
        <f>IF(G345="","",64*G345)</f>
        <v/>
      </c>
      <c r="I345" s="13"/>
      <c r="J345" s="13" t="str">
        <f>IFERROR(IF(OR(D345="",D345=0),"",I345/D345*100),"")</f>
        <v/>
      </c>
      <c r="K345" s="14"/>
      <c r="L345" s="13" t="str">
        <f>IF(I345="","",I345*K345)</f>
        <v/>
      </c>
      <c r="M345" s="13" t="str">
        <f>IF(B345="","",IFERROR(SUMPRODUCT(ISNUMBER(B$3:B345)*(MONTH(IF(ISNUMBER(B$3:B345),B$3:B345,1))=MONTH(B345))*(YEAR(IF(ISNUMBER(B$3:B345),B$3:B345,1))=YEAR(B345))*IF(ISNUMBER(L$3:L345),L$3:L345,0)),""))</f>
        <v/>
      </c>
      <c r="N345" s="6"/>
      <c r="O345" s="7" t="str">
        <f>IF(AND(B345="",ISNUMBER(B346)),CHOOSE(MONTH(B346),"GENNAIO","FEBBRAIO","MARZO","APRILE","MAGGIO","GIUGNO","LUGLIO","AGOSTO","SETTEMBRE","OTTOBRE","NOVEMBRE","DICEMBRE")&amp;" "&amp;YEAR(B346),"")</f>
        <v/>
      </c>
      <c r="P345" s="12" t="str">
        <f>IF(K345=0.2,"CASA","")</f>
        <v/>
      </c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" customHeight="1" x14ac:dyDescent="0.2">
      <c r="A346" s="5" t="str">
        <f>IF(AND(B346="",ISNUMBER(B347)),CHOOSE(MONTH(B347),"GENNAIO","FEBBRAIO","MARZO","APRILE","MAGGIO","GIUGNO","LUGLIO","AGOSTO","SETTEMBRE","OTTOBRE","NOVEMBRE","DICEMBRE")&amp;" "&amp;YEAR(B347),"")</f>
        <v/>
      </c>
      <c r="B346" s="11"/>
      <c r="C346" s="12"/>
      <c r="D346" s="12" t="str">
        <f>IF(C346="","",C346-IF(C345&lt;&gt;"",C345,IF(C344&lt;&gt;"",C344,IF(C343&lt;&gt;"",C343,0))))</f>
        <v/>
      </c>
      <c r="E346" s="12"/>
      <c r="F346" s="12"/>
      <c r="G346" s="9" t="str">
        <f>IF(AND(E346="",F346=""),"",IF(OR(E346&gt;1,F346&gt;1),(F346-E346)/100,F346-E346))</f>
        <v/>
      </c>
      <c r="H346" s="12" t="str">
        <f>IF(G346="","",64*G346)</f>
        <v/>
      </c>
      <c r="I346" s="13"/>
      <c r="J346" s="13" t="str">
        <f>IFERROR(IF(OR(D346="",D346=0),"",I346/D346*100),"")</f>
        <v/>
      </c>
      <c r="K346" s="14"/>
      <c r="L346" s="13" t="str">
        <f>IF(I346="","",I346*K346)</f>
        <v/>
      </c>
      <c r="M346" s="13" t="str">
        <f>IF(B346="","",IFERROR(SUMPRODUCT(ISNUMBER(B$3:B346)*(MONTH(IF(ISNUMBER(B$3:B346),B$3:B346,1))=MONTH(B346))*(YEAR(IF(ISNUMBER(B$3:B346),B$3:B346,1))=YEAR(B346))*IF(ISNUMBER(L$3:L346),L$3:L346,0)),""))</f>
        <v/>
      </c>
      <c r="N346" s="6"/>
      <c r="O346" s="7" t="str">
        <f>IF(AND(B346="",ISNUMBER(B347)),CHOOSE(MONTH(B347),"GENNAIO","FEBBRAIO","MARZO","APRILE","MAGGIO","GIUGNO","LUGLIO","AGOSTO","SETTEMBRE","OTTOBRE","NOVEMBRE","DICEMBRE")&amp;" "&amp;YEAR(B347),"")</f>
        <v/>
      </c>
      <c r="P346" s="12" t="str">
        <f>IF(K346=0.2,"CASA","")</f>
        <v/>
      </c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" customHeight="1" x14ac:dyDescent="0.2">
      <c r="A347" s="5" t="str">
        <f>IF(AND(B347="",ISNUMBER(B348)),CHOOSE(MONTH(B348),"GENNAIO","FEBBRAIO","MARZO","APRILE","MAGGIO","GIUGNO","LUGLIO","AGOSTO","SETTEMBRE","OTTOBRE","NOVEMBRE","DICEMBRE")&amp;" "&amp;YEAR(B348),"")</f>
        <v/>
      </c>
      <c r="B347" s="11"/>
      <c r="C347" s="12"/>
      <c r="D347" s="12" t="str">
        <f>IF(C347="","",C347-IF(C346&lt;&gt;"",C346,IF(C345&lt;&gt;"",C345,IF(C344&lt;&gt;"",C344,0))))</f>
        <v/>
      </c>
      <c r="E347" s="12"/>
      <c r="F347" s="12"/>
      <c r="G347" s="9" t="str">
        <f>IF(AND(E347="",F347=""),"",IF(OR(E347&gt;1,F347&gt;1),(F347-E347)/100,F347-E347))</f>
        <v/>
      </c>
      <c r="H347" s="12" t="str">
        <f>IF(G347="","",64*G347)</f>
        <v/>
      </c>
      <c r="I347" s="13"/>
      <c r="J347" s="13" t="str">
        <f>IFERROR(IF(OR(D347="",D347=0),"",I347/D347*100),"")</f>
        <v/>
      </c>
      <c r="K347" s="14"/>
      <c r="L347" s="13" t="str">
        <f>IF(I347="","",I347*K347)</f>
        <v/>
      </c>
      <c r="M347" s="13" t="str">
        <f>IF(B347="","",IFERROR(SUMPRODUCT(ISNUMBER(B$3:B347)*(MONTH(IF(ISNUMBER(B$3:B347),B$3:B347,1))=MONTH(B347))*(YEAR(IF(ISNUMBER(B$3:B347),B$3:B347,1))=YEAR(B347))*IF(ISNUMBER(L$3:L347),L$3:L347,0)),""))</f>
        <v/>
      </c>
      <c r="N347" s="6"/>
      <c r="O347" s="7" t="str">
        <f>IF(AND(B347="",ISNUMBER(B348)),CHOOSE(MONTH(B348),"GENNAIO","FEBBRAIO","MARZO","APRILE","MAGGIO","GIUGNO","LUGLIO","AGOSTO","SETTEMBRE","OTTOBRE","NOVEMBRE","DICEMBRE")&amp;" "&amp;YEAR(B348),"")</f>
        <v/>
      </c>
      <c r="P347" s="12" t="str">
        <f>IF(K347=0.2,"CASA","")</f>
        <v/>
      </c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" customHeight="1" x14ac:dyDescent="0.2">
      <c r="A348" s="5" t="str">
        <f>IF(AND(B348="",ISNUMBER(B349)),CHOOSE(MONTH(B349),"GENNAIO","FEBBRAIO","MARZO","APRILE","MAGGIO","GIUGNO","LUGLIO","AGOSTO","SETTEMBRE","OTTOBRE","NOVEMBRE","DICEMBRE")&amp;" "&amp;YEAR(B349),"")</f>
        <v/>
      </c>
      <c r="B348" s="11"/>
      <c r="C348" s="12"/>
      <c r="D348" s="12" t="str">
        <f>IF(C348="","",C348-IF(C347&lt;&gt;"",C347,IF(C346&lt;&gt;"",C346,IF(C345&lt;&gt;"",C345,0))))</f>
        <v/>
      </c>
      <c r="E348" s="12"/>
      <c r="F348" s="12"/>
      <c r="G348" s="9" t="str">
        <f>IF(AND(E348="",F348=""),"",IF(OR(E348&gt;1,F348&gt;1),(F348-E348)/100,F348-E348))</f>
        <v/>
      </c>
      <c r="H348" s="12" t="str">
        <f>IF(G348="","",64*G348)</f>
        <v/>
      </c>
      <c r="I348" s="13"/>
      <c r="J348" s="13" t="str">
        <f>IFERROR(IF(OR(D348="",D348=0),"",I348/D348*100),"")</f>
        <v/>
      </c>
      <c r="K348" s="14"/>
      <c r="L348" s="13" t="str">
        <f>IF(I348="","",I348*K348)</f>
        <v/>
      </c>
      <c r="M348" s="13" t="str">
        <f>IF(B348="","",IFERROR(SUMPRODUCT(ISNUMBER(B$3:B348)*(MONTH(IF(ISNUMBER(B$3:B348),B$3:B348,1))=MONTH(B348))*(YEAR(IF(ISNUMBER(B$3:B348),B$3:B348,1))=YEAR(B348))*IF(ISNUMBER(L$3:L348),L$3:L348,0)),""))</f>
        <v/>
      </c>
      <c r="N348" s="6"/>
      <c r="O348" s="7" t="str">
        <f>IF(AND(B348="",ISNUMBER(B349)),CHOOSE(MONTH(B349),"GENNAIO","FEBBRAIO","MARZO","APRILE","MAGGIO","GIUGNO","LUGLIO","AGOSTO","SETTEMBRE","OTTOBRE","NOVEMBRE","DICEMBRE")&amp;" "&amp;YEAR(B349),"")</f>
        <v/>
      </c>
      <c r="P348" s="12" t="str">
        <f>IF(K348=0.2,"CASA","")</f>
        <v/>
      </c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" customHeight="1" x14ac:dyDescent="0.2">
      <c r="A349" s="5" t="str">
        <f>IF(AND(B349="",ISNUMBER(B350)),CHOOSE(MONTH(B350),"GENNAIO","FEBBRAIO","MARZO","APRILE","MAGGIO","GIUGNO","LUGLIO","AGOSTO","SETTEMBRE","OTTOBRE","NOVEMBRE","DICEMBRE")&amp;" "&amp;YEAR(B350),"")</f>
        <v/>
      </c>
      <c r="B349" s="11"/>
      <c r="C349" s="12"/>
      <c r="D349" s="12" t="str">
        <f>IF(C349="","",C349-IF(C348&lt;&gt;"",C348,IF(C347&lt;&gt;"",C347,IF(C346&lt;&gt;"",C346,0))))</f>
        <v/>
      </c>
      <c r="E349" s="12"/>
      <c r="F349" s="12"/>
      <c r="G349" s="9" t="str">
        <f>IF(AND(E349="",F349=""),"",IF(OR(E349&gt;1,F349&gt;1),(F349-E349)/100,F349-E349))</f>
        <v/>
      </c>
      <c r="H349" s="12" t="str">
        <f>IF(G349="","",64*G349)</f>
        <v/>
      </c>
      <c r="I349" s="13"/>
      <c r="J349" s="13" t="str">
        <f>IFERROR(IF(OR(D349="",D349=0),"",I349/D349*100),"")</f>
        <v/>
      </c>
      <c r="K349" s="14"/>
      <c r="L349" s="13" t="str">
        <f>IF(I349="","",I349*K349)</f>
        <v/>
      </c>
      <c r="M349" s="13" t="str">
        <f>IF(B349="","",IFERROR(SUMPRODUCT(ISNUMBER(B$3:B349)*(MONTH(IF(ISNUMBER(B$3:B349),B$3:B349,1))=MONTH(B349))*(YEAR(IF(ISNUMBER(B$3:B349),B$3:B349,1))=YEAR(B349))*IF(ISNUMBER(L$3:L349),L$3:L349,0)),""))</f>
        <v/>
      </c>
      <c r="N349" s="6"/>
      <c r="O349" s="7" t="str">
        <f>IF(AND(B349="",ISNUMBER(B350)),CHOOSE(MONTH(B350),"GENNAIO","FEBBRAIO","MARZO","APRILE","MAGGIO","GIUGNO","LUGLIO","AGOSTO","SETTEMBRE","OTTOBRE","NOVEMBRE","DICEMBRE")&amp;" "&amp;YEAR(B350),"")</f>
        <v/>
      </c>
      <c r="P349" s="12" t="str">
        <f>IF(K349=0.2,"CASA","")</f>
        <v/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" customHeight="1" x14ac:dyDescent="0.2">
      <c r="A350" s="5" t="str">
        <f>IF(AND(B350="",ISNUMBER(B351)),CHOOSE(MONTH(B351),"GENNAIO","FEBBRAIO","MARZO","APRILE","MAGGIO","GIUGNO","LUGLIO","AGOSTO","SETTEMBRE","OTTOBRE","NOVEMBRE","DICEMBRE")&amp;" "&amp;YEAR(B351),"")</f>
        <v/>
      </c>
      <c r="B350" s="11"/>
      <c r="C350" s="12"/>
      <c r="D350" s="12" t="str">
        <f>IF(C350="","",C350-IF(C349&lt;&gt;"",C349,IF(C348&lt;&gt;"",C348,IF(C347&lt;&gt;"",C347,0))))</f>
        <v/>
      </c>
      <c r="E350" s="12"/>
      <c r="F350" s="12"/>
      <c r="G350" s="9" t="str">
        <f>IF(AND(E350="",F350=""),"",IF(OR(E350&gt;1,F350&gt;1),(F350-E350)/100,F350-E350))</f>
        <v/>
      </c>
      <c r="H350" s="12" t="str">
        <f>IF(G350="","",64*G350)</f>
        <v/>
      </c>
      <c r="I350" s="13"/>
      <c r="J350" s="13" t="str">
        <f>IFERROR(IF(OR(D350="",D350=0),"",I350/D350*100),"")</f>
        <v/>
      </c>
      <c r="K350" s="14"/>
      <c r="L350" s="13" t="str">
        <f>IF(I350="","",I350*K350)</f>
        <v/>
      </c>
      <c r="M350" s="13" t="str">
        <f>IF(B350="","",IFERROR(SUMPRODUCT(ISNUMBER(B$3:B350)*(MONTH(IF(ISNUMBER(B$3:B350),B$3:B350,1))=MONTH(B350))*(YEAR(IF(ISNUMBER(B$3:B350),B$3:B350,1))=YEAR(B350))*IF(ISNUMBER(L$3:L350),L$3:L350,0)),""))</f>
        <v/>
      </c>
      <c r="N350" s="6"/>
      <c r="O350" s="7" t="str">
        <f>IF(AND(B350="",ISNUMBER(B351)),CHOOSE(MONTH(B351),"GENNAIO","FEBBRAIO","MARZO","APRILE","MAGGIO","GIUGNO","LUGLIO","AGOSTO","SETTEMBRE","OTTOBRE","NOVEMBRE","DICEMBRE")&amp;" "&amp;YEAR(B351),"")</f>
        <v/>
      </c>
      <c r="P350" s="12" t="str">
        <f>IF(K350=0.2,"CASA","")</f>
        <v/>
      </c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" customHeight="1" x14ac:dyDescent="0.2">
      <c r="A351" s="5" t="str">
        <f>IF(AND(B351="",ISNUMBER(B352)),CHOOSE(MONTH(B352),"GENNAIO","FEBBRAIO","MARZO","APRILE","MAGGIO","GIUGNO","LUGLIO","AGOSTO","SETTEMBRE","OTTOBRE","NOVEMBRE","DICEMBRE")&amp;" "&amp;YEAR(B352),"")</f>
        <v/>
      </c>
      <c r="B351" s="11"/>
      <c r="C351" s="12"/>
      <c r="D351" s="12" t="str">
        <f>IF(C351="","",C351-IF(C350&lt;&gt;"",C350,IF(C349&lt;&gt;"",C349,IF(C348&lt;&gt;"",C348,0))))</f>
        <v/>
      </c>
      <c r="E351" s="12"/>
      <c r="F351" s="12"/>
      <c r="G351" s="9" t="str">
        <f>IF(AND(E351="",F351=""),"",IF(OR(E351&gt;1,F351&gt;1),(F351-E351)/100,F351-E351))</f>
        <v/>
      </c>
      <c r="H351" s="12" t="str">
        <f>IF(G351="","",64*G351)</f>
        <v/>
      </c>
      <c r="I351" s="13"/>
      <c r="J351" s="13" t="str">
        <f>IFERROR(IF(OR(D351="",D351=0),"",I351/D351*100),"")</f>
        <v/>
      </c>
      <c r="K351" s="14"/>
      <c r="L351" s="13" t="str">
        <f>IF(I351="","",I351*K351)</f>
        <v/>
      </c>
      <c r="M351" s="13" t="str">
        <f>IF(B351="","",IFERROR(SUMPRODUCT(ISNUMBER(B$3:B351)*(MONTH(IF(ISNUMBER(B$3:B351),B$3:B351,1))=MONTH(B351))*(YEAR(IF(ISNUMBER(B$3:B351),B$3:B351,1))=YEAR(B351))*IF(ISNUMBER(L$3:L351),L$3:L351,0)),""))</f>
        <v/>
      </c>
      <c r="N351" s="6"/>
      <c r="O351" s="7" t="str">
        <f>IF(AND(B351="",ISNUMBER(B352)),CHOOSE(MONTH(B352),"GENNAIO","FEBBRAIO","MARZO","APRILE","MAGGIO","GIUGNO","LUGLIO","AGOSTO","SETTEMBRE","OTTOBRE","NOVEMBRE","DICEMBRE")&amp;" "&amp;YEAR(B352),"")</f>
        <v/>
      </c>
      <c r="P351" s="12" t="str">
        <f>IF(K351=0.2,"CASA","")</f>
        <v/>
      </c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" customHeight="1" x14ac:dyDescent="0.2">
      <c r="A352" s="5" t="str">
        <f>IF(AND(B352="",ISNUMBER(B353)),CHOOSE(MONTH(B353),"GENNAIO","FEBBRAIO","MARZO","APRILE","MAGGIO","GIUGNO","LUGLIO","AGOSTO","SETTEMBRE","OTTOBRE","NOVEMBRE","DICEMBRE")&amp;" "&amp;YEAR(B353),"")</f>
        <v/>
      </c>
      <c r="B352" s="11"/>
      <c r="C352" s="12"/>
      <c r="D352" s="12" t="str">
        <f>IF(C352="","",C352-IF(C351&lt;&gt;"",C351,IF(C350&lt;&gt;"",C350,IF(C349&lt;&gt;"",C349,0))))</f>
        <v/>
      </c>
      <c r="E352" s="12"/>
      <c r="F352" s="12"/>
      <c r="G352" s="9" t="str">
        <f>IF(AND(E352="",F352=""),"",IF(OR(E352&gt;1,F352&gt;1),(F352-E352)/100,F352-E352))</f>
        <v/>
      </c>
      <c r="H352" s="12" t="str">
        <f>IF(G352="","",64*G352)</f>
        <v/>
      </c>
      <c r="I352" s="13"/>
      <c r="J352" s="13" t="str">
        <f>IFERROR(IF(OR(D352="",D352=0),"",I352/D352*100),"")</f>
        <v/>
      </c>
      <c r="K352" s="14"/>
      <c r="L352" s="13" t="str">
        <f>IF(I352="","",I352*K352)</f>
        <v/>
      </c>
      <c r="M352" s="13" t="str">
        <f>IF(B352="","",IFERROR(SUMPRODUCT(ISNUMBER(B$3:B352)*(MONTH(IF(ISNUMBER(B$3:B352),B$3:B352,1))=MONTH(B352))*(YEAR(IF(ISNUMBER(B$3:B352),B$3:B352,1))=YEAR(B352))*IF(ISNUMBER(L$3:L352),L$3:L352,0)),""))</f>
        <v/>
      </c>
      <c r="N352" s="6"/>
      <c r="O352" s="7" t="str">
        <f>IF(AND(B352="",ISNUMBER(B353)),CHOOSE(MONTH(B353),"GENNAIO","FEBBRAIO","MARZO","APRILE","MAGGIO","GIUGNO","LUGLIO","AGOSTO","SETTEMBRE","OTTOBRE","NOVEMBRE","DICEMBRE")&amp;" "&amp;YEAR(B353),"")</f>
        <v/>
      </c>
      <c r="P352" s="12" t="str">
        <f>IF(K352=0.2,"CASA","")</f>
        <v/>
      </c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" customHeight="1" x14ac:dyDescent="0.2">
      <c r="A353" s="5" t="str">
        <f>IF(AND(B353="",ISNUMBER(B354)),CHOOSE(MONTH(B354),"GENNAIO","FEBBRAIO","MARZO","APRILE","MAGGIO","GIUGNO","LUGLIO","AGOSTO","SETTEMBRE","OTTOBRE","NOVEMBRE","DICEMBRE")&amp;" "&amp;YEAR(B354),"")</f>
        <v/>
      </c>
      <c r="B353" s="11"/>
      <c r="C353" s="12"/>
      <c r="D353" s="12" t="str">
        <f>IF(C353="","",C353-IF(C352&lt;&gt;"",C352,IF(C351&lt;&gt;"",C351,IF(C350&lt;&gt;"",C350,0))))</f>
        <v/>
      </c>
      <c r="E353" s="12"/>
      <c r="F353" s="12"/>
      <c r="G353" s="9" t="str">
        <f>IF(AND(E353="",F353=""),"",IF(OR(E353&gt;1,F353&gt;1),(F353-E353)/100,F353-E353))</f>
        <v/>
      </c>
      <c r="H353" s="12" t="str">
        <f>IF(G353="","",64*G353)</f>
        <v/>
      </c>
      <c r="I353" s="13"/>
      <c r="J353" s="13" t="str">
        <f>IFERROR(IF(OR(D353="",D353=0),"",I353/D353*100),"")</f>
        <v/>
      </c>
      <c r="K353" s="14"/>
      <c r="L353" s="13" t="str">
        <f>IF(I353="","",I353*K353)</f>
        <v/>
      </c>
      <c r="M353" s="13" t="str">
        <f>IF(B353="","",IFERROR(SUMPRODUCT(ISNUMBER(B$3:B353)*(MONTH(IF(ISNUMBER(B$3:B353),B$3:B353,1))=MONTH(B353))*(YEAR(IF(ISNUMBER(B$3:B353),B$3:B353,1))=YEAR(B353))*IF(ISNUMBER(L$3:L353),L$3:L353,0)),""))</f>
        <v/>
      </c>
      <c r="N353" s="6"/>
      <c r="O353" s="7" t="str">
        <f>IF(AND(B353="",ISNUMBER(B354)),CHOOSE(MONTH(B354),"GENNAIO","FEBBRAIO","MARZO","APRILE","MAGGIO","GIUGNO","LUGLIO","AGOSTO","SETTEMBRE","OTTOBRE","NOVEMBRE","DICEMBRE")&amp;" "&amp;YEAR(B354),"")</f>
        <v/>
      </c>
      <c r="P353" s="12" t="str">
        <f>IF(K353=0.2,"CASA","")</f>
        <v/>
      </c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" customHeight="1" x14ac:dyDescent="0.2">
      <c r="A354" s="5" t="str">
        <f>IF(AND(B354="",ISNUMBER(B355)),CHOOSE(MONTH(B355),"GENNAIO","FEBBRAIO","MARZO","APRILE","MAGGIO","GIUGNO","LUGLIO","AGOSTO","SETTEMBRE","OTTOBRE","NOVEMBRE","DICEMBRE")&amp;" "&amp;YEAR(B355),"")</f>
        <v/>
      </c>
      <c r="B354" s="11"/>
      <c r="C354" s="12"/>
      <c r="D354" s="12" t="str">
        <f>IF(C354="","",C354-IF(C353&lt;&gt;"",C353,IF(C352&lt;&gt;"",C352,IF(C351&lt;&gt;"",C351,0))))</f>
        <v/>
      </c>
      <c r="E354" s="12"/>
      <c r="F354" s="12"/>
      <c r="G354" s="9" t="str">
        <f>IF(AND(E354="",F354=""),"",IF(OR(E354&gt;1,F354&gt;1),(F354-E354)/100,F354-E354))</f>
        <v/>
      </c>
      <c r="H354" s="12" t="str">
        <f>IF(G354="","",64*G354)</f>
        <v/>
      </c>
      <c r="I354" s="13"/>
      <c r="J354" s="13" t="str">
        <f>IFERROR(IF(OR(D354="",D354=0),"",I354/D354*100),"")</f>
        <v/>
      </c>
      <c r="K354" s="14"/>
      <c r="L354" s="13" t="str">
        <f>IF(I354="","",I354*K354)</f>
        <v/>
      </c>
      <c r="M354" s="13" t="str">
        <f>IF(B354="","",IFERROR(SUMPRODUCT(ISNUMBER(B$3:B354)*(MONTH(IF(ISNUMBER(B$3:B354),B$3:B354,1))=MONTH(B354))*(YEAR(IF(ISNUMBER(B$3:B354),B$3:B354,1))=YEAR(B354))*IF(ISNUMBER(L$3:L354),L$3:L354,0)),""))</f>
        <v/>
      </c>
      <c r="N354" s="6"/>
      <c r="O354" s="7" t="str">
        <f>IF(AND(B354="",ISNUMBER(B355)),CHOOSE(MONTH(B355),"GENNAIO","FEBBRAIO","MARZO","APRILE","MAGGIO","GIUGNO","LUGLIO","AGOSTO","SETTEMBRE","OTTOBRE","NOVEMBRE","DICEMBRE")&amp;" "&amp;YEAR(B355),"")</f>
        <v/>
      </c>
      <c r="P354" s="12" t="str">
        <f>IF(K354=0.2,"CASA","")</f>
        <v/>
      </c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" customHeight="1" x14ac:dyDescent="0.2">
      <c r="A355" s="5" t="str">
        <f>IF(AND(B355="",ISNUMBER(B356)),CHOOSE(MONTH(B356),"GENNAIO","FEBBRAIO","MARZO","APRILE","MAGGIO","GIUGNO","LUGLIO","AGOSTO","SETTEMBRE","OTTOBRE","NOVEMBRE","DICEMBRE")&amp;" "&amp;YEAR(B356),"")</f>
        <v/>
      </c>
      <c r="B355" s="11"/>
      <c r="C355" s="12"/>
      <c r="D355" s="12" t="str">
        <f>IF(C355="","",C355-IF(C354&lt;&gt;"",C354,IF(C353&lt;&gt;"",C353,IF(C352&lt;&gt;"",C352,0))))</f>
        <v/>
      </c>
      <c r="E355" s="12"/>
      <c r="F355" s="12"/>
      <c r="G355" s="9" t="str">
        <f>IF(AND(E355="",F355=""),"",IF(OR(E355&gt;1,F355&gt;1),(F355-E355)/100,F355-E355))</f>
        <v/>
      </c>
      <c r="H355" s="12" t="str">
        <f>IF(G355="","",64*G355)</f>
        <v/>
      </c>
      <c r="I355" s="13"/>
      <c r="J355" s="13" t="str">
        <f>IFERROR(IF(OR(D355="",D355=0),"",I355/D355*100),"")</f>
        <v/>
      </c>
      <c r="K355" s="14"/>
      <c r="L355" s="13" t="str">
        <f>IF(I355="","",I355*K355)</f>
        <v/>
      </c>
      <c r="M355" s="13" t="str">
        <f>IF(B355="","",IFERROR(SUMPRODUCT(ISNUMBER(B$3:B355)*(MONTH(IF(ISNUMBER(B$3:B355),B$3:B355,1))=MONTH(B355))*(YEAR(IF(ISNUMBER(B$3:B355),B$3:B355,1))=YEAR(B355))*IF(ISNUMBER(L$3:L355),L$3:L355,0)),""))</f>
        <v/>
      </c>
      <c r="N355" s="6"/>
      <c r="O355" s="7" t="str">
        <f>IF(AND(B355="",ISNUMBER(B356)),CHOOSE(MONTH(B356),"GENNAIO","FEBBRAIO","MARZO","APRILE","MAGGIO","GIUGNO","LUGLIO","AGOSTO","SETTEMBRE","OTTOBRE","NOVEMBRE","DICEMBRE")&amp;" "&amp;YEAR(B356),"")</f>
        <v/>
      </c>
      <c r="P355" s="12" t="str">
        <f>IF(K355=0.2,"CASA","")</f>
        <v/>
      </c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" customHeight="1" x14ac:dyDescent="0.2">
      <c r="A356" s="5" t="str">
        <f>IF(AND(B356="",ISNUMBER(B357)),CHOOSE(MONTH(B357),"GENNAIO","FEBBRAIO","MARZO","APRILE","MAGGIO","GIUGNO","LUGLIO","AGOSTO","SETTEMBRE","OTTOBRE","NOVEMBRE","DICEMBRE")&amp;" "&amp;YEAR(B357),"")</f>
        <v/>
      </c>
      <c r="B356" s="11"/>
      <c r="C356" s="12"/>
      <c r="D356" s="12" t="str">
        <f>IF(C356="","",C356-IF(C355&lt;&gt;"",C355,IF(C354&lt;&gt;"",C354,IF(C353&lt;&gt;"",C353,0))))</f>
        <v/>
      </c>
      <c r="E356" s="12"/>
      <c r="F356" s="12"/>
      <c r="G356" s="9" t="str">
        <f>IF(AND(E356="",F356=""),"",IF(OR(E356&gt;1,F356&gt;1),(F356-E356)/100,F356-E356))</f>
        <v/>
      </c>
      <c r="H356" s="12" t="str">
        <f>IF(G356="","",64*G356)</f>
        <v/>
      </c>
      <c r="I356" s="13"/>
      <c r="J356" s="13" t="str">
        <f>IFERROR(IF(OR(D356="",D356=0),"",I356/D356*100),"")</f>
        <v/>
      </c>
      <c r="K356" s="14"/>
      <c r="L356" s="13" t="str">
        <f>IF(I356="","",I356*K356)</f>
        <v/>
      </c>
      <c r="M356" s="13" t="str">
        <f>IF(B356="","",IFERROR(SUMPRODUCT(ISNUMBER(B$3:B356)*(MONTH(IF(ISNUMBER(B$3:B356),B$3:B356,1))=MONTH(B356))*(YEAR(IF(ISNUMBER(B$3:B356),B$3:B356,1))=YEAR(B356))*IF(ISNUMBER(L$3:L356),L$3:L356,0)),""))</f>
        <v/>
      </c>
      <c r="N356" s="6"/>
      <c r="O356" s="7" t="str">
        <f>IF(AND(B356="",ISNUMBER(B357)),CHOOSE(MONTH(B357),"GENNAIO","FEBBRAIO","MARZO","APRILE","MAGGIO","GIUGNO","LUGLIO","AGOSTO","SETTEMBRE","OTTOBRE","NOVEMBRE","DICEMBRE")&amp;" "&amp;YEAR(B357),"")</f>
        <v/>
      </c>
      <c r="P356" s="12" t="str">
        <f>IF(K356=0.2,"CASA","")</f>
        <v/>
      </c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" customHeight="1" x14ac:dyDescent="0.2">
      <c r="A357" s="5" t="str">
        <f>IF(AND(B357="",ISNUMBER(B358)),CHOOSE(MONTH(B358),"GENNAIO","FEBBRAIO","MARZO","APRILE","MAGGIO","GIUGNO","LUGLIO","AGOSTO","SETTEMBRE","OTTOBRE","NOVEMBRE","DICEMBRE")&amp;" "&amp;YEAR(B358),"")</f>
        <v/>
      </c>
      <c r="B357" s="11"/>
      <c r="C357" s="12"/>
      <c r="D357" s="12" t="str">
        <f>IF(C357="","",C357-IF(C356&lt;&gt;"",C356,IF(C355&lt;&gt;"",C355,IF(C354&lt;&gt;"",C354,0))))</f>
        <v/>
      </c>
      <c r="E357" s="12"/>
      <c r="F357" s="12"/>
      <c r="G357" s="9" t="str">
        <f>IF(AND(E357="",F357=""),"",IF(OR(E357&gt;1,F357&gt;1),(F357-E357)/100,F357-E357))</f>
        <v/>
      </c>
      <c r="H357" s="12" t="str">
        <f>IF(G357="","",64*G357)</f>
        <v/>
      </c>
      <c r="I357" s="13"/>
      <c r="J357" s="13" t="str">
        <f>IFERROR(IF(OR(D357="",D357=0),"",I357/D357*100),"")</f>
        <v/>
      </c>
      <c r="K357" s="14"/>
      <c r="L357" s="13" t="str">
        <f>IF(I357="","",I357*K357)</f>
        <v/>
      </c>
      <c r="M357" s="13" t="str">
        <f>IF(B357="","",IFERROR(SUMPRODUCT(ISNUMBER(B$3:B357)*(MONTH(IF(ISNUMBER(B$3:B357),B$3:B357,1))=MONTH(B357))*(YEAR(IF(ISNUMBER(B$3:B357),B$3:B357,1))=YEAR(B357))*IF(ISNUMBER(L$3:L357),L$3:L357,0)),""))</f>
        <v/>
      </c>
      <c r="N357" s="6"/>
      <c r="O357" s="7" t="str">
        <f>IF(AND(B357="",ISNUMBER(B358)),CHOOSE(MONTH(B358),"GENNAIO","FEBBRAIO","MARZO","APRILE","MAGGIO","GIUGNO","LUGLIO","AGOSTO","SETTEMBRE","OTTOBRE","NOVEMBRE","DICEMBRE")&amp;" "&amp;YEAR(B358),"")</f>
        <v/>
      </c>
      <c r="P357" s="12" t="str">
        <f>IF(K357=0.2,"CASA","")</f>
        <v/>
      </c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" customHeight="1" x14ac:dyDescent="0.2">
      <c r="A358" s="5" t="str">
        <f>IF(AND(B358="",ISNUMBER(B359)),CHOOSE(MONTH(B359),"GENNAIO","FEBBRAIO","MARZO","APRILE","MAGGIO","GIUGNO","LUGLIO","AGOSTO","SETTEMBRE","OTTOBRE","NOVEMBRE","DICEMBRE")&amp;" "&amp;YEAR(B359),"")</f>
        <v/>
      </c>
      <c r="B358" s="11"/>
      <c r="C358" s="12"/>
      <c r="D358" s="12" t="str">
        <f>IF(C358="","",C358-IF(C357&lt;&gt;"",C357,IF(C356&lt;&gt;"",C356,IF(C355&lt;&gt;"",C355,0))))</f>
        <v/>
      </c>
      <c r="E358" s="12"/>
      <c r="F358" s="12"/>
      <c r="G358" s="9" t="str">
        <f>IF(AND(E358="",F358=""),"",IF(OR(E358&gt;1,F358&gt;1),(F358-E358)/100,F358-E358))</f>
        <v/>
      </c>
      <c r="H358" s="12" t="str">
        <f>IF(G358="","",64*G358)</f>
        <v/>
      </c>
      <c r="I358" s="13"/>
      <c r="J358" s="13" t="str">
        <f>IFERROR(IF(OR(D358="",D358=0),"",I358/D358*100),"")</f>
        <v/>
      </c>
      <c r="K358" s="14"/>
      <c r="L358" s="13" t="str">
        <f>IF(I358="","",I358*K358)</f>
        <v/>
      </c>
      <c r="M358" s="13" t="str">
        <f>IF(B358="","",IFERROR(SUMPRODUCT(ISNUMBER(B$3:B358)*(MONTH(IF(ISNUMBER(B$3:B358),B$3:B358,1))=MONTH(B358))*(YEAR(IF(ISNUMBER(B$3:B358),B$3:B358,1))=YEAR(B358))*IF(ISNUMBER(L$3:L358),L$3:L358,0)),""))</f>
        <v/>
      </c>
      <c r="N358" s="6"/>
      <c r="O358" s="7" t="str">
        <f>IF(AND(B358="",ISNUMBER(B359)),CHOOSE(MONTH(B359),"GENNAIO","FEBBRAIO","MARZO","APRILE","MAGGIO","GIUGNO","LUGLIO","AGOSTO","SETTEMBRE","OTTOBRE","NOVEMBRE","DICEMBRE")&amp;" "&amp;YEAR(B359),"")</f>
        <v/>
      </c>
      <c r="P358" s="12" t="str">
        <f>IF(K358=0.2,"CASA","")</f>
        <v/>
      </c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" customHeight="1" x14ac:dyDescent="0.2">
      <c r="A359" s="5" t="str">
        <f>IF(AND(B359="",ISNUMBER(B360)),CHOOSE(MONTH(B360),"GENNAIO","FEBBRAIO","MARZO","APRILE","MAGGIO","GIUGNO","LUGLIO","AGOSTO","SETTEMBRE","OTTOBRE","NOVEMBRE","DICEMBRE")&amp;" "&amp;YEAR(B360),"")</f>
        <v/>
      </c>
      <c r="B359" s="11"/>
      <c r="C359" s="12"/>
      <c r="D359" s="12" t="str">
        <f>IF(C359="","",C359-IF(C358&lt;&gt;"",C358,IF(C357&lt;&gt;"",C357,IF(C356&lt;&gt;"",C356,0))))</f>
        <v/>
      </c>
      <c r="E359" s="12"/>
      <c r="F359" s="12"/>
      <c r="G359" s="9" t="str">
        <f>IF(AND(E359="",F359=""),"",IF(OR(E359&gt;1,F359&gt;1),(F359-E359)/100,F359-E359))</f>
        <v/>
      </c>
      <c r="H359" s="12" t="str">
        <f>IF(G359="","",64*G359)</f>
        <v/>
      </c>
      <c r="I359" s="13"/>
      <c r="J359" s="13" t="str">
        <f>IFERROR(IF(OR(D359="",D359=0),"",I359/D359*100),"")</f>
        <v/>
      </c>
      <c r="K359" s="14"/>
      <c r="L359" s="13" t="str">
        <f>IF(I359="","",I359*K359)</f>
        <v/>
      </c>
      <c r="M359" s="13" t="str">
        <f>IF(B359="","",IFERROR(SUMPRODUCT(ISNUMBER(B$3:B359)*(MONTH(IF(ISNUMBER(B$3:B359),B$3:B359,1))=MONTH(B359))*(YEAR(IF(ISNUMBER(B$3:B359),B$3:B359,1))=YEAR(B359))*IF(ISNUMBER(L$3:L359),L$3:L359,0)),""))</f>
        <v/>
      </c>
      <c r="N359" s="6"/>
      <c r="O359" s="7" t="str">
        <f>IF(AND(B359="",ISNUMBER(B360)),CHOOSE(MONTH(B360),"GENNAIO","FEBBRAIO","MARZO","APRILE","MAGGIO","GIUGNO","LUGLIO","AGOSTO","SETTEMBRE","OTTOBRE","NOVEMBRE","DICEMBRE")&amp;" "&amp;YEAR(B360),"")</f>
        <v/>
      </c>
      <c r="P359" s="12" t="str">
        <f>IF(K359=0.2,"CASA","")</f>
        <v/>
      </c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" customHeight="1" x14ac:dyDescent="0.2">
      <c r="A360" s="5" t="str">
        <f>IF(AND(B360="",ISNUMBER(B361)),CHOOSE(MONTH(B361),"GENNAIO","FEBBRAIO","MARZO","APRILE","MAGGIO","GIUGNO","LUGLIO","AGOSTO","SETTEMBRE","OTTOBRE","NOVEMBRE","DICEMBRE")&amp;" "&amp;YEAR(B361),"")</f>
        <v/>
      </c>
      <c r="B360" s="11"/>
      <c r="C360" s="12"/>
      <c r="D360" s="12" t="str">
        <f>IF(C360="","",C360-IF(C359&lt;&gt;"",C359,IF(C358&lt;&gt;"",C358,IF(C357&lt;&gt;"",C357,0))))</f>
        <v/>
      </c>
      <c r="E360" s="12"/>
      <c r="F360" s="12"/>
      <c r="G360" s="9" t="str">
        <f>IF(AND(E360="",F360=""),"",IF(OR(E360&gt;1,F360&gt;1),(F360-E360)/100,F360-E360))</f>
        <v/>
      </c>
      <c r="H360" s="12" t="str">
        <f>IF(G360="","",64*G360)</f>
        <v/>
      </c>
      <c r="I360" s="13"/>
      <c r="J360" s="13" t="str">
        <f>IFERROR(IF(OR(D360="",D360=0),"",I360/D360*100),"")</f>
        <v/>
      </c>
      <c r="K360" s="14"/>
      <c r="L360" s="13" t="str">
        <f>IF(I360="","",I360*K360)</f>
        <v/>
      </c>
      <c r="M360" s="13" t="str">
        <f>IF(B360="","",IFERROR(SUMPRODUCT(ISNUMBER(B$3:B360)*(MONTH(IF(ISNUMBER(B$3:B360),B$3:B360,1))=MONTH(B360))*(YEAR(IF(ISNUMBER(B$3:B360),B$3:B360,1))=YEAR(B360))*IF(ISNUMBER(L$3:L360),L$3:L360,0)),""))</f>
        <v/>
      </c>
      <c r="N360" s="6"/>
      <c r="O360" s="7" t="str">
        <f>IF(AND(B360="",ISNUMBER(B361)),CHOOSE(MONTH(B361),"GENNAIO","FEBBRAIO","MARZO","APRILE","MAGGIO","GIUGNO","LUGLIO","AGOSTO","SETTEMBRE","OTTOBRE","NOVEMBRE","DICEMBRE")&amp;" "&amp;YEAR(B361),"")</f>
        <v/>
      </c>
      <c r="P360" s="12" t="str">
        <f>IF(K360=0.2,"CASA","")</f>
        <v/>
      </c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" customHeight="1" x14ac:dyDescent="0.2">
      <c r="A361" s="5" t="str">
        <f>IF(AND(B361="",ISNUMBER(B362)),CHOOSE(MONTH(B362),"GENNAIO","FEBBRAIO","MARZO","APRILE","MAGGIO","GIUGNO","LUGLIO","AGOSTO","SETTEMBRE","OTTOBRE","NOVEMBRE","DICEMBRE")&amp;" "&amp;YEAR(B362),"")</f>
        <v/>
      </c>
      <c r="B361" s="11"/>
      <c r="C361" s="12"/>
      <c r="D361" s="12" t="str">
        <f>IF(C361="","",C361-IF(C360&lt;&gt;"",C360,IF(C359&lt;&gt;"",C359,IF(C358&lt;&gt;"",C358,0))))</f>
        <v/>
      </c>
      <c r="E361" s="12"/>
      <c r="F361" s="12"/>
      <c r="G361" s="9" t="str">
        <f>IF(AND(E361="",F361=""),"",IF(OR(E361&gt;1,F361&gt;1),(F361-E361)/100,F361-E361))</f>
        <v/>
      </c>
      <c r="H361" s="12" t="str">
        <f>IF(G361="","",64*G361)</f>
        <v/>
      </c>
      <c r="I361" s="13"/>
      <c r="J361" s="13" t="str">
        <f>IFERROR(IF(OR(D361="",D361=0),"",I361/D361*100),"")</f>
        <v/>
      </c>
      <c r="K361" s="14"/>
      <c r="L361" s="13" t="str">
        <f>IF(I361="","",I361*K361)</f>
        <v/>
      </c>
      <c r="M361" s="13" t="str">
        <f>IF(B361="","",IFERROR(SUMPRODUCT(ISNUMBER(B$3:B361)*(MONTH(IF(ISNUMBER(B$3:B361),B$3:B361,1))=MONTH(B361))*(YEAR(IF(ISNUMBER(B$3:B361),B$3:B361,1))=YEAR(B361))*IF(ISNUMBER(L$3:L361),L$3:L361,0)),""))</f>
        <v/>
      </c>
      <c r="N361" s="6"/>
      <c r="O361" s="7" t="str">
        <f>IF(AND(B361="",ISNUMBER(B362)),CHOOSE(MONTH(B362),"GENNAIO","FEBBRAIO","MARZO","APRILE","MAGGIO","GIUGNO","LUGLIO","AGOSTO","SETTEMBRE","OTTOBRE","NOVEMBRE","DICEMBRE")&amp;" "&amp;YEAR(B362),"")</f>
        <v/>
      </c>
      <c r="P361" s="12" t="str">
        <f>IF(K361=0.2,"CASA","")</f>
        <v/>
      </c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" customHeight="1" x14ac:dyDescent="0.2">
      <c r="A362" s="5" t="str">
        <f>IF(AND(B362="",ISNUMBER(B363)),CHOOSE(MONTH(B363),"GENNAIO","FEBBRAIO","MARZO","APRILE","MAGGIO","GIUGNO","LUGLIO","AGOSTO","SETTEMBRE","OTTOBRE","NOVEMBRE","DICEMBRE")&amp;" "&amp;YEAR(B363),"")</f>
        <v/>
      </c>
      <c r="B362" s="11"/>
      <c r="C362" s="12"/>
      <c r="D362" s="12" t="str">
        <f>IF(C362="","",C362-IF(C361&lt;&gt;"",C361,IF(C360&lt;&gt;"",C360,IF(C359&lt;&gt;"",C359,0))))</f>
        <v/>
      </c>
      <c r="E362" s="12"/>
      <c r="F362" s="12"/>
      <c r="G362" s="9" t="str">
        <f>IF(AND(E362="",F362=""),"",IF(OR(E362&gt;1,F362&gt;1),(F362-E362)/100,F362-E362))</f>
        <v/>
      </c>
      <c r="H362" s="12" t="str">
        <f>IF(G362="","",64*G362)</f>
        <v/>
      </c>
      <c r="I362" s="13"/>
      <c r="J362" s="13" t="str">
        <f>IFERROR(IF(OR(D362="",D362=0),"",I362/D362*100),"")</f>
        <v/>
      </c>
      <c r="K362" s="14"/>
      <c r="L362" s="13" t="str">
        <f>IF(I362="","",I362*K362)</f>
        <v/>
      </c>
      <c r="M362" s="13" t="str">
        <f>IF(B362="","",IFERROR(SUMPRODUCT(ISNUMBER(B$3:B362)*(MONTH(IF(ISNUMBER(B$3:B362),B$3:B362,1))=MONTH(B362))*(YEAR(IF(ISNUMBER(B$3:B362),B$3:B362,1))=YEAR(B362))*IF(ISNUMBER(L$3:L362),L$3:L362,0)),""))</f>
        <v/>
      </c>
      <c r="N362" s="6"/>
      <c r="O362" s="7" t="str">
        <f>IF(AND(B362="",ISNUMBER(B363)),CHOOSE(MONTH(B363),"GENNAIO","FEBBRAIO","MARZO","APRILE","MAGGIO","GIUGNO","LUGLIO","AGOSTO","SETTEMBRE","OTTOBRE","NOVEMBRE","DICEMBRE")&amp;" "&amp;YEAR(B363),"")</f>
        <v/>
      </c>
      <c r="P362" s="12" t="str">
        <f>IF(K362=0.2,"CASA","")</f>
        <v/>
      </c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" customHeight="1" x14ac:dyDescent="0.2">
      <c r="A363" s="5" t="str">
        <f>IF(AND(B363="",ISNUMBER(B364)),CHOOSE(MONTH(B364),"GENNAIO","FEBBRAIO","MARZO","APRILE","MAGGIO","GIUGNO","LUGLIO","AGOSTO","SETTEMBRE","OTTOBRE","NOVEMBRE","DICEMBRE")&amp;" "&amp;YEAR(B364),"")</f>
        <v/>
      </c>
      <c r="B363" s="11"/>
      <c r="C363" s="12"/>
      <c r="D363" s="12" t="str">
        <f>IF(C363="","",C363-IF(C362&lt;&gt;"",C362,IF(C361&lt;&gt;"",C361,IF(C360&lt;&gt;"",C360,0))))</f>
        <v/>
      </c>
      <c r="E363" s="12"/>
      <c r="F363" s="12"/>
      <c r="G363" s="9" t="str">
        <f>IF(AND(E363="",F363=""),"",IF(OR(E363&gt;1,F363&gt;1),(F363-E363)/100,F363-E363))</f>
        <v/>
      </c>
      <c r="H363" s="12" t="str">
        <f>IF(G363="","",64*G363)</f>
        <v/>
      </c>
      <c r="I363" s="13"/>
      <c r="J363" s="13" t="str">
        <f>IFERROR(IF(OR(D363="",D363=0),"",I363/D363*100),"")</f>
        <v/>
      </c>
      <c r="K363" s="14"/>
      <c r="L363" s="13" t="str">
        <f>IF(I363="","",I363*K363)</f>
        <v/>
      </c>
      <c r="M363" s="13" t="str">
        <f>IF(B363="","",IFERROR(SUMPRODUCT(ISNUMBER(B$3:B363)*(MONTH(IF(ISNUMBER(B$3:B363),B$3:B363,1))=MONTH(B363))*(YEAR(IF(ISNUMBER(B$3:B363),B$3:B363,1))=YEAR(B363))*IF(ISNUMBER(L$3:L363),L$3:L363,0)),""))</f>
        <v/>
      </c>
      <c r="N363" s="6"/>
      <c r="O363" s="7" t="str">
        <f>IF(AND(B363="",ISNUMBER(B364)),CHOOSE(MONTH(B364),"GENNAIO","FEBBRAIO","MARZO","APRILE","MAGGIO","GIUGNO","LUGLIO","AGOSTO","SETTEMBRE","OTTOBRE","NOVEMBRE","DICEMBRE")&amp;" "&amp;YEAR(B364),"")</f>
        <v/>
      </c>
      <c r="P363" s="12" t="str">
        <f>IF(K363=0.2,"CASA","")</f>
        <v/>
      </c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" customHeight="1" x14ac:dyDescent="0.2">
      <c r="A364" s="5" t="str">
        <f>IF(AND(B364="",ISNUMBER(B365)),CHOOSE(MONTH(B365),"GENNAIO","FEBBRAIO","MARZO","APRILE","MAGGIO","GIUGNO","LUGLIO","AGOSTO","SETTEMBRE","OTTOBRE","NOVEMBRE","DICEMBRE")&amp;" "&amp;YEAR(B365),"")</f>
        <v/>
      </c>
      <c r="B364" s="11"/>
      <c r="C364" s="12"/>
      <c r="D364" s="12" t="str">
        <f>IF(C364="","",C364-IF(C363&lt;&gt;"",C363,IF(C362&lt;&gt;"",C362,IF(C361&lt;&gt;"",C361,0))))</f>
        <v/>
      </c>
      <c r="E364" s="12"/>
      <c r="F364" s="12"/>
      <c r="G364" s="9" t="str">
        <f>IF(AND(E364="",F364=""),"",IF(OR(E364&gt;1,F364&gt;1),(F364-E364)/100,F364-E364))</f>
        <v/>
      </c>
      <c r="H364" s="12" t="str">
        <f>IF(G364="","",64*G364)</f>
        <v/>
      </c>
      <c r="I364" s="13"/>
      <c r="J364" s="13" t="str">
        <f>IFERROR(IF(OR(D364="",D364=0),"",I364/D364*100),"")</f>
        <v/>
      </c>
      <c r="K364" s="14"/>
      <c r="L364" s="13" t="str">
        <f>IF(I364="","",I364*K364)</f>
        <v/>
      </c>
      <c r="M364" s="13" t="str">
        <f>IF(B364="","",IFERROR(SUMPRODUCT(ISNUMBER(B$3:B364)*(MONTH(IF(ISNUMBER(B$3:B364),B$3:B364,1))=MONTH(B364))*(YEAR(IF(ISNUMBER(B$3:B364),B$3:B364,1))=YEAR(B364))*IF(ISNUMBER(L$3:L364),L$3:L364,0)),""))</f>
        <v/>
      </c>
      <c r="N364" s="6"/>
      <c r="O364" s="7" t="str">
        <f>IF(AND(B364="",ISNUMBER(B365)),CHOOSE(MONTH(B365),"GENNAIO","FEBBRAIO","MARZO","APRILE","MAGGIO","GIUGNO","LUGLIO","AGOSTO","SETTEMBRE","OTTOBRE","NOVEMBRE","DICEMBRE")&amp;" "&amp;YEAR(B365),"")</f>
        <v/>
      </c>
      <c r="P364" s="12" t="str">
        <f>IF(K364=0.2,"CASA","")</f>
        <v/>
      </c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" customHeight="1" x14ac:dyDescent="0.2">
      <c r="A365" s="5" t="str">
        <f>IF(AND(B365="",ISNUMBER(B366)),CHOOSE(MONTH(B366),"GENNAIO","FEBBRAIO","MARZO","APRILE","MAGGIO","GIUGNO","LUGLIO","AGOSTO","SETTEMBRE","OTTOBRE","NOVEMBRE","DICEMBRE")&amp;" "&amp;YEAR(B366),"")</f>
        <v/>
      </c>
      <c r="B365" s="11"/>
      <c r="C365" s="12"/>
      <c r="D365" s="12" t="str">
        <f>IF(C365="","",C365-IF(C364&lt;&gt;"",C364,IF(C363&lt;&gt;"",C363,IF(C362&lt;&gt;"",C362,0))))</f>
        <v/>
      </c>
      <c r="E365" s="12"/>
      <c r="F365" s="12"/>
      <c r="G365" s="9" t="str">
        <f>IF(AND(E365="",F365=""),"",IF(OR(E365&gt;1,F365&gt;1),(F365-E365)/100,F365-E365))</f>
        <v/>
      </c>
      <c r="H365" s="12" t="str">
        <f>IF(G365="","",64*G365)</f>
        <v/>
      </c>
      <c r="I365" s="13"/>
      <c r="J365" s="13" t="str">
        <f>IFERROR(IF(OR(D365="",D365=0),"",I365/D365*100),"")</f>
        <v/>
      </c>
      <c r="K365" s="14"/>
      <c r="L365" s="13" t="str">
        <f>IF(I365="","",I365*K365)</f>
        <v/>
      </c>
      <c r="M365" s="13" t="str">
        <f>IF(B365="","",IFERROR(SUMPRODUCT(ISNUMBER(B$3:B365)*(MONTH(IF(ISNUMBER(B$3:B365),B$3:B365,1))=MONTH(B365))*(YEAR(IF(ISNUMBER(B$3:B365),B$3:B365,1))=YEAR(B365))*IF(ISNUMBER(L$3:L365),L$3:L365,0)),""))</f>
        <v/>
      </c>
      <c r="N365" s="6"/>
      <c r="O365" s="7" t="str">
        <f>IF(AND(B365="",ISNUMBER(B366)),CHOOSE(MONTH(B366),"GENNAIO","FEBBRAIO","MARZO","APRILE","MAGGIO","GIUGNO","LUGLIO","AGOSTO","SETTEMBRE","OTTOBRE","NOVEMBRE","DICEMBRE")&amp;" "&amp;YEAR(B366),"")</f>
        <v/>
      </c>
      <c r="P365" s="12" t="str">
        <f>IF(K365=0.2,"CASA","")</f>
        <v/>
      </c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" customHeight="1" x14ac:dyDescent="0.2">
      <c r="A366" s="5" t="str">
        <f>IF(AND(B366="",ISNUMBER(B367)),CHOOSE(MONTH(B367),"GENNAIO","FEBBRAIO","MARZO","APRILE","MAGGIO","GIUGNO","LUGLIO","AGOSTO","SETTEMBRE","OTTOBRE","NOVEMBRE","DICEMBRE")&amp;" "&amp;YEAR(B367),"")</f>
        <v/>
      </c>
      <c r="B366" s="11"/>
      <c r="C366" s="12"/>
      <c r="D366" s="12" t="str">
        <f>IF(C366="","",C366-IF(C365&lt;&gt;"",C365,IF(C364&lt;&gt;"",C364,IF(C363&lt;&gt;"",C363,0))))</f>
        <v/>
      </c>
      <c r="E366" s="12"/>
      <c r="F366" s="12"/>
      <c r="G366" s="9" t="str">
        <f>IF(AND(E366="",F366=""),"",IF(OR(E366&gt;1,F366&gt;1),(F366-E366)/100,F366-E366))</f>
        <v/>
      </c>
      <c r="H366" s="12" t="str">
        <f>IF(G366="","",64*G366)</f>
        <v/>
      </c>
      <c r="I366" s="13"/>
      <c r="J366" s="13" t="str">
        <f>IFERROR(IF(OR(D366="",D366=0),"",I366/D366*100),"")</f>
        <v/>
      </c>
      <c r="K366" s="14"/>
      <c r="L366" s="13" t="str">
        <f>IF(I366="","",I366*K366)</f>
        <v/>
      </c>
      <c r="M366" s="13" t="str">
        <f>IF(B366="","",IFERROR(SUMPRODUCT(ISNUMBER(B$3:B366)*(MONTH(IF(ISNUMBER(B$3:B366),B$3:B366,1))=MONTH(B366))*(YEAR(IF(ISNUMBER(B$3:B366),B$3:B366,1))=YEAR(B366))*IF(ISNUMBER(L$3:L366),L$3:L366,0)),""))</f>
        <v/>
      </c>
      <c r="N366" s="6"/>
      <c r="O366" s="7" t="str">
        <f>IF(AND(B366="",ISNUMBER(B367)),CHOOSE(MONTH(B367),"GENNAIO","FEBBRAIO","MARZO","APRILE","MAGGIO","GIUGNO","LUGLIO","AGOSTO","SETTEMBRE","OTTOBRE","NOVEMBRE","DICEMBRE")&amp;" "&amp;YEAR(B367),"")</f>
        <v/>
      </c>
      <c r="P366" s="12" t="str">
        <f>IF(K366=0.2,"CASA","")</f>
        <v/>
      </c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" customHeight="1" x14ac:dyDescent="0.2">
      <c r="A367" s="5" t="str">
        <f>IF(AND(B367="",ISNUMBER(B368)),CHOOSE(MONTH(B368),"GENNAIO","FEBBRAIO","MARZO","APRILE","MAGGIO","GIUGNO","LUGLIO","AGOSTO","SETTEMBRE","OTTOBRE","NOVEMBRE","DICEMBRE")&amp;" "&amp;YEAR(B368),"")</f>
        <v/>
      </c>
      <c r="B367" s="11"/>
      <c r="C367" s="12"/>
      <c r="D367" s="12" t="str">
        <f>IF(C367="","",C367-IF(C366&lt;&gt;"",C366,IF(C365&lt;&gt;"",C365,IF(C364&lt;&gt;"",C364,0))))</f>
        <v/>
      </c>
      <c r="E367" s="12"/>
      <c r="F367" s="12"/>
      <c r="G367" s="9" t="str">
        <f>IF(AND(E367="",F367=""),"",IF(OR(E367&gt;1,F367&gt;1),(F367-E367)/100,F367-E367))</f>
        <v/>
      </c>
      <c r="H367" s="12" t="str">
        <f>IF(G367="","",64*G367)</f>
        <v/>
      </c>
      <c r="I367" s="13"/>
      <c r="J367" s="13" t="str">
        <f>IFERROR(IF(OR(D367="",D367=0),"",I367/D367*100),"")</f>
        <v/>
      </c>
      <c r="K367" s="14"/>
      <c r="L367" s="13" t="str">
        <f>IF(I367="","",I367*K367)</f>
        <v/>
      </c>
      <c r="M367" s="13" t="str">
        <f>IF(B367="","",IFERROR(SUMPRODUCT(ISNUMBER(B$3:B367)*(MONTH(IF(ISNUMBER(B$3:B367),B$3:B367,1))=MONTH(B367))*(YEAR(IF(ISNUMBER(B$3:B367),B$3:B367,1))=YEAR(B367))*IF(ISNUMBER(L$3:L367),L$3:L367,0)),""))</f>
        <v/>
      </c>
      <c r="N367" s="6"/>
      <c r="O367" s="7" t="str">
        <f>IF(AND(B367="",ISNUMBER(B368)),CHOOSE(MONTH(B368),"GENNAIO","FEBBRAIO","MARZO","APRILE","MAGGIO","GIUGNO","LUGLIO","AGOSTO","SETTEMBRE","OTTOBRE","NOVEMBRE","DICEMBRE")&amp;" "&amp;YEAR(B368),"")</f>
        <v/>
      </c>
      <c r="P367" s="12" t="str">
        <f>IF(K367=0.2,"CASA","")</f>
        <v/>
      </c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" customHeight="1" x14ac:dyDescent="0.2">
      <c r="A368" s="5" t="str">
        <f>IF(AND(B368="",ISNUMBER(B369)),CHOOSE(MONTH(B369),"GENNAIO","FEBBRAIO","MARZO","APRILE","MAGGIO","GIUGNO","LUGLIO","AGOSTO","SETTEMBRE","OTTOBRE","NOVEMBRE","DICEMBRE")&amp;" "&amp;YEAR(B369),"")</f>
        <v/>
      </c>
      <c r="B368" s="11"/>
      <c r="C368" s="12"/>
      <c r="D368" s="12" t="str">
        <f>IF(C368="","",C368-IF(C367&lt;&gt;"",C367,IF(C366&lt;&gt;"",C366,IF(C365&lt;&gt;"",C365,0))))</f>
        <v/>
      </c>
      <c r="E368" s="12"/>
      <c r="F368" s="12"/>
      <c r="G368" s="9" t="str">
        <f>IF(AND(E368="",F368=""),"",IF(OR(E368&gt;1,F368&gt;1),(F368-E368)/100,F368-E368))</f>
        <v/>
      </c>
      <c r="H368" s="12" t="str">
        <f>IF(G368="","",64*G368)</f>
        <v/>
      </c>
      <c r="I368" s="13"/>
      <c r="J368" s="13" t="str">
        <f>IFERROR(IF(OR(D368="",D368=0),"",I368/D368*100),"")</f>
        <v/>
      </c>
      <c r="K368" s="14"/>
      <c r="L368" s="13" t="str">
        <f>IF(I368="","",I368*K368)</f>
        <v/>
      </c>
      <c r="M368" s="13" t="str">
        <f>IF(B368="","",IFERROR(SUMPRODUCT(ISNUMBER(B$3:B368)*(MONTH(IF(ISNUMBER(B$3:B368),B$3:B368,1))=MONTH(B368))*(YEAR(IF(ISNUMBER(B$3:B368),B$3:B368,1))=YEAR(B368))*IF(ISNUMBER(L$3:L368),L$3:L368,0)),""))</f>
        <v/>
      </c>
      <c r="N368" s="6"/>
      <c r="O368" s="7" t="str">
        <f>IF(AND(B368="",ISNUMBER(B369)),CHOOSE(MONTH(B369),"GENNAIO","FEBBRAIO","MARZO","APRILE","MAGGIO","GIUGNO","LUGLIO","AGOSTO","SETTEMBRE","OTTOBRE","NOVEMBRE","DICEMBRE")&amp;" "&amp;YEAR(B369),"")</f>
        <v/>
      </c>
      <c r="P368" s="12" t="str">
        <f>IF(K368=0.2,"CASA","")</f>
        <v/>
      </c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" customHeight="1" x14ac:dyDescent="0.2">
      <c r="A369" s="5" t="str">
        <f>IF(AND(B369="",ISNUMBER(B370)),CHOOSE(MONTH(B370),"GENNAIO","FEBBRAIO","MARZO","APRILE","MAGGIO","GIUGNO","LUGLIO","AGOSTO","SETTEMBRE","OTTOBRE","NOVEMBRE","DICEMBRE")&amp;" "&amp;YEAR(B370),"")</f>
        <v/>
      </c>
      <c r="B369" s="11"/>
      <c r="C369" s="12"/>
      <c r="D369" s="12" t="str">
        <f>IF(C369="","",C369-IF(C368&lt;&gt;"",C368,IF(C367&lt;&gt;"",C367,IF(C366&lt;&gt;"",C366,0))))</f>
        <v/>
      </c>
      <c r="E369" s="12"/>
      <c r="F369" s="12"/>
      <c r="G369" s="9" t="str">
        <f>IF(AND(E369="",F369=""),"",IF(OR(E369&gt;1,F369&gt;1),(F369-E369)/100,F369-E369))</f>
        <v/>
      </c>
      <c r="H369" s="12" t="str">
        <f>IF(G369="","",64*G369)</f>
        <v/>
      </c>
      <c r="I369" s="13"/>
      <c r="J369" s="13" t="str">
        <f>IFERROR(IF(OR(D369="",D369=0),"",I369/D369*100),"")</f>
        <v/>
      </c>
      <c r="K369" s="14"/>
      <c r="L369" s="13" t="str">
        <f>IF(I369="","",I369*K369)</f>
        <v/>
      </c>
      <c r="M369" s="13" t="str">
        <f>IF(B369="","",IFERROR(SUMPRODUCT(ISNUMBER(B$3:B369)*(MONTH(IF(ISNUMBER(B$3:B369),B$3:B369,1))=MONTH(B369))*(YEAR(IF(ISNUMBER(B$3:B369),B$3:B369,1))=YEAR(B369))*IF(ISNUMBER(L$3:L369),L$3:L369,0)),""))</f>
        <v/>
      </c>
      <c r="N369" s="6"/>
      <c r="O369" s="7" t="str">
        <f>IF(AND(B369="",ISNUMBER(B370)),CHOOSE(MONTH(B370),"GENNAIO","FEBBRAIO","MARZO","APRILE","MAGGIO","GIUGNO","LUGLIO","AGOSTO","SETTEMBRE","OTTOBRE","NOVEMBRE","DICEMBRE")&amp;" "&amp;YEAR(B370),"")</f>
        <v/>
      </c>
      <c r="P369" s="12" t="str">
        <f>IF(K369=0.2,"CASA","")</f>
        <v/>
      </c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" customHeight="1" x14ac:dyDescent="0.2">
      <c r="A370" s="5" t="str">
        <f>IF(AND(B370="",ISNUMBER(B371)),CHOOSE(MONTH(B371),"GENNAIO","FEBBRAIO","MARZO","APRILE","MAGGIO","GIUGNO","LUGLIO","AGOSTO","SETTEMBRE","OTTOBRE","NOVEMBRE","DICEMBRE")&amp;" "&amp;YEAR(B371),"")</f>
        <v/>
      </c>
      <c r="B370" s="11"/>
      <c r="C370" s="12"/>
      <c r="D370" s="12" t="str">
        <f>IF(C370="","",C370-IF(C369&lt;&gt;"",C369,IF(C368&lt;&gt;"",C368,IF(C367&lt;&gt;"",C367,0))))</f>
        <v/>
      </c>
      <c r="E370" s="12"/>
      <c r="F370" s="12"/>
      <c r="G370" s="9" t="str">
        <f>IF(AND(E370="",F370=""),"",IF(OR(E370&gt;1,F370&gt;1),(F370-E370)/100,F370-E370))</f>
        <v/>
      </c>
      <c r="H370" s="12" t="str">
        <f>IF(G370="","",64*G370)</f>
        <v/>
      </c>
      <c r="I370" s="13"/>
      <c r="J370" s="13" t="str">
        <f>IFERROR(IF(OR(D370="",D370=0),"",I370/D370*100),"")</f>
        <v/>
      </c>
      <c r="K370" s="14"/>
      <c r="L370" s="13" t="str">
        <f>IF(I370="","",I370*K370)</f>
        <v/>
      </c>
      <c r="M370" s="13" t="str">
        <f>IF(B370="","",IFERROR(SUMPRODUCT(ISNUMBER(B$3:B370)*(MONTH(IF(ISNUMBER(B$3:B370),B$3:B370,1))=MONTH(B370))*(YEAR(IF(ISNUMBER(B$3:B370),B$3:B370,1))=YEAR(B370))*IF(ISNUMBER(L$3:L370),L$3:L370,0)),""))</f>
        <v/>
      </c>
      <c r="N370" s="6"/>
      <c r="O370" s="7" t="str">
        <f>IF(AND(B370="",ISNUMBER(B371)),CHOOSE(MONTH(B371),"GENNAIO","FEBBRAIO","MARZO","APRILE","MAGGIO","GIUGNO","LUGLIO","AGOSTO","SETTEMBRE","OTTOBRE","NOVEMBRE","DICEMBRE")&amp;" "&amp;YEAR(B371),"")</f>
        <v/>
      </c>
      <c r="P370" s="12" t="str">
        <f>IF(K370=0.2,"CASA","")</f>
        <v/>
      </c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" customHeight="1" x14ac:dyDescent="0.2">
      <c r="A371" s="5" t="str">
        <f>IF(AND(B371="",ISNUMBER(B372)),CHOOSE(MONTH(B372),"GENNAIO","FEBBRAIO","MARZO","APRILE","MAGGIO","GIUGNO","LUGLIO","AGOSTO","SETTEMBRE","OTTOBRE","NOVEMBRE","DICEMBRE")&amp;" "&amp;YEAR(B372),"")</f>
        <v/>
      </c>
      <c r="B371" s="11"/>
      <c r="C371" s="12"/>
      <c r="D371" s="12" t="str">
        <f>IF(C371="","",C371-IF(C370&lt;&gt;"",C370,IF(C369&lt;&gt;"",C369,IF(C368&lt;&gt;"",C368,0))))</f>
        <v/>
      </c>
      <c r="E371" s="12"/>
      <c r="F371" s="12"/>
      <c r="G371" s="9" t="str">
        <f>IF(AND(E371="",F371=""),"",IF(OR(E371&gt;1,F371&gt;1),(F371-E371)/100,F371-E371))</f>
        <v/>
      </c>
      <c r="H371" s="12" t="str">
        <f>IF(G371="","",64*G371)</f>
        <v/>
      </c>
      <c r="I371" s="13"/>
      <c r="J371" s="13" t="str">
        <f>IFERROR(IF(OR(D371="",D371=0),"",I371/D371*100),"")</f>
        <v/>
      </c>
      <c r="K371" s="14"/>
      <c r="L371" s="13" t="str">
        <f>IF(I371="","",I371*K371)</f>
        <v/>
      </c>
      <c r="M371" s="13" t="str">
        <f>IF(B371="","",IFERROR(SUMPRODUCT(ISNUMBER(B$3:B371)*(MONTH(IF(ISNUMBER(B$3:B371),B$3:B371,1))=MONTH(B371))*(YEAR(IF(ISNUMBER(B$3:B371),B$3:B371,1))=YEAR(B371))*IF(ISNUMBER(L$3:L371),L$3:L371,0)),""))</f>
        <v/>
      </c>
      <c r="N371" s="6"/>
      <c r="O371" s="7" t="str">
        <f>IF(AND(B371="",ISNUMBER(B372)),CHOOSE(MONTH(B372),"GENNAIO","FEBBRAIO","MARZO","APRILE","MAGGIO","GIUGNO","LUGLIO","AGOSTO","SETTEMBRE","OTTOBRE","NOVEMBRE","DICEMBRE")&amp;" "&amp;YEAR(B372),"")</f>
        <v/>
      </c>
      <c r="P371" s="12" t="str">
        <f>IF(K371=0.2,"CASA","")</f>
        <v/>
      </c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" customHeight="1" x14ac:dyDescent="0.2">
      <c r="A372" s="5" t="str">
        <f>IF(AND(B372="",ISNUMBER(B373)),CHOOSE(MONTH(B373),"GENNAIO","FEBBRAIO","MARZO","APRILE","MAGGIO","GIUGNO","LUGLIO","AGOSTO","SETTEMBRE","OTTOBRE","NOVEMBRE","DICEMBRE")&amp;" "&amp;YEAR(B373),"")</f>
        <v/>
      </c>
      <c r="B372" s="11"/>
      <c r="C372" s="12"/>
      <c r="D372" s="12" t="str">
        <f>IF(C372="","",C372-IF(C371&lt;&gt;"",C371,IF(C370&lt;&gt;"",C370,IF(C369&lt;&gt;"",C369,0))))</f>
        <v/>
      </c>
      <c r="E372" s="12"/>
      <c r="F372" s="12"/>
      <c r="G372" s="9" t="str">
        <f>IF(AND(E372="",F372=""),"",IF(OR(E372&gt;1,F372&gt;1),(F372-E372)/100,F372-E372))</f>
        <v/>
      </c>
      <c r="H372" s="12" t="str">
        <f>IF(G372="","",64*G372)</f>
        <v/>
      </c>
      <c r="I372" s="13"/>
      <c r="J372" s="13" t="str">
        <f>IFERROR(IF(OR(D372="",D372=0),"",I372/D372*100),"")</f>
        <v/>
      </c>
      <c r="K372" s="14"/>
      <c r="L372" s="13" t="str">
        <f>IF(I372="","",I372*K372)</f>
        <v/>
      </c>
      <c r="M372" s="13" t="str">
        <f>IF(B372="","",IFERROR(SUMPRODUCT(ISNUMBER(B$3:B372)*(MONTH(IF(ISNUMBER(B$3:B372),B$3:B372,1))=MONTH(B372))*(YEAR(IF(ISNUMBER(B$3:B372),B$3:B372,1))=YEAR(B372))*IF(ISNUMBER(L$3:L372),L$3:L372,0)),""))</f>
        <v/>
      </c>
      <c r="N372" s="6"/>
      <c r="O372" s="7" t="str">
        <f>IF(AND(B372="",ISNUMBER(B373)),CHOOSE(MONTH(B373),"GENNAIO","FEBBRAIO","MARZO","APRILE","MAGGIO","GIUGNO","LUGLIO","AGOSTO","SETTEMBRE","OTTOBRE","NOVEMBRE","DICEMBRE")&amp;" "&amp;YEAR(B373),"")</f>
        <v/>
      </c>
      <c r="P372" s="12" t="str">
        <f>IF(K372=0.2,"CASA","")</f>
        <v/>
      </c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" customHeight="1" x14ac:dyDescent="0.2">
      <c r="A373" s="5" t="str">
        <f>IF(AND(B373="",ISNUMBER(B374)),CHOOSE(MONTH(B374),"GENNAIO","FEBBRAIO","MARZO","APRILE","MAGGIO","GIUGNO","LUGLIO","AGOSTO","SETTEMBRE","OTTOBRE","NOVEMBRE","DICEMBRE")&amp;" "&amp;YEAR(B374),"")</f>
        <v/>
      </c>
      <c r="B373" s="11"/>
      <c r="C373" s="12"/>
      <c r="D373" s="12" t="str">
        <f>IF(C373="","",C373-IF(C372&lt;&gt;"",C372,IF(C371&lt;&gt;"",C371,IF(C370&lt;&gt;"",C370,0))))</f>
        <v/>
      </c>
      <c r="E373" s="12"/>
      <c r="F373" s="12"/>
      <c r="G373" s="9" t="str">
        <f>IF(AND(E373="",F373=""),"",IF(OR(E373&gt;1,F373&gt;1),(F373-E373)/100,F373-E373))</f>
        <v/>
      </c>
      <c r="H373" s="12" t="str">
        <f>IF(G373="","",64*G373)</f>
        <v/>
      </c>
      <c r="I373" s="13"/>
      <c r="J373" s="13" t="str">
        <f>IFERROR(IF(OR(D373="",D373=0),"",I373/D373*100),"")</f>
        <v/>
      </c>
      <c r="K373" s="14"/>
      <c r="L373" s="13" t="str">
        <f>IF(I373="","",I373*K373)</f>
        <v/>
      </c>
      <c r="M373" s="13" t="str">
        <f>IF(B373="","",IFERROR(SUMPRODUCT(ISNUMBER(B$3:B373)*(MONTH(IF(ISNUMBER(B$3:B373),B$3:B373,1))=MONTH(B373))*(YEAR(IF(ISNUMBER(B$3:B373),B$3:B373,1))=YEAR(B373))*IF(ISNUMBER(L$3:L373),L$3:L373,0)),""))</f>
        <v/>
      </c>
      <c r="N373" s="6"/>
      <c r="O373" s="7" t="str">
        <f>IF(AND(B373="",ISNUMBER(B374)),CHOOSE(MONTH(B374),"GENNAIO","FEBBRAIO","MARZO","APRILE","MAGGIO","GIUGNO","LUGLIO","AGOSTO","SETTEMBRE","OTTOBRE","NOVEMBRE","DICEMBRE")&amp;" "&amp;YEAR(B374),"")</f>
        <v/>
      </c>
      <c r="P373" s="12" t="str">
        <f>IF(K373=0.2,"CASA","")</f>
        <v/>
      </c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" customHeight="1" x14ac:dyDescent="0.2">
      <c r="A374" s="5" t="str">
        <f>IF(AND(B374="",ISNUMBER(B375)),CHOOSE(MONTH(B375),"GENNAIO","FEBBRAIO","MARZO","APRILE","MAGGIO","GIUGNO","LUGLIO","AGOSTO","SETTEMBRE","OTTOBRE","NOVEMBRE","DICEMBRE")&amp;" "&amp;YEAR(B375),"")</f>
        <v/>
      </c>
      <c r="B374" s="11"/>
      <c r="C374" s="12"/>
      <c r="D374" s="12" t="str">
        <f>IF(C374="","",C374-IF(C373&lt;&gt;"",C373,IF(C372&lt;&gt;"",C372,IF(C371&lt;&gt;"",C371,0))))</f>
        <v/>
      </c>
      <c r="E374" s="12"/>
      <c r="F374" s="12"/>
      <c r="G374" s="9" t="str">
        <f>IF(AND(E374="",F374=""),"",IF(OR(E374&gt;1,F374&gt;1),(F374-E374)/100,F374-E374))</f>
        <v/>
      </c>
      <c r="H374" s="12" t="str">
        <f>IF(G374="","",64*G374)</f>
        <v/>
      </c>
      <c r="I374" s="13"/>
      <c r="J374" s="13" t="str">
        <f>IFERROR(IF(OR(D374="",D374=0),"",I374/D374*100),"")</f>
        <v/>
      </c>
      <c r="K374" s="14"/>
      <c r="L374" s="13" t="str">
        <f>IF(I374="","",I374*K374)</f>
        <v/>
      </c>
      <c r="M374" s="13" t="str">
        <f>IF(B374="","",IFERROR(SUMPRODUCT(ISNUMBER(B$3:B374)*(MONTH(IF(ISNUMBER(B$3:B374),B$3:B374,1))=MONTH(B374))*(YEAR(IF(ISNUMBER(B$3:B374),B$3:B374,1))=YEAR(B374))*IF(ISNUMBER(L$3:L374),L$3:L374,0)),""))</f>
        <v/>
      </c>
      <c r="N374" s="6"/>
      <c r="O374" s="7" t="str">
        <f>IF(AND(B374="",ISNUMBER(B375)),CHOOSE(MONTH(B375),"GENNAIO","FEBBRAIO","MARZO","APRILE","MAGGIO","GIUGNO","LUGLIO","AGOSTO","SETTEMBRE","OTTOBRE","NOVEMBRE","DICEMBRE")&amp;" "&amp;YEAR(B375),"")</f>
        <v/>
      </c>
      <c r="P374" s="12" t="str">
        <f>IF(K374=0.2,"CASA","")</f>
        <v/>
      </c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" customHeight="1" x14ac:dyDescent="0.2">
      <c r="A375" s="5" t="str">
        <f>IF(AND(B375="",ISNUMBER(B376)),CHOOSE(MONTH(B376),"GENNAIO","FEBBRAIO","MARZO","APRILE","MAGGIO","GIUGNO","LUGLIO","AGOSTO","SETTEMBRE","OTTOBRE","NOVEMBRE","DICEMBRE")&amp;" "&amp;YEAR(B376),"")</f>
        <v/>
      </c>
      <c r="B375" s="11"/>
      <c r="C375" s="12"/>
      <c r="D375" s="12" t="str">
        <f>IF(C375="","",C375-IF(C374&lt;&gt;"",C374,IF(C373&lt;&gt;"",C373,IF(C372&lt;&gt;"",C372,0))))</f>
        <v/>
      </c>
      <c r="E375" s="12"/>
      <c r="F375" s="12"/>
      <c r="G375" s="9" t="str">
        <f>IF(AND(E375="",F375=""),"",IF(OR(E375&gt;1,F375&gt;1),(F375-E375)/100,F375-E375))</f>
        <v/>
      </c>
      <c r="H375" s="12" t="str">
        <f>IF(G375="","",64*G375)</f>
        <v/>
      </c>
      <c r="I375" s="13"/>
      <c r="J375" s="13" t="str">
        <f>IFERROR(IF(OR(D375="",D375=0),"",I375/D375*100),"")</f>
        <v/>
      </c>
      <c r="K375" s="14"/>
      <c r="L375" s="13" t="str">
        <f>IF(I375="","",I375*K375)</f>
        <v/>
      </c>
      <c r="M375" s="13" t="str">
        <f>IF(B375="","",IFERROR(SUMPRODUCT(ISNUMBER(B$3:B375)*(MONTH(IF(ISNUMBER(B$3:B375),B$3:B375,1))=MONTH(B375))*(YEAR(IF(ISNUMBER(B$3:B375),B$3:B375,1))=YEAR(B375))*IF(ISNUMBER(L$3:L375),L$3:L375,0)),""))</f>
        <v/>
      </c>
      <c r="N375" s="6"/>
      <c r="O375" s="7" t="str">
        <f>IF(AND(B375="",ISNUMBER(B376)),CHOOSE(MONTH(B376),"GENNAIO","FEBBRAIO","MARZO","APRILE","MAGGIO","GIUGNO","LUGLIO","AGOSTO","SETTEMBRE","OTTOBRE","NOVEMBRE","DICEMBRE")&amp;" "&amp;YEAR(B376),"")</f>
        <v/>
      </c>
      <c r="P375" s="12" t="str">
        <f>IF(K375=0.2,"CASA","")</f>
        <v/>
      </c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" customHeight="1" x14ac:dyDescent="0.2">
      <c r="A376" s="5" t="str">
        <f>IF(AND(B376="",ISNUMBER(B377)),CHOOSE(MONTH(B377),"GENNAIO","FEBBRAIO","MARZO","APRILE","MAGGIO","GIUGNO","LUGLIO","AGOSTO","SETTEMBRE","OTTOBRE","NOVEMBRE","DICEMBRE")&amp;" "&amp;YEAR(B377),"")</f>
        <v/>
      </c>
      <c r="B376" s="11"/>
      <c r="C376" s="12"/>
      <c r="D376" s="12" t="str">
        <f>IF(C376="","",C376-IF(C375&lt;&gt;"",C375,IF(C374&lt;&gt;"",C374,IF(C373&lt;&gt;"",C373,0))))</f>
        <v/>
      </c>
      <c r="E376" s="12"/>
      <c r="F376" s="12"/>
      <c r="G376" s="9" t="str">
        <f>IF(AND(E376="",F376=""),"",IF(OR(E376&gt;1,F376&gt;1),(F376-E376)/100,F376-E376))</f>
        <v/>
      </c>
      <c r="H376" s="12" t="str">
        <f>IF(G376="","",64*G376)</f>
        <v/>
      </c>
      <c r="I376" s="13"/>
      <c r="J376" s="13" t="str">
        <f>IFERROR(IF(OR(D376="",D376=0),"",I376/D376*100),"")</f>
        <v/>
      </c>
      <c r="K376" s="14"/>
      <c r="L376" s="13" t="str">
        <f>IF(I376="","",I376*K376)</f>
        <v/>
      </c>
      <c r="M376" s="13" t="str">
        <f>IF(B376="","",IFERROR(SUMPRODUCT(ISNUMBER(B$3:B376)*(MONTH(IF(ISNUMBER(B$3:B376),B$3:B376,1))=MONTH(B376))*(YEAR(IF(ISNUMBER(B$3:B376),B$3:B376,1))=YEAR(B376))*IF(ISNUMBER(L$3:L376),L$3:L376,0)),""))</f>
        <v/>
      </c>
      <c r="N376" s="6"/>
      <c r="O376" s="7" t="str">
        <f>IF(AND(B376="",ISNUMBER(B377)),CHOOSE(MONTH(B377),"GENNAIO","FEBBRAIO","MARZO","APRILE","MAGGIO","GIUGNO","LUGLIO","AGOSTO","SETTEMBRE","OTTOBRE","NOVEMBRE","DICEMBRE")&amp;" "&amp;YEAR(B377),"")</f>
        <v/>
      </c>
      <c r="P376" s="12" t="str">
        <f>IF(K376=0.2,"CASA","")</f>
        <v/>
      </c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" customHeight="1" x14ac:dyDescent="0.2">
      <c r="A377" s="5" t="str">
        <f>IF(AND(B377="",ISNUMBER(B378)),CHOOSE(MONTH(B378),"GENNAIO","FEBBRAIO","MARZO","APRILE","MAGGIO","GIUGNO","LUGLIO","AGOSTO","SETTEMBRE","OTTOBRE","NOVEMBRE","DICEMBRE")&amp;" "&amp;YEAR(B378),"")</f>
        <v/>
      </c>
      <c r="B377" s="11"/>
      <c r="C377" s="12"/>
      <c r="D377" s="12" t="str">
        <f>IF(C377="","",C377-IF(C376&lt;&gt;"",C376,IF(C375&lt;&gt;"",C375,IF(C374&lt;&gt;"",C374,0))))</f>
        <v/>
      </c>
      <c r="E377" s="12"/>
      <c r="F377" s="12"/>
      <c r="G377" s="9" t="str">
        <f>IF(AND(E377="",F377=""),"",IF(OR(E377&gt;1,F377&gt;1),(F377-E377)/100,F377-E377))</f>
        <v/>
      </c>
      <c r="H377" s="12" t="str">
        <f>IF(G377="","",64*G377)</f>
        <v/>
      </c>
      <c r="I377" s="13"/>
      <c r="J377" s="13" t="str">
        <f>IFERROR(IF(OR(D377="",D377=0),"",I377/D377*100),"")</f>
        <v/>
      </c>
      <c r="K377" s="14"/>
      <c r="L377" s="13" t="str">
        <f>IF(I377="","",I377*K377)</f>
        <v/>
      </c>
      <c r="M377" s="13" t="str">
        <f>IF(B377="","",IFERROR(SUMPRODUCT(ISNUMBER(B$3:B377)*(MONTH(IF(ISNUMBER(B$3:B377),B$3:B377,1))=MONTH(B377))*(YEAR(IF(ISNUMBER(B$3:B377),B$3:B377,1))=YEAR(B377))*IF(ISNUMBER(L$3:L377),L$3:L377,0)),""))</f>
        <v/>
      </c>
      <c r="N377" s="6"/>
      <c r="O377" s="7" t="str">
        <f>IF(AND(B377="",ISNUMBER(B378)),CHOOSE(MONTH(B378),"GENNAIO","FEBBRAIO","MARZO","APRILE","MAGGIO","GIUGNO","LUGLIO","AGOSTO","SETTEMBRE","OTTOBRE","NOVEMBRE","DICEMBRE")&amp;" "&amp;YEAR(B378),"")</f>
        <v/>
      </c>
      <c r="P377" s="12" t="str">
        <f>IF(K377=0.2,"CASA","")</f>
        <v/>
      </c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" customHeight="1" x14ac:dyDescent="0.2">
      <c r="A378" s="5" t="str">
        <f>IF(AND(B378="",ISNUMBER(B379)),CHOOSE(MONTH(B379),"GENNAIO","FEBBRAIO","MARZO","APRILE","MAGGIO","GIUGNO","LUGLIO","AGOSTO","SETTEMBRE","OTTOBRE","NOVEMBRE","DICEMBRE")&amp;" "&amp;YEAR(B379),"")</f>
        <v/>
      </c>
      <c r="B378" s="11"/>
      <c r="C378" s="12"/>
      <c r="D378" s="12" t="str">
        <f>IF(C378="","",C378-IF(C377&lt;&gt;"",C377,IF(C376&lt;&gt;"",C376,IF(C375&lt;&gt;"",C375,0))))</f>
        <v/>
      </c>
      <c r="E378" s="12"/>
      <c r="F378" s="12"/>
      <c r="G378" s="9" t="str">
        <f>IF(AND(E378="",F378=""),"",IF(OR(E378&gt;1,F378&gt;1),(F378-E378)/100,F378-E378))</f>
        <v/>
      </c>
      <c r="H378" s="12" t="str">
        <f>IF(G378="","",64*G378)</f>
        <v/>
      </c>
      <c r="I378" s="13"/>
      <c r="J378" s="13" t="str">
        <f>IFERROR(IF(OR(D378="",D378=0),"",I378/D378*100),"")</f>
        <v/>
      </c>
      <c r="K378" s="14"/>
      <c r="L378" s="13" t="str">
        <f>IF(I378="","",I378*K378)</f>
        <v/>
      </c>
      <c r="M378" s="13" t="str">
        <f>IF(B378="","",IFERROR(SUMPRODUCT(ISNUMBER(B$3:B378)*(MONTH(IF(ISNUMBER(B$3:B378),B$3:B378,1))=MONTH(B378))*(YEAR(IF(ISNUMBER(B$3:B378),B$3:B378,1))=YEAR(B378))*IF(ISNUMBER(L$3:L378),L$3:L378,0)),""))</f>
        <v/>
      </c>
      <c r="N378" s="6"/>
      <c r="O378" s="7" t="str">
        <f>IF(AND(B378="",ISNUMBER(B379)),CHOOSE(MONTH(B379),"GENNAIO","FEBBRAIO","MARZO","APRILE","MAGGIO","GIUGNO","LUGLIO","AGOSTO","SETTEMBRE","OTTOBRE","NOVEMBRE","DICEMBRE")&amp;" "&amp;YEAR(B379),"")</f>
        <v/>
      </c>
      <c r="P378" s="12" t="str">
        <f>IF(K378=0.2,"CASA","")</f>
        <v/>
      </c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" customHeight="1" x14ac:dyDescent="0.2">
      <c r="A379" s="5" t="str">
        <f>IF(AND(B379="",ISNUMBER(B380)),CHOOSE(MONTH(B380),"GENNAIO","FEBBRAIO","MARZO","APRILE","MAGGIO","GIUGNO","LUGLIO","AGOSTO","SETTEMBRE","OTTOBRE","NOVEMBRE","DICEMBRE")&amp;" "&amp;YEAR(B380),"")</f>
        <v/>
      </c>
      <c r="B379" s="11"/>
      <c r="C379" s="12"/>
      <c r="D379" s="12" t="str">
        <f>IF(C379="","",C379-IF(C378&lt;&gt;"",C378,IF(C377&lt;&gt;"",C377,IF(C376&lt;&gt;"",C376,0))))</f>
        <v/>
      </c>
      <c r="E379" s="12"/>
      <c r="F379" s="12"/>
      <c r="G379" s="9" t="str">
        <f>IF(AND(E379="",F379=""),"",IF(OR(E379&gt;1,F379&gt;1),(F379-E379)/100,F379-E379))</f>
        <v/>
      </c>
      <c r="H379" s="12" t="str">
        <f>IF(G379="","",64*G379)</f>
        <v/>
      </c>
      <c r="I379" s="13"/>
      <c r="J379" s="13" t="str">
        <f>IFERROR(IF(OR(D379="",D379=0),"",I379/D379*100),"")</f>
        <v/>
      </c>
      <c r="K379" s="14"/>
      <c r="L379" s="13" t="str">
        <f>IF(I379="","",I379*K379)</f>
        <v/>
      </c>
      <c r="M379" s="13" t="str">
        <f>IF(B379="","",IFERROR(SUMPRODUCT(ISNUMBER(B$3:B379)*(MONTH(IF(ISNUMBER(B$3:B379),B$3:B379,1))=MONTH(B379))*(YEAR(IF(ISNUMBER(B$3:B379),B$3:B379,1))=YEAR(B379))*IF(ISNUMBER(L$3:L379),L$3:L379,0)),""))</f>
        <v/>
      </c>
      <c r="N379" s="6"/>
      <c r="O379" s="7" t="str">
        <f>IF(AND(B379="",ISNUMBER(B380)),CHOOSE(MONTH(B380),"GENNAIO","FEBBRAIO","MARZO","APRILE","MAGGIO","GIUGNO","LUGLIO","AGOSTO","SETTEMBRE","OTTOBRE","NOVEMBRE","DICEMBRE")&amp;" "&amp;YEAR(B380),"")</f>
        <v/>
      </c>
      <c r="P379" s="12" t="str">
        <f>IF(K379=0.2,"CASA","")</f>
        <v/>
      </c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" customHeight="1" x14ac:dyDescent="0.2">
      <c r="A380" s="5" t="str">
        <f>IF(AND(B380="",ISNUMBER(B381)),CHOOSE(MONTH(B381),"GENNAIO","FEBBRAIO","MARZO","APRILE","MAGGIO","GIUGNO","LUGLIO","AGOSTO","SETTEMBRE","OTTOBRE","NOVEMBRE","DICEMBRE")&amp;" "&amp;YEAR(B381),"")</f>
        <v/>
      </c>
      <c r="B380" s="11"/>
      <c r="C380" s="12"/>
      <c r="D380" s="12" t="str">
        <f>IF(C380="","",C380-IF(C379&lt;&gt;"",C379,IF(C378&lt;&gt;"",C378,IF(C377&lt;&gt;"",C377,0))))</f>
        <v/>
      </c>
      <c r="E380" s="12"/>
      <c r="F380" s="12"/>
      <c r="G380" s="9" t="str">
        <f>IF(AND(E380="",F380=""),"",IF(OR(E380&gt;1,F380&gt;1),(F380-E380)/100,F380-E380))</f>
        <v/>
      </c>
      <c r="H380" s="12" t="str">
        <f>IF(G380="","",64*G380)</f>
        <v/>
      </c>
      <c r="I380" s="13"/>
      <c r="J380" s="13" t="str">
        <f>IFERROR(IF(OR(D380="",D380=0),"",I380/D380*100),"")</f>
        <v/>
      </c>
      <c r="K380" s="14"/>
      <c r="L380" s="13" t="str">
        <f>IF(I380="","",I380*K380)</f>
        <v/>
      </c>
      <c r="M380" s="13" t="str">
        <f>IF(B380="","",IFERROR(SUMPRODUCT(ISNUMBER(B$3:B380)*(MONTH(IF(ISNUMBER(B$3:B380),B$3:B380,1))=MONTH(B380))*(YEAR(IF(ISNUMBER(B$3:B380),B$3:B380,1))=YEAR(B380))*IF(ISNUMBER(L$3:L380),L$3:L380,0)),""))</f>
        <v/>
      </c>
      <c r="N380" s="6"/>
      <c r="O380" s="7" t="str">
        <f>IF(AND(B380="",ISNUMBER(B381)),CHOOSE(MONTH(B381),"GENNAIO","FEBBRAIO","MARZO","APRILE","MAGGIO","GIUGNO","LUGLIO","AGOSTO","SETTEMBRE","OTTOBRE","NOVEMBRE","DICEMBRE")&amp;" "&amp;YEAR(B381),"")</f>
        <v/>
      </c>
      <c r="P380" s="12" t="str">
        <f>IF(K380=0.2,"CASA","")</f>
        <v/>
      </c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" customHeight="1" x14ac:dyDescent="0.2">
      <c r="A381" s="5" t="str">
        <f>IF(AND(B381="",ISNUMBER(B382)),CHOOSE(MONTH(B382),"GENNAIO","FEBBRAIO","MARZO","APRILE","MAGGIO","GIUGNO","LUGLIO","AGOSTO","SETTEMBRE","OTTOBRE","NOVEMBRE","DICEMBRE")&amp;" "&amp;YEAR(B382),"")</f>
        <v/>
      </c>
      <c r="B381" s="11"/>
      <c r="C381" s="12"/>
      <c r="D381" s="12" t="str">
        <f>IF(C381="","",C381-IF(C380&lt;&gt;"",C380,IF(C379&lt;&gt;"",C379,IF(C378&lt;&gt;"",C378,0))))</f>
        <v/>
      </c>
      <c r="E381" s="12"/>
      <c r="F381" s="12"/>
      <c r="G381" s="9" t="str">
        <f>IF(AND(E381="",F381=""),"",IF(OR(E381&gt;1,F381&gt;1),(F381-E381)/100,F381-E381))</f>
        <v/>
      </c>
      <c r="H381" s="12" t="str">
        <f>IF(G381="","",64*G381)</f>
        <v/>
      </c>
      <c r="I381" s="13"/>
      <c r="J381" s="13" t="str">
        <f>IFERROR(IF(OR(D381="",D381=0),"",I381/D381*100),"")</f>
        <v/>
      </c>
      <c r="K381" s="14"/>
      <c r="L381" s="13" t="str">
        <f>IF(I381="","",I381*K381)</f>
        <v/>
      </c>
      <c r="M381" s="13" t="str">
        <f>IF(B381="","",IFERROR(SUMPRODUCT(ISNUMBER(B$3:B381)*(MONTH(IF(ISNUMBER(B$3:B381),B$3:B381,1))=MONTH(B381))*(YEAR(IF(ISNUMBER(B$3:B381),B$3:B381,1))=YEAR(B381))*IF(ISNUMBER(L$3:L381),L$3:L381,0)),""))</f>
        <v/>
      </c>
      <c r="N381" s="6"/>
      <c r="O381" s="7" t="str">
        <f>IF(AND(B381="",ISNUMBER(B382)),CHOOSE(MONTH(B382),"GENNAIO","FEBBRAIO","MARZO","APRILE","MAGGIO","GIUGNO","LUGLIO","AGOSTO","SETTEMBRE","OTTOBRE","NOVEMBRE","DICEMBRE")&amp;" "&amp;YEAR(B382),"")</f>
        <v/>
      </c>
      <c r="P381" s="12" t="str">
        <f>IF(K381=0.2,"CASA","")</f>
        <v/>
      </c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" customHeight="1" x14ac:dyDescent="0.2">
      <c r="A382" s="5" t="str">
        <f>IF(AND(B382="",ISNUMBER(B383)),CHOOSE(MONTH(B383),"GENNAIO","FEBBRAIO","MARZO","APRILE","MAGGIO","GIUGNO","LUGLIO","AGOSTO","SETTEMBRE","OTTOBRE","NOVEMBRE","DICEMBRE")&amp;" "&amp;YEAR(B383),"")</f>
        <v/>
      </c>
      <c r="B382" s="11"/>
      <c r="C382" s="12"/>
      <c r="D382" s="12" t="str">
        <f>IF(C382="","",C382-IF(C381&lt;&gt;"",C381,IF(C380&lt;&gt;"",C380,IF(C379&lt;&gt;"",C379,0))))</f>
        <v/>
      </c>
      <c r="E382" s="12"/>
      <c r="F382" s="12"/>
      <c r="G382" s="9" t="str">
        <f>IF(AND(E382="",F382=""),"",IF(OR(E382&gt;1,F382&gt;1),(F382-E382)/100,F382-E382))</f>
        <v/>
      </c>
      <c r="H382" s="12" t="str">
        <f>IF(G382="","",64*G382)</f>
        <v/>
      </c>
      <c r="I382" s="13"/>
      <c r="J382" s="13" t="str">
        <f>IFERROR(IF(OR(D382="",D382=0),"",I382/D382*100),"")</f>
        <v/>
      </c>
      <c r="K382" s="14"/>
      <c r="L382" s="13" t="str">
        <f>IF(I382="","",I382*K382)</f>
        <v/>
      </c>
      <c r="M382" s="13" t="str">
        <f>IF(B382="","",IFERROR(SUMPRODUCT(ISNUMBER(B$3:B382)*(MONTH(IF(ISNUMBER(B$3:B382),B$3:B382,1))=MONTH(B382))*(YEAR(IF(ISNUMBER(B$3:B382),B$3:B382,1))=YEAR(B382))*IF(ISNUMBER(L$3:L382),L$3:L382,0)),""))</f>
        <v/>
      </c>
      <c r="N382" s="6"/>
      <c r="O382" s="7" t="str">
        <f>IF(AND(B382="",ISNUMBER(B383)),CHOOSE(MONTH(B383),"GENNAIO","FEBBRAIO","MARZO","APRILE","MAGGIO","GIUGNO","LUGLIO","AGOSTO","SETTEMBRE","OTTOBRE","NOVEMBRE","DICEMBRE")&amp;" "&amp;YEAR(B383),"")</f>
        <v/>
      </c>
      <c r="P382" s="12" t="str">
        <f>IF(K382=0.2,"CASA","")</f>
        <v/>
      </c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" customHeight="1" x14ac:dyDescent="0.2">
      <c r="A383" s="5" t="str">
        <f>IF(AND(B383="",ISNUMBER(B384)),CHOOSE(MONTH(B384),"GENNAIO","FEBBRAIO","MARZO","APRILE","MAGGIO","GIUGNO","LUGLIO","AGOSTO","SETTEMBRE","OTTOBRE","NOVEMBRE","DICEMBRE")&amp;" "&amp;YEAR(B384),"")</f>
        <v/>
      </c>
      <c r="B383" s="11"/>
      <c r="C383" s="12"/>
      <c r="D383" s="12" t="str">
        <f>IF(C383="","",C383-IF(C382&lt;&gt;"",C382,IF(C381&lt;&gt;"",C381,IF(C380&lt;&gt;"",C380,0))))</f>
        <v/>
      </c>
      <c r="E383" s="12"/>
      <c r="F383" s="12"/>
      <c r="G383" s="9" t="str">
        <f>IF(AND(E383="",F383=""),"",IF(OR(E383&gt;1,F383&gt;1),(F383-E383)/100,F383-E383))</f>
        <v/>
      </c>
      <c r="H383" s="12" t="str">
        <f>IF(G383="","",64*G383)</f>
        <v/>
      </c>
      <c r="I383" s="13"/>
      <c r="J383" s="13" t="str">
        <f>IFERROR(IF(OR(D383="",D383=0),"",I383/D383*100),"")</f>
        <v/>
      </c>
      <c r="K383" s="14"/>
      <c r="L383" s="13" t="str">
        <f>IF(I383="","",I383*K383)</f>
        <v/>
      </c>
      <c r="M383" s="13" t="str">
        <f>IF(B383="","",IFERROR(SUMPRODUCT(ISNUMBER(B$3:B383)*(MONTH(IF(ISNUMBER(B$3:B383),B$3:B383,1))=MONTH(B383))*(YEAR(IF(ISNUMBER(B$3:B383),B$3:B383,1))=YEAR(B383))*IF(ISNUMBER(L$3:L383),L$3:L383,0)),""))</f>
        <v/>
      </c>
      <c r="N383" s="6"/>
      <c r="O383" s="7" t="str">
        <f>IF(AND(B383="",ISNUMBER(B384)),CHOOSE(MONTH(B384),"GENNAIO","FEBBRAIO","MARZO","APRILE","MAGGIO","GIUGNO","LUGLIO","AGOSTO","SETTEMBRE","OTTOBRE","NOVEMBRE","DICEMBRE")&amp;" "&amp;YEAR(B384),"")</f>
        <v/>
      </c>
      <c r="P383" s="12" t="str">
        <f>IF(K383=0.2,"CASA","")</f>
        <v/>
      </c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" customHeight="1" x14ac:dyDescent="0.2">
      <c r="A384" s="5" t="str">
        <f>IF(AND(B384="",ISNUMBER(B385)),CHOOSE(MONTH(B385),"GENNAIO","FEBBRAIO","MARZO","APRILE","MAGGIO","GIUGNO","LUGLIO","AGOSTO","SETTEMBRE","OTTOBRE","NOVEMBRE","DICEMBRE")&amp;" "&amp;YEAR(B385),"")</f>
        <v/>
      </c>
      <c r="B384" s="11"/>
      <c r="C384" s="12"/>
      <c r="D384" s="12" t="str">
        <f>IF(C384="","",C384-IF(C383&lt;&gt;"",C383,IF(C382&lt;&gt;"",C382,IF(C381&lt;&gt;"",C381,0))))</f>
        <v/>
      </c>
      <c r="E384" s="12"/>
      <c r="F384" s="12"/>
      <c r="G384" s="9" t="str">
        <f>IF(AND(E384="",F384=""),"",IF(OR(E384&gt;1,F384&gt;1),(F384-E384)/100,F384-E384))</f>
        <v/>
      </c>
      <c r="H384" s="12" t="str">
        <f>IF(G384="","",64*G384)</f>
        <v/>
      </c>
      <c r="I384" s="13"/>
      <c r="J384" s="13" t="str">
        <f>IFERROR(IF(OR(D384="",D384=0),"",I384/D384*100),"")</f>
        <v/>
      </c>
      <c r="K384" s="14"/>
      <c r="L384" s="13" t="str">
        <f>IF(I384="","",I384*K384)</f>
        <v/>
      </c>
      <c r="M384" s="13" t="str">
        <f>IF(B384="","",IFERROR(SUMPRODUCT(ISNUMBER(B$3:B384)*(MONTH(IF(ISNUMBER(B$3:B384),B$3:B384,1))=MONTH(B384))*(YEAR(IF(ISNUMBER(B$3:B384),B$3:B384,1))=YEAR(B384))*IF(ISNUMBER(L$3:L384),L$3:L384,0)),""))</f>
        <v/>
      </c>
      <c r="N384" s="6"/>
      <c r="O384" s="7" t="str">
        <f>IF(AND(B384="",ISNUMBER(B385)),CHOOSE(MONTH(B385),"GENNAIO","FEBBRAIO","MARZO","APRILE","MAGGIO","GIUGNO","LUGLIO","AGOSTO","SETTEMBRE","OTTOBRE","NOVEMBRE","DICEMBRE")&amp;" "&amp;YEAR(B385),"")</f>
        <v/>
      </c>
      <c r="P384" s="12" t="str">
        <f>IF(K384=0.2,"CASA","")</f>
        <v/>
      </c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" customHeight="1" x14ac:dyDescent="0.2">
      <c r="A385" s="5" t="str">
        <f>IF(AND(B385="",ISNUMBER(B386)),CHOOSE(MONTH(B386),"GENNAIO","FEBBRAIO","MARZO","APRILE","MAGGIO","GIUGNO","LUGLIO","AGOSTO","SETTEMBRE","OTTOBRE","NOVEMBRE","DICEMBRE")&amp;" "&amp;YEAR(B386),"")</f>
        <v/>
      </c>
      <c r="B385" s="11"/>
      <c r="C385" s="12"/>
      <c r="D385" s="12" t="str">
        <f>IF(C385="","",C385-IF(C384&lt;&gt;"",C384,IF(C383&lt;&gt;"",C383,IF(C382&lt;&gt;"",C382,0))))</f>
        <v/>
      </c>
      <c r="E385" s="12"/>
      <c r="F385" s="12"/>
      <c r="G385" s="9" t="str">
        <f>IF(AND(E385="",F385=""),"",IF(OR(E385&gt;1,F385&gt;1),(F385-E385)/100,F385-E385))</f>
        <v/>
      </c>
      <c r="H385" s="12" t="str">
        <f>IF(G385="","",64*G385)</f>
        <v/>
      </c>
      <c r="I385" s="13"/>
      <c r="J385" s="13" t="str">
        <f>IFERROR(IF(OR(D385="",D385=0),"",I385/D385*100),"")</f>
        <v/>
      </c>
      <c r="K385" s="14"/>
      <c r="L385" s="13" t="str">
        <f>IF(I385="","",I385*K385)</f>
        <v/>
      </c>
      <c r="M385" s="13" t="str">
        <f>IF(B385="","",IFERROR(SUMPRODUCT(ISNUMBER(B$3:B385)*(MONTH(IF(ISNUMBER(B$3:B385),B$3:B385,1))=MONTH(B385))*(YEAR(IF(ISNUMBER(B$3:B385),B$3:B385,1))=YEAR(B385))*IF(ISNUMBER(L$3:L385),L$3:L385,0)),""))</f>
        <v/>
      </c>
      <c r="N385" s="6"/>
      <c r="O385" s="7" t="str">
        <f>IF(AND(B385="",ISNUMBER(B386)),CHOOSE(MONTH(B386),"GENNAIO","FEBBRAIO","MARZO","APRILE","MAGGIO","GIUGNO","LUGLIO","AGOSTO","SETTEMBRE","OTTOBRE","NOVEMBRE","DICEMBRE")&amp;" "&amp;YEAR(B386),"")</f>
        <v/>
      </c>
      <c r="P385" s="12" t="str">
        <f>IF(K385=0.2,"CASA","")</f>
        <v/>
      </c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" customHeight="1" x14ac:dyDescent="0.2">
      <c r="A386" s="5" t="str">
        <f>IF(AND(B386="",ISNUMBER(B387)),CHOOSE(MONTH(B387),"GENNAIO","FEBBRAIO","MARZO","APRILE","MAGGIO","GIUGNO","LUGLIO","AGOSTO","SETTEMBRE","OTTOBRE","NOVEMBRE","DICEMBRE")&amp;" "&amp;YEAR(B387),"")</f>
        <v/>
      </c>
      <c r="B386" s="11"/>
      <c r="C386" s="12"/>
      <c r="D386" s="12" t="str">
        <f>IF(C386="","",C386-IF(C385&lt;&gt;"",C385,IF(C384&lt;&gt;"",C384,IF(C383&lt;&gt;"",C383,0))))</f>
        <v/>
      </c>
      <c r="E386" s="12"/>
      <c r="F386" s="12"/>
      <c r="G386" s="9" t="str">
        <f>IF(AND(E386="",F386=""),"",IF(OR(E386&gt;1,F386&gt;1),(F386-E386)/100,F386-E386))</f>
        <v/>
      </c>
      <c r="H386" s="12" t="str">
        <f>IF(G386="","",64*G386)</f>
        <v/>
      </c>
      <c r="I386" s="13"/>
      <c r="J386" s="13" t="str">
        <f>IFERROR(IF(OR(D386="",D386=0),"",I386/D386*100),"")</f>
        <v/>
      </c>
      <c r="K386" s="14"/>
      <c r="L386" s="13" t="str">
        <f>IF(I386="","",I386*K386)</f>
        <v/>
      </c>
      <c r="M386" s="13" t="str">
        <f>IF(B386="","",IFERROR(SUMPRODUCT(ISNUMBER(B$3:B386)*(MONTH(IF(ISNUMBER(B$3:B386),B$3:B386,1))=MONTH(B386))*(YEAR(IF(ISNUMBER(B$3:B386),B$3:B386,1))=YEAR(B386))*IF(ISNUMBER(L$3:L386),L$3:L386,0)),""))</f>
        <v/>
      </c>
      <c r="N386" s="6"/>
      <c r="O386" s="7" t="str">
        <f>IF(AND(B386="",ISNUMBER(B387)),CHOOSE(MONTH(B387),"GENNAIO","FEBBRAIO","MARZO","APRILE","MAGGIO","GIUGNO","LUGLIO","AGOSTO","SETTEMBRE","OTTOBRE","NOVEMBRE","DICEMBRE")&amp;" "&amp;YEAR(B387),"")</f>
        <v/>
      </c>
      <c r="P386" s="12" t="str">
        <f>IF(K386=0.2,"CASA","")</f>
        <v/>
      </c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" customHeight="1" x14ac:dyDescent="0.2">
      <c r="A387" s="5" t="str">
        <f>IF(AND(B387="",ISNUMBER(B388)),CHOOSE(MONTH(B388),"GENNAIO","FEBBRAIO","MARZO","APRILE","MAGGIO","GIUGNO","LUGLIO","AGOSTO","SETTEMBRE","OTTOBRE","NOVEMBRE","DICEMBRE")&amp;" "&amp;YEAR(B388),"")</f>
        <v/>
      </c>
      <c r="B387" s="11"/>
      <c r="C387" s="12"/>
      <c r="D387" s="12" t="str">
        <f>IF(C387="","",C387-IF(C386&lt;&gt;"",C386,IF(C385&lt;&gt;"",C385,IF(C384&lt;&gt;"",C384,0))))</f>
        <v/>
      </c>
      <c r="E387" s="12"/>
      <c r="F387" s="12"/>
      <c r="G387" s="9" t="str">
        <f>IF(AND(E387="",F387=""),"",IF(OR(E387&gt;1,F387&gt;1),(F387-E387)/100,F387-E387))</f>
        <v/>
      </c>
      <c r="H387" s="12" t="str">
        <f>IF(G387="","",64*G387)</f>
        <v/>
      </c>
      <c r="I387" s="13"/>
      <c r="J387" s="13" t="str">
        <f>IFERROR(IF(OR(D387="",D387=0),"",I387/D387*100),"")</f>
        <v/>
      </c>
      <c r="K387" s="14"/>
      <c r="L387" s="13" t="str">
        <f>IF(I387="","",I387*K387)</f>
        <v/>
      </c>
      <c r="M387" s="13" t="str">
        <f>IF(B387="","",IFERROR(SUMPRODUCT(ISNUMBER(B$3:B387)*(MONTH(IF(ISNUMBER(B$3:B387),B$3:B387,1))=MONTH(B387))*(YEAR(IF(ISNUMBER(B$3:B387),B$3:B387,1))=YEAR(B387))*IF(ISNUMBER(L$3:L387),L$3:L387,0)),""))</f>
        <v/>
      </c>
      <c r="N387" s="6"/>
      <c r="O387" s="7" t="str">
        <f>IF(AND(B387="",ISNUMBER(B388)),CHOOSE(MONTH(B388),"GENNAIO","FEBBRAIO","MARZO","APRILE","MAGGIO","GIUGNO","LUGLIO","AGOSTO","SETTEMBRE","OTTOBRE","NOVEMBRE","DICEMBRE")&amp;" "&amp;YEAR(B388),"")</f>
        <v/>
      </c>
      <c r="P387" s="12" t="str">
        <f>IF(K387=0.2,"CASA","")</f>
        <v/>
      </c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" customHeight="1" x14ac:dyDescent="0.2">
      <c r="A388" s="5" t="str">
        <f>IF(AND(B388="",ISNUMBER(B389)),CHOOSE(MONTH(B389),"GENNAIO","FEBBRAIO","MARZO","APRILE","MAGGIO","GIUGNO","LUGLIO","AGOSTO","SETTEMBRE","OTTOBRE","NOVEMBRE","DICEMBRE")&amp;" "&amp;YEAR(B389),"")</f>
        <v/>
      </c>
      <c r="B388" s="11"/>
      <c r="C388" s="12"/>
      <c r="D388" s="12" t="str">
        <f>IF(C388="","",C388-IF(C387&lt;&gt;"",C387,IF(C386&lt;&gt;"",C386,IF(C385&lt;&gt;"",C385,0))))</f>
        <v/>
      </c>
      <c r="E388" s="12"/>
      <c r="F388" s="12"/>
      <c r="G388" s="9" t="str">
        <f>IF(AND(E388="",F388=""),"",IF(OR(E388&gt;1,F388&gt;1),(F388-E388)/100,F388-E388))</f>
        <v/>
      </c>
      <c r="H388" s="12" t="str">
        <f>IF(G388="","",64*G388)</f>
        <v/>
      </c>
      <c r="I388" s="13"/>
      <c r="J388" s="13" t="str">
        <f>IFERROR(IF(OR(D388="",D388=0),"",I388/D388*100),"")</f>
        <v/>
      </c>
      <c r="K388" s="14"/>
      <c r="L388" s="13" t="str">
        <f>IF(I388="","",I388*K388)</f>
        <v/>
      </c>
      <c r="M388" s="13" t="str">
        <f>IF(B388="","",IFERROR(SUMPRODUCT(ISNUMBER(B$3:B388)*(MONTH(IF(ISNUMBER(B$3:B388),B$3:B388,1))=MONTH(B388))*(YEAR(IF(ISNUMBER(B$3:B388),B$3:B388,1))=YEAR(B388))*IF(ISNUMBER(L$3:L388),L$3:L388,0)),""))</f>
        <v/>
      </c>
      <c r="N388" s="6"/>
      <c r="O388" s="7" t="str">
        <f>IF(AND(B388="",ISNUMBER(B389)),CHOOSE(MONTH(B389),"GENNAIO","FEBBRAIO","MARZO","APRILE","MAGGIO","GIUGNO","LUGLIO","AGOSTO","SETTEMBRE","OTTOBRE","NOVEMBRE","DICEMBRE")&amp;" "&amp;YEAR(B389),"")</f>
        <v/>
      </c>
      <c r="P388" s="12" t="str">
        <f>IF(K388=0.2,"CASA","")</f>
        <v/>
      </c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" customHeight="1" x14ac:dyDescent="0.2">
      <c r="A389" s="5" t="str">
        <f>IF(AND(B389="",ISNUMBER(B390)),CHOOSE(MONTH(B390),"GENNAIO","FEBBRAIO","MARZO","APRILE","MAGGIO","GIUGNO","LUGLIO","AGOSTO","SETTEMBRE","OTTOBRE","NOVEMBRE","DICEMBRE")&amp;" "&amp;YEAR(B390),"")</f>
        <v/>
      </c>
      <c r="B389" s="11"/>
      <c r="C389" s="12"/>
      <c r="D389" s="12" t="str">
        <f>IF(C389="","",C389-IF(C388&lt;&gt;"",C388,IF(C387&lt;&gt;"",C387,IF(C386&lt;&gt;"",C386,0))))</f>
        <v/>
      </c>
      <c r="E389" s="12"/>
      <c r="F389" s="12"/>
      <c r="G389" s="9" t="str">
        <f>IF(AND(E389="",F389=""),"",IF(OR(E389&gt;1,F389&gt;1),(F389-E389)/100,F389-E389))</f>
        <v/>
      </c>
      <c r="H389" s="12" t="str">
        <f>IF(G389="","",64*G389)</f>
        <v/>
      </c>
      <c r="I389" s="13"/>
      <c r="J389" s="13" t="str">
        <f>IFERROR(IF(OR(D389="",D389=0),"",I389/D389*100),"")</f>
        <v/>
      </c>
      <c r="K389" s="14"/>
      <c r="L389" s="13" t="str">
        <f>IF(I389="","",I389*K389)</f>
        <v/>
      </c>
      <c r="M389" s="13" t="str">
        <f>IF(B389="","",IFERROR(SUMPRODUCT(ISNUMBER(B$3:B389)*(MONTH(IF(ISNUMBER(B$3:B389),B$3:B389,1))=MONTH(B389))*(YEAR(IF(ISNUMBER(B$3:B389),B$3:B389,1))=YEAR(B389))*IF(ISNUMBER(L$3:L389),L$3:L389,0)),""))</f>
        <v/>
      </c>
      <c r="N389" s="6"/>
      <c r="O389" s="7" t="str">
        <f>IF(AND(B389="",ISNUMBER(B390)),CHOOSE(MONTH(B390),"GENNAIO","FEBBRAIO","MARZO","APRILE","MAGGIO","GIUGNO","LUGLIO","AGOSTO","SETTEMBRE","OTTOBRE","NOVEMBRE","DICEMBRE")&amp;" "&amp;YEAR(B390),"")</f>
        <v/>
      </c>
      <c r="P389" s="12" t="str">
        <f>IF(K389=0.2,"CASA","")</f>
        <v/>
      </c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" customHeight="1" x14ac:dyDescent="0.2">
      <c r="A390" s="5" t="str">
        <f>IF(AND(B390="",ISNUMBER(B391)),CHOOSE(MONTH(B391),"GENNAIO","FEBBRAIO","MARZO","APRILE","MAGGIO","GIUGNO","LUGLIO","AGOSTO","SETTEMBRE","OTTOBRE","NOVEMBRE","DICEMBRE")&amp;" "&amp;YEAR(B391),"")</f>
        <v/>
      </c>
      <c r="B390" s="11"/>
      <c r="C390" s="12"/>
      <c r="D390" s="12" t="str">
        <f>IF(C390="","",C390-IF(C389&lt;&gt;"",C389,IF(C388&lt;&gt;"",C388,IF(C387&lt;&gt;"",C387,0))))</f>
        <v/>
      </c>
      <c r="E390" s="12"/>
      <c r="F390" s="12"/>
      <c r="G390" s="9" t="str">
        <f>IF(AND(E390="",F390=""),"",IF(OR(E390&gt;1,F390&gt;1),(F390-E390)/100,F390-E390))</f>
        <v/>
      </c>
      <c r="H390" s="12" t="str">
        <f>IF(G390="","",64*G390)</f>
        <v/>
      </c>
      <c r="I390" s="13"/>
      <c r="J390" s="13" t="str">
        <f>IFERROR(IF(OR(D390="",D390=0),"",I390/D390*100),"")</f>
        <v/>
      </c>
      <c r="K390" s="14"/>
      <c r="L390" s="13" t="str">
        <f>IF(I390="","",I390*K390)</f>
        <v/>
      </c>
      <c r="M390" s="13" t="str">
        <f>IF(B390="","",IFERROR(SUMPRODUCT(ISNUMBER(B$3:B390)*(MONTH(IF(ISNUMBER(B$3:B390),B$3:B390,1))=MONTH(B390))*(YEAR(IF(ISNUMBER(B$3:B390),B$3:B390,1))=YEAR(B390))*IF(ISNUMBER(L$3:L390),L$3:L390,0)),""))</f>
        <v/>
      </c>
      <c r="N390" s="6"/>
      <c r="O390" s="7" t="str">
        <f>IF(AND(B390="",ISNUMBER(B391)),CHOOSE(MONTH(B391),"GENNAIO","FEBBRAIO","MARZO","APRILE","MAGGIO","GIUGNO","LUGLIO","AGOSTO","SETTEMBRE","OTTOBRE","NOVEMBRE","DICEMBRE")&amp;" "&amp;YEAR(B391),"")</f>
        <v/>
      </c>
      <c r="P390" s="12" t="str">
        <f>IF(K390=0.2,"CASA","")</f>
        <v/>
      </c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" customHeight="1" x14ac:dyDescent="0.2">
      <c r="A391" s="5" t="str">
        <f>IF(AND(B391="",ISNUMBER(B392)),CHOOSE(MONTH(B392),"GENNAIO","FEBBRAIO","MARZO","APRILE","MAGGIO","GIUGNO","LUGLIO","AGOSTO","SETTEMBRE","OTTOBRE","NOVEMBRE","DICEMBRE")&amp;" "&amp;YEAR(B392),"")</f>
        <v/>
      </c>
      <c r="B391" s="11"/>
      <c r="C391" s="12"/>
      <c r="D391" s="12" t="str">
        <f>IF(C391="","",C391-IF(C390&lt;&gt;"",C390,IF(C389&lt;&gt;"",C389,IF(C388&lt;&gt;"",C388,0))))</f>
        <v/>
      </c>
      <c r="E391" s="12"/>
      <c r="F391" s="12"/>
      <c r="G391" s="9" t="str">
        <f>IF(AND(E391="",F391=""),"",IF(OR(E391&gt;1,F391&gt;1),(F391-E391)/100,F391-E391))</f>
        <v/>
      </c>
      <c r="H391" s="12" t="str">
        <f>IF(G391="","",64*G391)</f>
        <v/>
      </c>
      <c r="I391" s="13"/>
      <c r="J391" s="13" t="str">
        <f>IFERROR(IF(OR(D391="",D391=0),"",I391/D391*100),"")</f>
        <v/>
      </c>
      <c r="K391" s="14"/>
      <c r="L391" s="13" t="str">
        <f>IF(I391="","",I391*K391)</f>
        <v/>
      </c>
      <c r="M391" s="13" t="str">
        <f>IF(B391="","",IFERROR(SUMPRODUCT(ISNUMBER(B$3:B391)*(MONTH(IF(ISNUMBER(B$3:B391),B$3:B391,1))=MONTH(B391))*(YEAR(IF(ISNUMBER(B$3:B391),B$3:B391,1))=YEAR(B391))*IF(ISNUMBER(L$3:L391),L$3:L391,0)),""))</f>
        <v/>
      </c>
      <c r="N391" s="6"/>
      <c r="O391" s="7" t="str">
        <f>IF(AND(B391="",ISNUMBER(B392)),CHOOSE(MONTH(B392),"GENNAIO","FEBBRAIO","MARZO","APRILE","MAGGIO","GIUGNO","LUGLIO","AGOSTO","SETTEMBRE","OTTOBRE","NOVEMBRE","DICEMBRE")&amp;" "&amp;YEAR(B392),"")</f>
        <v/>
      </c>
      <c r="P391" s="12" t="str">
        <f>IF(K391=0.2,"CASA","")</f>
        <v/>
      </c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" customHeight="1" x14ac:dyDescent="0.2">
      <c r="A392" s="5" t="str">
        <f>IF(AND(B392="",ISNUMBER(B393)),CHOOSE(MONTH(B393),"GENNAIO","FEBBRAIO","MARZO","APRILE","MAGGIO","GIUGNO","LUGLIO","AGOSTO","SETTEMBRE","OTTOBRE","NOVEMBRE","DICEMBRE")&amp;" "&amp;YEAR(B393),"")</f>
        <v/>
      </c>
      <c r="B392" s="11"/>
      <c r="C392" s="12"/>
      <c r="D392" s="12" t="str">
        <f>IF(C392="","",C392-IF(C391&lt;&gt;"",C391,IF(C390&lt;&gt;"",C390,IF(C389&lt;&gt;"",C389,0))))</f>
        <v/>
      </c>
      <c r="E392" s="12"/>
      <c r="F392" s="12"/>
      <c r="G392" s="9" t="str">
        <f>IF(AND(E392="",F392=""),"",IF(OR(E392&gt;1,F392&gt;1),(F392-E392)/100,F392-E392))</f>
        <v/>
      </c>
      <c r="H392" s="12" t="str">
        <f>IF(G392="","",64*G392)</f>
        <v/>
      </c>
      <c r="I392" s="13"/>
      <c r="J392" s="13" t="str">
        <f>IFERROR(IF(OR(D392="",D392=0),"",I392/D392*100),"")</f>
        <v/>
      </c>
      <c r="K392" s="14"/>
      <c r="L392" s="13" t="str">
        <f>IF(I392="","",I392*K392)</f>
        <v/>
      </c>
      <c r="M392" s="13" t="str">
        <f>IF(B392="","",IFERROR(SUMPRODUCT(ISNUMBER(B$3:B392)*(MONTH(IF(ISNUMBER(B$3:B392),B$3:B392,1))=MONTH(B392))*(YEAR(IF(ISNUMBER(B$3:B392),B$3:B392,1))=YEAR(B392))*IF(ISNUMBER(L$3:L392),L$3:L392,0)),""))</f>
        <v/>
      </c>
      <c r="N392" s="6"/>
      <c r="O392" s="7" t="str">
        <f>IF(AND(B392="",ISNUMBER(B393)),CHOOSE(MONTH(B393),"GENNAIO","FEBBRAIO","MARZO","APRILE","MAGGIO","GIUGNO","LUGLIO","AGOSTO","SETTEMBRE","OTTOBRE","NOVEMBRE","DICEMBRE")&amp;" "&amp;YEAR(B393),"")</f>
        <v/>
      </c>
      <c r="P392" s="12" t="str">
        <f>IF(K392=0.2,"CASA","")</f>
        <v/>
      </c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" customHeight="1" x14ac:dyDescent="0.2">
      <c r="A393" s="5" t="str">
        <f>IF(AND(B393="",ISNUMBER(B394)),CHOOSE(MONTH(B394),"GENNAIO","FEBBRAIO","MARZO","APRILE","MAGGIO","GIUGNO","LUGLIO","AGOSTO","SETTEMBRE","OTTOBRE","NOVEMBRE","DICEMBRE")&amp;" "&amp;YEAR(B394),"")</f>
        <v/>
      </c>
      <c r="B393" s="11"/>
      <c r="C393" s="12"/>
      <c r="D393" s="12" t="str">
        <f>IF(C393="","",C393-IF(C392&lt;&gt;"",C392,IF(C391&lt;&gt;"",C391,IF(C390&lt;&gt;"",C390,0))))</f>
        <v/>
      </c>
      <c r="E393" s="12"/>
      <c r="F393" s="12"/>
      <c r="G393" s="9" t="str">
        <f>IF(AND(E393="",F393=""),"",IF(OR(E393&gt;1,F393&gt;1),(F393-E393)/100,F393-E393))</f>
        <v/>
      </c>
      <c r="H393" s="12" t="str">
        <f>IF(G393="","",64*G393)</f>
        <v/>
      </c>
      <c r="I393" s="13"/>
      <c r="J393" s="13" t="str">
        <f>IFERROR(IF(OR(D393="",D393=0),"",I393/D393*100),"")</f>
        <v/>
      </c>
      <c r="K393" s="14"/>
      <c r="L393" s="13" t="str">
        <f>IF(I393="","",I393*K393)</f>
        <v/>
      </c>
      <c r="M393" s="13" t="str">
        <f>IF(B393="","",IFERROR(SUMPRODUCT(ISNUMBER(B$3:B393)*(MONTH(IF(ISNUMBER(B$3:B393),B$3:B393,1))=MONTH(B393))*(YEAR(IF(ISNUMBER(B$3:B393),B$3:B393,1))=YEAR(B393))*IF(ISNUMBER(L$3:L393),L$3:L393,0)),""))</f>
        <v/>
      </c>
      <c r="N393" s="6"/>
      <c r="O393" s="7" t="str">
        <f>IF(AND(B393="",ISNUMBER(B394)),CHOOSE(MONTH(B394),"GENNAIO","FEBBRAIO","MARZO","APRILE","MAGGIO","GIUGNO","LUGLIO","AGOSTO","SETTEMBRE","OTTOBRE","NOVEMBRE","DICEMBRE")&amp;" "&amp;YEAR(B394),"")</f>
        <v/>
      </c>
      <c r="P393" s="12" t="str">
        <f>IF(K393=0.2,"CASA","")</f>
        <v/>
      </c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" customHeight="1" x14ac:dyDescent="0.2">
      <c r="A394" s="5" t="str">
        <f>IF(AND(B394="",ISNUMBER(B395)),CHOOSE(MONTH(B395),"GENNAIO","FEBBRAIO","MARZO","APRILE","MAGGIO","GIUGNO","LUGLIO","AGOSTO","SETTEMBRE","OTTOBRE","NOVEMBRE","DICEMBRE")&amp;" "&amp;YEAR(B395),"")</f>
        <v/>
      </c>
      <c r="B394" s="11"/>
      <c r="C394" s="12"/>
      <c r="D394" s="12" t="str">
        <f>IF(C394="","",C394-IF(C393&lt;&gt;"",C393,IF(C392&lt;&gt;"",C392,IF(C391&lt;&gt;"",C391,0))))</f>
        <v/>
      </c>
      <c r="E394" s="12"/>
      <c r="F394" s="12"/>
      <c r="G394" s="9" t="str">
        <f>IF(AND(E394="",F394=""),"",IF(OR(E394&gt;1,F394&gt;1),(F394-E394)/100,F394-E394))</f>
        <v/>
      </c>
      <c r="H394" s="12" t="str">
        <f>IF(G394="","",64*G394)</f>
        <v/>
      </c>
      <c r="I394" s="13"/>
      <c r="J394" s="13" t="str">
        <f>IFERROR(IF(OR(D394="",D394=0),"",I394/D394*100),"")</f>
        <v/>
      </c>
      <c r="K394" s="14"/>
      <c r="L394" s="13" t="str">
        <f>IF(I394="","",I394*K394)</f>
        <v/>
      </c>
      <c r="M394" s="13" t="str">
        <f>IF(B394="","",IFERROR(SUMPRODUCT(ISNUMBER(B$3:B394)*(MONTH(IF(ISNUMBER(B$3:B394),B$3:B394,1))=MONTH(B394))*(YEAR(IF(ISNUMBER(B$3:B394),B$3:B394,1))=YEAR(B394))*IF(ISNUMBER(L$3:L394),L$3:L394,0)),""))</f>
        <v/>
      </c>
      <c r="N394" s="6"/>
      <c r="O394" s="7" t="str">
        <f>IF(AND(B394="",ISNUMBER(B395)),CHOOSE(MONTH(B395),"GENNAIO","FEBBRAIO","MARZO","APRILE","MAGGIO","GIUGNO","LUGLIO","AGOSTO","SETTEMBRE","OTTOBRE","NOVEMBRE","DICEMBRE")&amp;" "&amp;YEAR(B395),"")</f>
        <v/>
      </c>
      <c r="P394" s="12" t="str">
        <f>IF(K394=0.2,"CASA","")</f>
        <v/>
      </c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" customHeight="1" x14ac:dyDescent="0.2">
      <c r="A395" s="5" t="str">
        <f>IF(AND(B395="",ISNUMBER(B396)),CHOOSE(MONTH(B396),"GENNAIO","FEBBRAIO","MARZO","APRILE","MAGGIO","GIUGNO","LUGLIO","AGOSTO","SETTEMBRE","OTTOBRE","NOVEMBRE","DICEMBRE")&amp;" "&amp;YEAR(B396),"")</f>
        <v/>
      </c>
      <c r="B395" s="11"/>
      <c r="C395" s="12"/>
      <c r="D395" s="12" t="str">
        <f>IF(C395="","",C395-IF(C394&lt;&gt;"",C394,IF(C393&lt;&gt;"",C393,IF(C392&lt;&gt;"",C392,0))))</f>
        <v/>
      </c>
      <c r="E395" s="12"/>
      <c r="F395" s="12"/>
      <c r="G395" s="9" t="str">
        <f>IF(AND(E395="",F395=""),"",IF(OR(E395&gt;1,F395&gt;1),(F395-E395)/100,F395-E395))</f>
        <v/>
      </c>
      <c r="H395" s="12" t="str">
        <f>IF(G395="","",64*G395)</f>
        <v/>
      </c>
      <c r="I395" s="13"/>
      <c r="J395" s="13" t="str">
        <f>IFERROR(IF(OR(D395="",D395=0),"",I395/D395*100),"")</f>
        <v/>
      </c>
      <c r="K395" s="14"/>
      <c r="L395" s="13" t="str">
        <f>IF(I395="","",I395*K395)</f>
        <v/>
      </c>
      <c r="M395" s="13" t="str">
        <f>IF(B395="","",IFERROR(SUMPRODUCT(ISNUMBER(B$3:B395)*(MONTH(IF(ISNUMBER(B$3:B395),B$3:B395,1))=MONTH(B395))*(YEAR(IF(ISNUMBER(B$3:B395),B$3:B395,1))=YEAR(B395))*IF(ISNUMBER(L$3:L395),L$3:L395,0)),""))</f>
        <v/>
      </c>
      <c r="N395" s="6"/>
      <c r="O395" s="7" t="str">
        <f>IF(AND(B395="",ISNUMBER(B396)),CHOOSE(MONTH(B396),"GENNAIO","FEBBRAIO","MARZO","APRILE","MAGGIO","GIUGNO","LUGLIO","AGOSTO","SETTEMBRE","OTTOBRE","NOVEMBRE","DICEMBRE")&amp;" "&amp;YEAR(B396),"")</f>
        <v/>
      </c>
      <c r="P395" s="12" t="str">
        <f>IF(K395=0.2,"CASA","")</f>
        <v/>
      </c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" customHeight="1" x14ac:dyDescent="0.2">
      <c r="A396" s="5" t="str">
        <f>IF(AND(B396="",ISNUMBER(B397)),CHOOSE(MONTH(B397),"GENNAIO","FEBBRAIO","MARZO","APRILE","MAGGIO","GIUGNO","LUGLIO","AGOSTO","SETTEMBRE","OTTOBRE","NOVEMBRE","DICEMBRE")&amp;" "&amp;YEAR(B397),"")</f>
        <v/>
      </c>
      <c r="B396" s="11"/>
      <c r="C396" s="12"/>
      <c r="D396" s="12" t="str">
        <f>IF(C396="","",C396-IF(C395&lt;&gt;"",C395,IF(C394&lt;&gt;"",C394,IF(C393&lt;&gt;"",C393,0))))</f>
        <v/>
      </c>
      <c r="E396" s="12"/>
      <c r="F396" s="12"/>
      <c r="G396" s="9" t="str">
        <f>IF(AND(E396="",F396=""),"",IF(OR(E396&gt;1,F396&gt;1),(F396-E396)/100,F396-E396))</f>
        <v/>
      </c>
      <c r="H396" s="12" t="str">
        <f>IF(G396="","",64*G396)</f>
        <v/>
      </c>
      <c r="I396" s="13"/>
      <c r="J396" s="13" t="str">
        <f>IFERROR(IF(OR(D396="",D396=0),"",I396/D396*100),"")</f>
        <v/>
      </c>
      <c r="K396" s="14"/>
      <c r="L396" s="13" t="str">
        <f>IF(I396="","",I396*K396)</f>
        <v/>
      </c>
      <c r="M396" s="13" t="str">
        <f>IF(B396="","",IFERROR(SUMPRODUCT(ISNUMBER(B$3:B396)*(MONTH(IF(ISNUMBER(B$3:B396),B$3:B396,1))=MONTH(B396))*(YEAR(IF(ISNUMBER(B$3:B396),B$3:B396,1))=YEAR(B396))*IF(ISNUMBER(L$3:L396),L$3:L396,0)),""))</f>
        <v/>
      </c>
      <c r="N396" s="6"/>
      <c r="O396" s="7" t="str">
        <f>IF(AND(B396="",ISNUMBER(B397)),CHOOSE(MONTH(B397),"GENNAIO","FEBBRAIO","MARZO","APRILE","MAGGIO","GIUGNO","LUGLIO","AGOSTO","SETTEMBRE","OTTOBRE","NOVEMBRE","DICEMBRE")&amp;" "&amp;YEAR(B397),"")</f>
        <v/>
      </c>
      <c r="P396" s="12" t="str">
        <f>IF(K396=0.2,"CASA","")</f>
        <v/>
      </c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" customHeight="1" x14ac:dyDescent="0.2">
      <c r="A397" s="5" t="str">
        <f>IF(AND(B397="",ISNUMBER(B398)),CHOOSE(MONTH(B398),"GENNAIO","FEBBRAIO","MARZO","APRILE","MAGGIO","GIUGNO","LUGLIO","AGOSTO","SETTEMBRE","OTTOBRE","NOVEMBRE","DICEMBRE")&amp;" "&amp;YEAR(B398),"")</f>
        <v/>
      </c>
      <c r="B397" s="11"/>
      <c r="C397" s="12"/>
      <c r="D397" s="12" t="str">
        <f>IF(C397="","",C397-IF(C396&lt;&gt;"",C396,IF(C395&lt;&gt;"",C395,IF(C394&lt;&gt;"",C394,0))))</f>
        <v/>
      </c>
      <c r="E397" s="12"/>
      <c r="F397" s="12"/>
      <c r="G397" s="9" t="str">
        <f>IF(AND(E397="",F397=""),"",IF(OR(E397&gt;1,F397&gt;1),(F397-E397)/100,F397-E397))</f>
        <v/>
      </c>
      <c r="H397" s="12" t="str">
        <f>IF(G397="","",64*G397)</f>
        <v/>
      </c>
      <c r="I397" s="13"/>
      <c r="J397" s="13" t="str">
        <f>IFERROR(IF(OR(D397="",D397=0),"",I397/D397*100),"")</f>
        <v/>
      </c>
      <c r="K397" s="14"/>
      <c r="L397" s="13" t="str">
        <f>IF(I397="","",I397*K397)</f>
        <v/>
      </c>
      <c r="M397" s="13" t="str">
        <f>IF(B397="","",IFERROR(SUMPRODUCT(ISNUMBER(B$3:B397)*(MONTH(IF(ISNUMBER(B$3:B397),B$3:B397,1))=MONTH(B397))*(YEAR(IF(ISNUMBER(B$3:B397),B$3:B397,1))=YEAR(B397))*IF(ISNUMBER(L$3:L397),L$3:L397,0)),""))</f>
        <v/>
      </c>
      <c r="N397" s="6"/>
      <c r="O397" s="7" t="str">
        <f>IF(AND(B397="",ISNUMBER(B398)),CHOOSE(MONTH(B398),"GENNAIO","FEBBRAIO","MARZO","APRILE","MAGGIO","GIUGNO","LUGLIO","AGOSTO","SETTEMBRE","OTTOBRE","NOVEMBRE","DICEMBRE")&amp;" "&amp;YEAR(B398),"")</f>
        <v/>
      </c>
      <c r="P397" s="12" t="str">
        <f>IF(K397=0.2,"CASA","")</f>
        <v/>
      </c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" customHeight="1" x14ac:dyDescent="0.2">
      <c r="A398" s="5" t="str">
        <f>IF(AND(B398="",ISNUMBER(B399)),CHOOSE(MONTH(B399),"GENNAIO","FEBBRAIO","MARZO","APRILE","MAGGIO","GIUGNO","LUGLIO","AGOSTO","SETTEMBRE","OTTOBRE","NOVEMBRE","DICEMBRE")&amp;" "&amp;YEAR(B399),"")</f>
        <v/>
      </c>
      <c r="B398" s="11"/>
      <c r="C398" s="12"/>
      <c r="D398" s="12" t="str">
        <f>IF(C398="","",C398-IF(C397&lt;&gt;"",C397,IF(C396&lt;&gt;"",C396,IF(C395&lt;&gt;"",C395,0))))</f>
        <v/>
      </c>
      <c r="E398" s="12"/>
      <c r="F398" s="12"/>
      <c r="G398" s="9" t="str">
        <f>IF(AND(E398="",F398=""),"",IF(OR(E398&gt;1,F398&gt;1),(F398-E398)/100,F398-E398))</f>
        <v/>
      </c>
      <c r="H398" s="12" t="str">
        <f>IF(G398="","",64*G398)</f>
        <v/>
      </c>
      <c r="I398" s="13"/>
      <c r="J398" s="13" t="str">
        <f>IFERROR(IF(OR(D398="",D398=0),"",I398/D398*100),"")</f>
        <v/>
      </c>
      <c r="K398" s="14"/>
      <c r="L398" s="13" t="str">
        <f>IF(I398="","",I398*K398)</f>
        <v/>
      </c>
      <c r="M398" s="13" t="str">
        <f>IF(B398="","",IFERROR(SUMPRODUCT(ISNUMBER(B$3:B398)*(MONTH(IF(ISNUMBER(B$3:B398),B$3:B398,1))=MONTH(B398))*(YEAR(IF(ISNUMBER(B$3:B398),B$3:B398,1))=YEAR(B398))*IF(ISNUMBER(L$3:L398),L$3:L398,0)),""))</f>
        <v/>
      </c>
      <c r="N398" s="6"/>
      <c r="O398" s="7" t="str">
        <f>IF(AND(B398="",ISNUMBER(B399)),CHOOSE(MONTH(B399),"GENNAIO","FEBBRAIO","MARZO","APRILE","MAGGIO","GIUGNO","LUGLIO","AGOSTO","SETTEMBRE","OTTOBRE","NOVEMBRE","DICEMBRE")&amp;" "&amp;YEAR(B399),"")</f>
        <v/>
      </c>
      <c r="P398" s="12" t="str">
        <f>IF(K398=0.2,"CASA","")</f>
        <v/>
      </c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" customHeight="1" x14ac:dyDescent="0.2">
      <c r="A399" s="5" t="str">
        <f>IF(AND(B399="",ISNUMBER(B400)),CHOOSE(MONTH(B400),"GENNAIO","FEBBRAIO","MARZO","APRILE","MAGGIO","GIUGNO","LUGLIO","AGOSTO","SETTEMBRE","OTTOBRE","NOVEMBRE","DICEMBRE")&amp;" "&amp;YEAR(B400),"")</f>
        <v/>
      </c>
      <c r="B399" s="11"/>
      <c r="C399" s="12"/>
      <c r="D399" s="12" t="str">
        <f>IF(C399="","",C399-IF(C398&lt;&gt;"",C398,IF(C397&lt;&gt;"",C397,IF(C396&lt;&gt;"",C396,0))))</f>
        <v/>
      </c>
      <c r="E399" s="12"/>
      <c r="F399" s="12"/>
      <c r="G399" s="9" t="str">
        <f>IF(AND(E399="",F399=""),"",IF(OR(E399&gt;1,F399&gt;1),(F399-E399)/100,F399-E399))</f>
        <v/>
      </c>
      <c r="H399" s="12" t="str">
        <f>IF(G399="","",64*G399)</f>
        <v/>
      </c>
      <c r="I399" s="13"/>
      <c r="J399" s="13" t="str">
        <f>IFERROR(IF(OR(D399="",D399=0),"",I399/D399*100),"")</f>
        <v/>
      </c>
      <c r="K399" s="14"/>
      <c r="L399" s="13" t="str">
        <f>IF(I399="","",I399*K399)</f>
        <v/>
      </c>
      <c r="M399" s="13" t="str">
        <f>IF(B399="","",IFERROR(SUMPRODUCT(ISNUMBER(B$3:B399)*(MONTH(IF(ISNUMBER(B$3:B399),B$3:B399,1))=MONTH(B399))*(YEAR(IF(ISNUMBER(B$3:B399),B$3:B399,1))=YEAR(B399))*IF(ISNUMBER(L$3:L399),L$3:L399,0)),""))</f>
        <v/>
      </c>
      <c r="N399" s="6"/>
      <c r="O399" s="7" t="str">
        <f>IF(AND(B399="",ISNUMBER(B400)),CHOOSE(MONTH(B400),"GENNAIO","FEBBRAIO","MARZO","APRILE","MAGGIO","GIUGNO","LUGLIO","AGOSTO","SETTEMBRE","OTTOBRE","NOVEMBRE","DICEMBRE")&amp;" "&amp;YEAR(B400),"")</f>
        <v/>
      </c>
      <c r="P399" s="12" t="str">
        <f>IF(K399=0.2,"CASA","")</f>
        <v/>
      </c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" customHeight="1" x14ac:dyDescent="0.2">
      <c r="A400" s="5" t="str">
        <f>IF(AND(B400="",ISNUMBER(B401)),CHOOSE(MONTH(B401),"GENNAIO","FEBBRAIO","MARZO","APRILE","MAGGIO","GIUGNO","LUGLIO","AGOSTO","SETTEMBRE","OTTOBRE","NOVEMBRE","DICEMBRE")&amp;" "&amp;YEAR(B401),"")</f>
        <v/>
      </c>
      <c r="B400" s="11"/>
      <c r="C400" s="12"/>
      <c r="D400" s="12" t="str">
        <f>IF(C400="","",C400-IF(C399&lt;&gt;"",C399,IF(C398&lt;&gt;"",C398,IF(C397&lt;&gt;"",C397,0))))</f>
        <v/>
      </c>
      <c r="E400" s="12"/>
      <c r="F400" s="12"/>
      <c r="G400" s="9" t="str">
        <f>IF(AND(E400="",F400=""),"",IF(OR(E400&gt;1,F400&gt;1),(F400-E400)/100,F400-E400))</f>
        <v/>
      </c>
      <c r="H400" s="12" t="str">
        <f>IF(G400="","",64*G400)</f>
        <v/>
      </c>
      <c r="I400" s="13"/>
      <c r="J400" s="13" t="str">
        <f>IFERROR(IF(OR(D400="",D400=0),"",I400/D400*100),"")</f>
        <v/>
      </c>
      <c r="K400" s="14"/>
      <c r="L400" s="13" t="str">
        <f>IF(I400="","",I400*K400)</f>
        <v/>
      </c>
      <c r="M400" s="13" t="str">
        <f>IF(B400="","",IFERROR(SUMPRODUCT(ISNUMBER(B$3:B400)*(MONTH(IF(ISNUMBER(B$3:B400),B$3:B400,1))=MONTH(B400))*(YEAR(IF(ISNUMBER(B$3:B400),B$3:B400,1))=YEAR(B400))*IF(ISNUMBER(L$3:L400),L$3:L400,0)),""))</f>
        <v/>
      </c>
      <c r="N400" s="6"/>
      <c r="O400" s="7" t="str">
        <f>IF(AND(B400="",ISNUMBER(B401)),CHOOSE(MONTH(B401),"GENNAIO","FEBBRAIO","MARZO","APRILE","MAGGIO","GIUGNO","LUGLIO","AGOSTO","SETTEMBRE","OTTOBRE","NOVEMBRE","DICEMBRE")&amp;" "&amp;YEAR(B401),"")</f>
        <v/>
      </c>
      <c r="P400" s="12" t="str">
        <f>IF(K400=0.2,"CASA","")</f>
        <v/>
      </c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" customHeight="1" x14ac:dyDescent="0.2">
      <c r="A401" s="5" t="str">
        <f>IF(AND(B401="",ISNUMBER(B402)),CHOOSE(MONTH(B402),"GENNAIO","FEBBRAIO","MARZO","APRILE","MAGGIO","GIUGNO","LUGLIO","AGOSTO","SETTEMBRE","OTTOBRE","NOVEMBRE","DICEMBRE")&amp;" "&amp;YEAR(B402),"")</f>
        <v/>
      </c>
      <c r="B401" s="11"/>
      <c r="C401" s="12"/>
      <c r="D401" s="12" t="str">
        <f>IF(C401="","",C401-IF(C400&lt;&gt;"",C400,IF(C399&lt;&gt;"",C399,IF(C398&lt;&gt;"",C398,0))))</f>
        <v/>
      </c>
      <c r="E401" s="12"/>
      <c r="F401" s="12"/>
      <c r="G401" s="9" t="str">
        <f>IF(AND(E401="",F401=""),"",IF(OR(E401&gt;1,F401&gt;1),(F401-E401)/100,F401-E401))</f>
        <v/>
      </c>
      <c r="H401" s="12" t="str">
        <f>IF(G401="","",64*G401)</f>
        <v/>
      </c>
      <c r="I401" s="13"/>
      <c r="J401" s="13" t="str">
        <f>IFERROR(IF(OR(D401="",D401=0),"",I401/D401*100),"")</f>
        <v/>
      </c>
      <c r="K401" s="14"/>
      <c r="L401" s="13" t="str">
        <f>IF(I401="","",I401*K401)</f>
        <v/>
      </c>
      <c r="M401" s="13" t="str">
        <f>IF(B401="","",IFERROR(SUMPRODUCT(ISNUMBER(B$3:B401)*(MONTH(IF(ISNUMBER(B$3:B401),B$3:B401,1))=MONTH(B401))*(YEAR(IF(ISNUMBER(B$3:B401),B$3:B401,1))=YEAR(B401))*IF(ISNUMBER(L$3:L401),L$3:L401,0)),""))</f>
        <v/>
      </c>
      <c r="N401" s="6"/>
      <c r="O401" s="7" t="str">
        <f>IF(AND(B401="",ISNUMBER(B402)),CHOOSE(MONTH(B402),"GENNAIO","FEBBRAIO","MARZO","APRILE","MAGGIO","GIUGNO","LUGLIO","AGOSTO","SETTEMBRE","OTTOBRE","NOVEMBRE","DICEMBRE")&amp;" "&amp;YEAR(B402),"")</f>
        <v/>
      </c>
      <c r="P401" s="12" t="str">
        <f>IF(K401=0.2,"CASA","")</f>
        <v/>
      </c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" customHeight="1" x14ac:dyDescent="0.2">
      <c r="A402" s="5" t="str">
        <f>IF(AND(B402="",ISNUMBER(B403)),CHOOSE(MONTH(B403),"GENNAIO","FEBBRAIO","MARZO","APRILE","MAGGIO","GIUGNO","LUGLIO","AGOSTO","SETTEMBRE","OTTOBRE","NOVEMBRE","DICEMBRE")&amp;" "&amp;YEAR(B403),"")</f>
        <v/>
      </c>
      <c r="B402" s="11"/>
      <c r="C402" s="12"/>
      <c r="D402" s="12" t="str">
        <f>IF(C402="","",C402-IF(C401&lt;&gt;"",C401,IF(C400&lt;&gt;"",C400,IF(C399&lt;&gt;"",C399,0))))</f>
        <v/>
      </c>
      <c r="E402" s="12"/>
      <c r="F402" s="12"/>
      <c r="G402" s="9" t="str">
        <f>IF(AND(E402="",F402=""),"",IF(OR(E402&gt;1,F402&gt;1),(F402-E402)/100,F402-E402))</f>
        <v/>
      </c>
      <c r="H402" s="12" t="str">
        <f>IF(G402="","",64*G402)</f>
        <v/>
      </c>
      <c r="I402" s="13"/>
      <c r="J402" s="13" t="str">
        <f>IFERROR(IF(OR(D402="",D402=0),"",I402/D402*100),"")</f>
        <v/>
      </c>
      <c r="K402" s="14"/>
      <c r="L402" s="13" t="str">
        <f>IF(I402="","",I402*K402)</f>
        <v/>
      </c>
      <c r="M402" s="13" t="str">
        <f>IF(B402="","",IFERROR(SUMPRODUCT(ISNUMBER(B$3:B402)*(MONTH(IF(ISNUMBER(B$3:B402),B$3:B402,1))=MONTH(B402))*(YEAR(IF(ISNUMBER(B$3:B402),B$3:B402,1))=YEAR(B402))*IF(ISNUMBER(L$3:L402),L$3:L402,0)),""))</f>
        <v/>
      </c>
      <c r="N402" s="6"/>
      <c r="O402" s="7" t="str">
        <f>IF(AND(B402="",ISNUMBER(B403)),CHOOSE(MONTH(B403),"GENNAIO","FEBBRAIO","MARZO","APRILE","MAGGIO","GIUGNO","LUGLIO","AGOSTO","SETTEMBRE","OTTOBRE","NOVEMBRE","DICEMBRE")&amp;" "&amp;YEAR(B403),"")</f>
        <v/>
      </c>
      <c r="P402" s="12" t="str">
        <f>IF(K402=0.2,"CASA","")</f>
        <v/>
      </c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" customHeight="1" x14ac:dyDescent="0.2">
      <c r="A403" s="5" t="str">
        <f>IF(AND(B403="",ISNUMBER(B404)),CHOOSE(MONTH(B404),"GENNAIO","FEBBRAIO","MARZO","APRILE","MAGGIO","GIUGNO","LUGLIO","AGOSTO","SETTEMBRE","OTTOBRE","NOVEMBRE","DICEMBRE")&amp;" "&amp;YEAR(B404),"")</f>
        <v/>
      </c>
      <c r="B403" s="11"/>
      <c r="C403" s="12"/>
      <c r="D403" s="12" t="str">
        <f>IF(C403="","",C403-IF(C402&lt;&gt;"",C402,IF(C401&lt;&gt;"",C401,IF(C400&lt;&gt;"",C400,0))))</f>
        <v/>
      </c>
      <c r="E403" s="12"/>
      <c r="F403" s="12"/>
      <c r="G403" s="9" t="str">
        <f>IF(AND(E403="",F403=""),"",IF(OR(E403&gt;1,F403&gt;1),(F403-E403)/100,F403-E403))</f>
        <v/>
      </c>
      <c r="H403" s="12" t="str">
        <f>IF(G403="","",64*G403)</f>
        <v/>
      </c>
      <c r="I403" s="13"/>
      <c r="J403" s="13" t="str">
        <f>IFERROR(IF(OR(D403="",D403=0),"",I403/D403*100),"")</f>
        <v/>
      </c>
      <c r="K403" s="14"/>
      <c r="L403" s="13" t="str">
        <f>IF(I403="","",I403*K403)</f>
        <v/>
      </c>
      <c r="M403" s="13" t="str">
        <f>IF(B403="","",IFERROR(SUMPRODUCT(ISNUMBER(B$3:B403)*(MONTH(IF(ISNUMBER(B$3:B403),B$3:B403,1))=MONTH(B403))*(YEAR(IF(ISNUMBER(B$3:B403),B$3:B403,1))=YEAR(B403))*IF(ISNUMBER(L$3:L403),L$3:L403,0)),""))</f>
        <v/>
      </c>
      <c r="N403" s="6"/>
      <c r="O403" s="7" t="str">
        <f>IF(AND(B403="",ISNUMBER(B404)),CHOOSE(MONTH(B404),"GENNAIO","FEBBRAIO","MARZO","APRILE","MAGGIO","GIUGNO","LUGLIO","AGOSTO","SETTEMBRE","OTTOBRE","NOVEMBRE","DICEMBRE")&amp;" "&amp;YEAR(B404),"")</f>
        <v/>
      </c>
      <c r="P403" s="12" t="str">
        <f>IF(K403=0.2,"CASA","")</f>
        <v/>
      </c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" customHeight="1" x14ac:dyDescent="0.2">
      <c r="A404" s="5" t="str">
        <f>IF(AND(B404="",ISNUMBER(B405)),CHOOSE(MONTH(B405),"GENNAIO","FEBBRAIO","MARZO","APRILE","MAGGIO","GIUGNO","LUGLIO","AGOSTO","SETTEMBRE","OTTOBRE","NOVEMBRE","DICEMBRE")&amp;" "&amp;YEAR(B405),"")</f>
        <v/>
      </c>
      <c r="B404" s="11"/>
      <c r="C404" s="12"/>
      <c r="D404" s="12" t="str">
        <f>IF(C404="","",C404-IF(C403&lt;&gt;"",C403,IF(C402&lt;&gt;"",C402,IF(C401&lt;&gt;"",C401,0))))</f>
        <v/>
      </c>
      <c r="E404" s="12"/>
      <c r="F404" s="12"/>
      <c r="G404" s="9" t="str">
        <f>IF(AND(E404="",F404=""),"",IF(OR(E404&gt;1,F404&gt;1),(F404-E404)/100,F404-E404))</f>
        <v/>
      </c>
      <c r="H404" s="12" t="str">
        <f>IF(G404="","",64*G404)</f>
        <v/>
      </c>
      <c r="I404" s="13"/>
      <c r="J404" s="13" t="str">
        <f>IFERROR(IF(OR(D404="",D404=0),"",I404/D404*100),"")</f>
        <v/>
      </c>
      <c r="K404" s="14"/>
      <c r="L404" s="13" t="str">
        <f>IF(I404="","",I404*K404)</f>
        <v/>
      </c>
      <c r="M404" s="13" t="str">
        <f>IF(B404="","",IFERROR(SUMPRODUCT(ISNUMBER(B$3:B404)*(MONTH(IF(ISNUMBER(B$3:B404),B$3:B404,1))=MONTH(B404))*(YEAR(IF(ISNUMBER(B$3:B404),B$3:B404,1))=YEAR(B404))*IF(ISNUMBER(L$3:L404),L$3:L404,0)),""))</f>
        <v/>
      </c>
      <c r="N404" s="6"/>
      <c r="O404" s="7" t="str">
        <f>IF(AND(B404="",ISNUMBER(B405)),CHOOSE(MONTH(B405),"GENNAIO","FEBBRAIO","MARZO","APRILE","MAGGIO","GIUGNO","LUGLIO","AGOSTO","SETTEMBRE","OTTOBRE","NOVEMBRE","DICEMBRE")&amp;" "&amp;YEAR(B405),"")</f>
        <v/>
      </c>
      <c r="P404" s="12" t="str">
        <f>IF(K404=0.2,"CASA","")</f>
        <v/>
      </c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" customHeight="1" x14ac:dyDescent="0.2">
      <c r="A405" s="5" t="str">
        <f>IF(AND(B405="",ISNUMBER(B406)),CHOOSE(MONTH(B406),"GENNAIO","FEBBRAIO","MARZO","APRILE","MAGGIO","GIUGNO","LUGLIO","AGOSTO","SETTEMBRE","OTTOBRE","NOVEMBRE","DICEMBRE")&amp;" "&amp;YEAR(B406),"")</f>
        <v/>
      </c>
      <c r="B405" s="11"/>
      <c r="C405" s="12"/>
      <c r="D405" s="12" t="str">
        <f>IF(C405="","",C405-IF(C404&lt;&gt;"",C404,IF(C403&lt;&gt;"",C403,IF(C402&lt;&gt;"",C402,0))))</f>
        <v/>
      </c>
      <c r="E405" s="12"/>
      <c r="F405" s="12"/>
      <c r="G405" s="9" t="str">
        <f>IF(AND(E405="",F405=""),"",IF(OR(E405&gt;1,F405&gt;1),(F405-E405)/100,F405-E405))</f>
        <v/>
      </c>
      <c r="H405" s="12" t="str">
        <f>IF(G405="","",64*G405)</f>
        <v/>
      </c>
      <c r="I405" s="13"/>
      <c r="J405" s="13" t="str">
        <f>IFERROR(IF(OR(D405="",D405=0),"",I405/D405*100),"")</f>
        <v/>
      </c>
      <c r="K405" s="14"/>
      <c r="L405" s="13" t="str">
        <f>IF(I405="","",I405*K405)</f>
        <v/>
      </c>
      <c r="M405" s="13" t="str">
        <f>IF(B405="","",IFERROR(SUMPRODUCT(ISNUMBER(B$3:B405)*(MONTH(IF(ISNUMBER(B$3:B405),B$3:B405,1))=MONTH(B405))*(YEAR(IF(ISNUMBER(B$3:B405),B$3:B405,1))=YEAR(B405))*IF(ISNUMBER(L$3:L405),L$3:L405,0)),""))</f>
        <v/>
      </c>
      <c r="N405" s="6"/>
      <c r="O405" s="7" t="str">
        <f>IF(AND(B405="",ISNUMBER(B406)),CHOOSE(MONTH(B406),"GENNAIO","FEBBRAIO","MARZO","APRILE","MAGGIO","GIUGNO","LUGLIO","AGOSTO","SETTEMBRE","OTTOBRE","NOVEMBRE","DICEMBRE")&amp;" "&amp;YEAR(B406),"")</f>
        <v/>
      </c>
      <c r="P405" s="12" t="str">
        <f>IF(K405=0.2,"CASA","")</f>
        <v/>
      </c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" customHeight="1" x14ac:dyDescent="0.2">
      <c r="A406" s="5" t="str">
        <f>IF(AND(B406="",ISNUMBER(B407)),CHOOSE(MONTH(B407),"GENNAIO","FEBBRAIO","MARZO","APRILE","MAGGIO","GIUGNO","LUGLIO","AGOSTO","SETTEMBRE","OTTOBRE","NOVEMBRE","DICEMBRE")&amp;" "&amp;YEAR(B407),"")</f>
        <v/>
      </c>
      <c r="B406" s="11"/>
      <c r="C406" s="12"/>
      <c r="D406" s="12" t="str">
        <f>IF(C406="","",C406-IF(C405&lt;&gt;"",C405,IF(C404&lt;&gt;"",C404,IF(C403&lt;&gt;"",C403,0))))</f>
        <v/>
      </c>
      <c r="E406" s="12"/>
      <c r="F406" s="12"/>
      <c r="G406" s="9" t="str">
        <f>IF(AND(E406="",F406=""),"",IF(OR(E406&gt;1,F406&gt;1),(F406-E406)/100,F406-E406))</f>
        <v/>
      </c>
      <c r="H406" s="12" t="str">
        <f>IF(G406="","",64*G406)</f>
        <v/>
      </c>
      <c r="I406" s="13"/>
      <c r="J406" s="13" t="str">
        <f>IFERROR(IF(OR(D406="",D406=0),"",I406/D406*100),"")</f>
        <v/>
      </c>
      <c r="K406" s="14"/>
      <c r="L406" s="13" t="str">
        <f>IF(I406="","",I406*K406)</f>
        <v/>
      </c>
      <c r="M406" s="13" t="str">
        <f>IF(B406="","",IFERROR(SUMPRODUCT(ISNUMBER(B$3:B406)*(MONTH(IF(ISNUMBER(B$3:B406),B$3:B406,1))=MONTH(B406))*(YEAR(IF(ISNUMBER(B$3:B406),B$3:B406,1))=YEAR(B406))*IF(ISNUMBER(L$3:L406),L$3:L406,0)),""))</f>
        <v/>
      </c>
      <c r="N406" s="6"/>
      <c r="O406" s="7" t="str">
        <f>IF(AND(B406="",ISNUMBER(B407)),CHOOSE(MONTH(B407),"GENNAIO","FEBBRAIO","MARZO","APRILE","MAGGIO","GIUGNO","LUGLIO","AGOSTO","SETTEMBRE","OTTOBRE","NOVEMBRE","DICEMBRE")&amp;" "&amp;YEAR(B407),"")</f>
        <v/>
      </c>
      <c r="P406" s="12" t="str">
        <f>IF(K406=0.2,"CASA","")</f>
        <v/>
      </c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" customHeight="1" x14ac:dyDescent="0.2">
      <c r="A407" s="5" t="str">
        <f>IF(AND(B407="",ISNUMBER(B408)),CHOOSE(MONTH(B408),"GENNAIO","FEBBRAIO","MARZO","APRILE","MAGGIO","GIUGNO","LUGLIO","AGOSTO","SETTEMBRE","OTTOBRE","NOVEMBRE","DICEMBRE")&amp;" "&amp;YEAR(B408),"")</f>
        <v/>
      </c>
      <c r="B407" s="11"/>
      <c r="C407" s="12"/>
      <c r="D407" s="12" t="str">
        <f>IF(C407="","",C407-IF(C406&lt;&gt;"",C406,IF(C405&lt;&gt;"",C405,IF(C404&lt;&gt;"",C404,0))))</f>
        <v/>
      </c>
      <c r="E407" s="12"/>
      <c r="F407" s="12"/>
      <c r="G407" s="9" t="str">
        <f>IF(AND(E407="",F407=""),"",IF(OR(E407&gt;1,F407&gt;1),(F407-E407)/100,F407-E407))</f>
        <v/>
      </c>
      <c r="H407" s="12" t="str">
        <f>IF(G407="","",64*G407)</f>
        <v/>
      </c>
      <c r="I407" s="13"/>
      <c r="J407" s="13" t="str">
        <f>IFERROR(IF(OR(D407="",D407=0),"",I407/D407*100),"")</f>
        <v/>
      </c>
      <c r="K407" s="14"/>
      <c r="L407" s="13" t="str">
        <f>IF(I407="","",I407*K407)</f>
        <v/>
      </c>
      <c r="M407" s="13" t="str">
        <f>IF(B407="","",IFERROR(SUMPRODUCT(ISNUMBER(B$3:B407)*(MONTH(IF(ISNUMBER(B$3:B407),B$3:B407,1))=MONTH(B407))*(YEAR(IF(ISNUMBER(B$3:B407),B$3:B407,1))=YEAR(B407))*IF(ISNUMBER(L$3:L407),L$3:L407,0)),""))</f>
        <v/>
      </c>
      <c r="N407" s="6"/>
      <c r="O407" s="7" t="str">
        <f>IF(AND(B407="",ISNUMBER(B408)),CHOOSE(MONTH(B408),"GENNAIO","FEBBRAIO","MARZO","APRILE","MAGGIO","GIUGNO","LUGLIO","AGOSTO","SETTEMBRE","OTTOBRE","NOVEMBRE","DICEMBRE")&amp;" "&amp;YEAR(B408),"")</f>
        <v/>
      </c>
      <c r="P407" s="12" t="str">
        <f>IF(K407=0.2,"CASA","")</f>
        <v/>
      </c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" customHeight="1" x14ac:dyDescent="0.2">
      <c r="A408" s="5" t="str">
        <f>IF(AND(B408="",ISNUMBER(B409)),CHOOSE(MONTH(B409),"GENNAIO","FEBBRAIO","MARZO","APRILE","MAGGIO","GIUGNO","LUGLIO","AGOSTO","SETTEMBRE","OTTOBRE","NOVEMBRE","DICEMBRE")&amp;" "&amp;YEAR(B409),"")</f>
        <v/>
      </c>
      <c r="B408" s="11"/>
      <c r="C408" s="12"/>
      <c r="D408" s="12" t="str">
        <f>IF(C408="","",C408-IF(C407&lt;&gt;"",C407,IF(C406&lt;&gt;"",C406,IF(C405&lt;&gt;"",C405,0))))</f>
        <v/>
      </c>
      <c r="E408" s="12"/>
      <c r="F408" s="12"/>
      <c r="G408" s="9" t="str">
        <f>IF(AND(E408="",F408=""),"",IF(OR(E408&gt;1,F408&gt;1),(F408-E408)/100,F408-E408))</f>
        <v/>
      </c>
      <c r="H408" s="12" t="str">
        <f>IF(G408="","",64*G408)</f>
        <v/>
      </c>
      <c r="I408" s="13"/>
      <c r="J408" s="13" t="str">
        <f>IFERROR(IF(OR(D408="",D408=0),"",I408/D408*100),"")</f>
        <v/>
      </c>
      <c r="K408" s="14"/>
      <c r="L408" s="13" t="str">
        <f>IF(I408="","",I408*K408)</f>
        <v/>
      </c>
      <c r="M408" s="13" t="str">
        <f>IF(B408="","",IFERROR(SUMPRODUCT(ISNUMBER(B$3:B408)*(MONTH(IF(ISNUMBER(B$3:B408),B$3:B408,1))=MONTH(B408))*(YEAR(IF(ISNUMBER(B$3:B408),B$3:B408,1))=YEAR(B408))*IF(ISNUMBER(L$3:L408),L$3:L408,0)),""))</f>
        <v/>
      </c>
      <c r="N408" s="6"/>
      <c r="O408" s="7" t="str">
        <f>IF(AND(B408="",ISNUMBER(B409)),CHOOSE(MONTH(B409),"GENNAIO","FEBBRAIO","MARZO","APRILE","MAGGIO","GIUGNO","LUGLIO","AGOSTO","SETTEMBRE","OTTOBRE","NOVEMBRE","DICEMBRE")&amp;" "&amp;YEAR(B409),"")</f>
        <v/>
      </c>
      <c r="P408" s="12" t="str">
        <f>IF(K408=0.2,"CASA","")</f>
        <v/>
      </c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" customHeight="1" x14ac:dyDescent="0.2">
      <c r="A409" s="5" t="str">
        <f>IF(AND(B409="",ISNUMBER(B410)),CHOOSE(MONTH(B410),"GENNAIO","FEBBRAIO","MARZO","APRILE","MAGGIO","GIUGNO","LUGLIO","AGOSTO","SETTEMBRE","OTTOBRE","NOVEMBRE","DICEMBRE")&amp;" "&amp;YEAR(B410),"")</f>
        <v/>
      </c>
      <c r="B409" s="11"/>
      <c r="C409" s="12"/>
      <c r="D409" s="12" t="str">
        <f>IF(C409="","",C409-IF(C408&lt;&gt;"",C408,IF(C407&lt;&gt;"",C407,IF(C406&lt;&gt;"",C406,0))))</f>
        <v/>
      </c>
      <c r="E409" s="12"/>
      <c r="F409" s="12"/>
      <c r="G409" s="9" t="str">
        <f>IF(AND(E409="",F409=""),"",IF(OR(E409&gt;1,F409&gt;1),(F409-E409)/100,F409-E409))</f>
        <v/>
      </c>
      <c r="H409" s="12" t="str">
        <f>IF(G409="","",64*G409)</f>
        <v/>
      </c>
      <c r="I409" s="13"/>
      <c r="J409" s="13" t="str">
        <f>IFERROR(IF(OR(D409="",D409=0),"",I409/D409*100),"")</f>
        <v/>
      </c>
      <c r="K409" s="14"/>
      <c r="L409" s="13" t="str">
        <f>IF(I409="","",I409*K409)</f>
        <v/>
      </c>
      <c r="M409" s="13" t="str">
        <f>IF(B409="","",IFERROR(SUMPRODUCT(ISNUMBER(B$3:B409)*(MONTH(IF(ISNUMBER(B$3:B409),B$3:B409,1))=MONTH(B409))*(YEAR(IF(ISNUMBER(B$3:B409),B$3:B409,1))=YEAR(B409))*IF(ISNUMBER(L$3:L409),L$3:L409,0)),""))</f>
        <v/>
      </c>
      <c r="N409" s="6"/>
      <c r="O409" s="7" t="str">
        <f>IF(AND(B409="",ISNUMBER(B410)),CHOOSE(MONTH(B410),"GENNAIO","FEBBRAIO","MARZO","APRILE","MAGGIO","GIUGNO","LUGLIO","AGOSTO","SETTEMBRE","OTTOBRE","NOVEMBRE","DICEMBRE")&amp;" "&amp;YEAR(B410),"")</f>
        <v/>
      </c>
      <c r="P409" s="12" t="str">
        <f>IF(K409=0.2,"CASA","")</f>
        <v/>
      </c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" customHeight="1" x14ac:dyDescent="0.2">
      <c r="A410" s="5" t="str">
        <f>IF(AND(B410="",ISNUMBER(B411)),CHOOSE(MONTH(B411),"GENNAIO","FEBBRAIO","MARZO","APRILE","MAGGIO","GIUGNO","LUGLIO","AGOSTO","SETTEMBRE","OTTOBRE","NOVEMBRE","DICEMBRE")&amp;" "&amp;YEAR(B411),"")</f>
        <v/>
      </c>
      <c r="B410" s="11"/>
      <c r="C410" s="12"/>
      <c r="D410" s="12" t="str">
        <f>IF(C410="","",C410-IF(C409&lt;&gt;"",C409,IF(C408&lt;&gt;"",C408,IF(C407&lt;&gt;"",C407,0))))</f>
        <v/>
      </c>
      <c r="E410" s="12"/>
      <c r="F410" s="12"/>
      <c r="G410" s="9" t="str">
        <f>IF(AND(E410="",F410=""),"",IF(OR(E410&gt;1,F410&gt;1),(F410-E410)/100,F410-E410))</f>
        <v/>
      </c>
      <c r="H410" s="12" t="str">
        <f>IF(G410="","",64*G410)</f>
        <v/>
      </c>
      <c r="I410" s="13"/>
      <c r="J410" s="13" t="str">
        <f>IFERROR(IF(OR(D410="",D410=0),"",I410/D410*100),"")</f>
        <v/>
      </c>
      <c r="K410" s="14"/>
      <c r="L410" s="13" t="str">
        <f>IF(I410="","",I410*K410)</f>
        <v/>
      </c>
      <c r="M410" s="13" t="str">
        <f>IF(B410="","",IFERROR(SUMPRODUCT(ISNUMBER(B$3:B410)*(MONTH(IF(ISNUMBER(B$3:B410),B$3:B410,1))=MONTH(B410))*(YEAR(IF(ISNUMBER(B$3:B410),B$3:B410,1))=YEAR(B410))*IF(ISNUMBER(L$3:L410),L$3:L410,0)),""))</f>
        <v/>
      </c>
      <c r="N410" s="6"/>
      <c r="O410" s="7" t="str">
        <f>IF(AND(B410="",ISNUMBER(B411)),CHOOSE(MONTH(B411),"GENNAIO","FEBBRAIO","MARZO","APRILE","MAGGIO","GIUGNO","LUGLIO","AGOSTO","SETTEMBRE","OTTOBRE","NOVEMBRE","DICEMBRE")&amp;" "&amp;YEAR(B411),"")</f>
        <v/>
      </c>
      <c r="P410" s="12" t="str">
        <f>IF(K410=0.2,"CASA","")</f>
        <v/>
      </c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" customHeight="1" x14ac:dyDescent="0.2">
      <c r="A411" s="5" t="str">
        <f>IF(AND(B411="",ISNUMBER(B412)),CHOOSE(MONTH(B412),"GENNAIO","FEBBRAIO","MARZO","APRILE","MAGGIO","GIUGNO","LUGLIO","AGOSTO","SETTEMBRE","OTTOBRE","NOVEMBRE","DICEMBRE")&amp;" "&amp;YEAR(B412),"")</f>
        <v/>
      </c>
      <c r="B411" s="11"/>
      <c r="C411" s="12"/>
      <c r="D411" s="12" t="str">
        <f>IF(C411="","",C411-IF(C410&lt;&gt;"",C410,IF(C409&lt;&gt;"",C409,IF(C408&lt;&gt;"",C408,0))))</f>
        <v/>
      </c>
      <c r="E411" s="12"/>
      <c r="F411" s="12"/>
      <c r="G411" s="9" t="str">
        <f>IF(AND(E411="",F411=""),"",IF(OR(E411&gt;1,F411&gt;1),(F411-E411)/100,F411-E411))</f>
        <v/>
      </c>
      <c r="H411" s="12" t="str">
        <f>IF(G411="","",64*G411)</f>
        <v/>
      </c>
      <c r="I411" s="13"/>
      <c r="J411" s="13" t="str">
        <f>IFERROR(IF(OR(D411="",D411=0),"",I411/D411*100),"")</f>
        <v/>
      </c>
      <c r="K411" s="14"/>
      <c r="L411" s="13" t="str">
        <f>IF(I411="","",I411*K411)</f>
        <v/>
      </c>
      <c r="M411" s="13" t="str">
        <f>IF(B411="","",IFERROR(SUMPRODUCT(ISNUMBER(B$3:B411)*(MONTH(IF(ISNUMBER(B$3:B411),B$3:B411,1))=MONTH(B411))*(YEAR(IF(ISNUMBER(B$3:B411),B$3:B411,1))=YEAR(B411))*IF(ISNUMBER(L$3:L411),L$3:L411,0)),""))</f>
        <v/>
      </c>
      <c r="N411" s="6"/>
      <c r="O411" s="7" t="str">
        <f>IF(AND(B411="",ISNUMBER(B412)),CHOOSE(MONTH(B412),"GENNAIO","FEBBRAIO","MARZO","APRILE","MAGGIO","GIUGNO","LUGLIO","AGOSTO","SETTEMBRE","OTTOBRE","NOVEMBRE","DICEMBRE")&amp;" "&amp;YEAR(B412),"")</f>
        <v/>
      </c>
      <c r="P411" s="12" t="str">
        <f>IF(K411=0.2,"CASA","")</f>
        <v/>
      </c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" customHeight="1" x14ac:dyDescent="0.2">
      <c r="A412" s="5" t="str">
        <f>IF(AND(B412="",ISNUMBER(B413)),CHOOSE(MONTH(B413),"GENNAIO","FEBBRAIO","MARZO","APRILE","MAGGIO","GIUGNO","LUGLIO","AGOSTO","SETTEMBRE","OTTOBRE","NOVEMBRE","DICEMBRE")&amp;" "&amp;YEAR(B413),"")</f>
        <v/>
      </c>
      <c r="B412" s="11"/>
      <c r="C412" s="12"/>
      <c r="D412" s="12" t="str">
        <f>IF(C412="","",C412-IF(C411&lt;&gt;"",C411,IF(C410&lt;&gt;"",C410,IF(C409&lt;&gt;"",C409,0))))</f>
        <v/>
      </c>
      <c r="E412" s="12"/>
      <c r="F412" s="12"/>
      <c r="G412" s="9" t="str">
        <f>IF(AND(E412="",F412=""),"",IF(OR(E412&gt;1,F412&gt;1),(F412-E412)/100,F412-E412))</f>
        <v/>
      </c>
      <c r="H412" s="12" t="str">
        <f>IF(G412="","",64*G412)</f>
        <v/>
      </c>
      <c r="I412" s="13"/>
      <c r="J412" s="13" t="str">
        <f>IFERROR(IF(OR(D412="",D412=0),"",I412/D412*100),"")</f>
        <v/>
      </c>
      <c r="K412" s="14"/>
      <c r="L412" s="13" t="str">
        <f>IF(I412="","",I412*K412)</f>
        <v/>
      </c>
      <c r="M412" s="13" t="str">
        <f>IF(B412="","",IFERROR(SUMPRODUCT(ISNUMBER(B$3:B412)*(MONTH(IF(ISNUMBER(B$3:B412),B$3:B412,1))=MONTH(B412))*(YEAR(IF(ISNUMBER(B$3:B412),B$3:B412,1))=YEAR(B412))*IF(ISNUMBER(L$3:L412),L$3:L412,0)),""))</f>
        <v/>
      </c>
      <c r="N412" s="6"/>
      <c r="O412" s="7" t="str">
        <f>IF(AND(B412="",ISNUMBER(B413)),CHOOSE(MONTH(B413),"GENNAIO","FEBBRAIO","MARZO","APRILE","MAGGIO","GIUGNO","LUGLIO","AGOSTO","SETTEMBRE","OTTOBRE","NOVEMBRE","DICEMBRE")&amp;" "&amp;YEAR(B413),"")</f>
        <v/>
      </c>
      <c r="P412" s="12" t="str">
        <f>IF(K412=0.2,"CASA","")</f>
        <v/>
      </c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" customHeight="1" x14ac:dyDescent="0.2">
      <c r="A413" s="5" t="str">
        <f>IF(AND(B413="",ISNUMBER(B414)),CHOOSE(MONTH(B414),"GENNAIO","FEBBRAIO","MARZO","APRILE","MAGGIO","GIUGNO","LUGLIO","AGOSTO","SETTEMBRE","OTTOBRE","NOVEMBRE","DICEMBRE")&amp;" "&amp;YEAR(B414),"")</f>
        <v/>
      </c>
      <c r="B413" s="11"/>
      <c r="C413" s="12"/>
      <c r="D413" s="12" t="str">
        <f>IF(C413="","",C413-IF(C412&lt;&gt;"",C412,IF(C411&lt;&gt;"",C411,IF(C410&lt;&gt;"",C410,0))))</f>
        <v/>
      </c>
      <c r="E413" s="12"/>
      <c r="F413" s="12"/>
      <c r="G413" s="9" t="str">
        <f>IF(AND(E413="",F413=""),"",IF(OR(E413&gt;1,F413&gt;1),(F413-E413)/100,F413-E413))</f>
        <v/>
      </c>
      <c r="H413" s="12" t="str">
        <f>IF(G413="","",64*G413)</f>
        <v/>
      </c>
      <c r="I413" s="13"/>
      <c r="J413" s="13" t="str">
        <f>IFERROR(IF(OR(D413="",D413=0),"",I413/D413*100),"")</f>
        <v/>
      </c>
      <c r="K413" s="14"/>
      <c r="L413" s="13" t="str">
        <f>IF(I413="","",I413*K413)</f>
        <v/>
      </c>
      <c r="M413" s="13" t="str">
        <f>IF(B413="","",IFERROR(SUMPRODUCT(ISNUMBER(B$3:B413)*(MONTH(IF(ISNUMBER(B$3:B413),B$3:B413,1))=MONTH(B413))*(YEAR(IF(ISNUMBER(B$3:B413),B$3:B413,1))=YEAR(B413))*IF(ISNUMBER(L$3:L413),L$3:L413,0)),""))</f>
        <v/>
      </c>
      <c r="N413" s="6"/>
      <c r="O413" s="7" t="str">
        <f>IF(AND(B413="",ISNUMBER(B414)),CHOOSE(MONTH(B414),"GENNAIO","FEBBRAIO","MARZO","APRILE","MAGGIO","GIUGNO","LUGLIO","AGOSTO","SETTEMBRE","OTTOBRE","NOVEMBRE","DICEMBRE")&amp;" "&amp;YEAR(B414),"")</f>
        <v/>
      </c>
      <c r="P413" s="12" t="str">
        <f>IF(K413=0.2,"CASA","")</f>
        <v/>
      </c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" customHeight="1" x14ac:dyDescent="0.2">
      <c r="A414" s="5" t="str">
        <f>IF(AND(B414="",ISNUMBER(B415)),CHOOSE(MONTH(B415),"GENNAIO","FEBBRAIO","MARZO","APRILE","MAGGIO","GIUGNO","LUGLIO","AGOSTO","SETTEMBRE","OTTOBRE","NOVEMBRE","DICEMBRE")&amp;" "&amp;YEAR(B415),"")</f>
        <v/>
      </c>
      <c r="B414" s="11"/>
      <c r="C414" s="12"/>
      <c r="D414" s="12" t="str">
        <f>IF(C414="","",C414-IF(C413&lt;&gt;"",C413,IF(C412&lt;&gt;"",C412,IF(C411&lt;&gt;"",C411,0))))</f>
        <v/>
      </c>
      <c r="E414" s="12"/>
      <c r="F414" s="12"/>
      <c r="G414" s="9" t="str">
        <f>IF(AND(E414="",F414=""),"",IF(OR(E414&gt;1,F414&gt;1),(F414-E414)/100,F414-E414))</f>
        <v/>
      </c>
      <c r="H414" s="12" t="str">
        <f>IF(G414="","",64*G414)</f>
        <v/>
      </c>
      <c r="I414" s="13"/>
      <c r="J414" s="13" t="str">
        <f>IFERROR(IF(OR(D414="",D414=0),"",I414/D414*100),"")</f>
        <v/>
      </c>
      <c r="K414" s="14"/>
      <c r="L414" s="13" t="str">
        <f>IF(I414="","",I414*K414)</f>
        <v/>
      </c>
      <c r="M414" s="13" t="str">
        <f>IF(B414="","",IFERROR(SUMPRODUCT(ISNUMBER(B$3:B414)*(MONTH(IF(ISNUMBER(B$3:B414),B$3:B414,1))=MONTH(B414))*(YEAR(IF(ISNUMBER(B$3:B414),B$3:B414,1))=YEAR(B414))*IF(ISNUMBER(L$3:L414),L$3:L414,0)),""))</f>
        <v/>
      </c>
      <c r="N414" s="6"/>
      <c r="O414" s="7" t="str">
        <f>IF(AND(B414="",ISNUMBER(B415)),CHOOSE(MONTH(B415),"GENNAIO","FEBBRAIO","MARZO","APRILE","MAGGIO","GIUGNO","LUGLIO","AGOSTO","SETTEMBRE","OTTOBRE","NOVEMBRE","DICEMBRE")&amp;" "&amp;YEAR(B415),"")</f>
        <v/>
      </c>
      <c r="P414" s="12" t="str">
        <f>IF(K414=0.2,"CASA","")</f>
        <v/>
      </c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" customHeight="1" x14ac:dyDescent="0.2">
      <c r="A415" s="5" t="str">
        <f>IF(AND(B415="",ISNUMBER(B416)),CHOOSE(MONTH(B416),"GENNAIO","FEBBRAIO","MARZO","APRILE","MAGGIO","GIUGNO","LUGLIO","AGOSTO","SETTEMBRE","OTTOBRE","NOVEMBRE","DICEMBRE")&amp;" "&amp;YEAR(B416),"")</f>
        <v/>
      </c>
      <c r="B415" s="11"/>
      <c r="C415" s="12"/>
      <c r="D415" s="12" t="str">
        <f>IF(C415="","",C415-IF(C414&lt;&gt;"",C414,IF(C413&lt;&gt;"",C413,IF(C412&lt;&gt;"",C412,0))))</f>
        <v/>
      </c>
      <c r="E415" s="12"/>
      <c r="F415" s="12"/>
      <c r="G415" s="9" t="str">
        <f>IF(AND(E415="",F415=""),"",IF(OR(E415&gt;1,F415&gt;1),(F415-E415)/100,F415-E415))</f>
        <v/>
      </c>
      <c r="H415" s="12" t="str">
        <f>IF(G415="","",64*G415)</f>
        <v/>
      </c>
      <c r="I415" s="13"/>
      <c r="J415" s="13" t="str">
        <f>IFERROR(IF(OR(D415="",D415=0),"",I415/D415*100),"")</f>
        <v/>
      </c>
      <c r="K415" s="14"/>
      <c r="L415" s="13" t="str">
        <f>IF(I415="","",I415*K415)</f>
        <v/>
      </c>
      <c r="M415" s="13" t="str">
        <f>IF(B415="","",IFERROR(SUMPRODUCT(ISNUMBER(B$3:B415)*(MONTH(IF(ISNUMBER(B$3:B415),B$3:B415,1))=MONTH(B415))*(YEAR(IF(ISNUMBER(B$3:B415),B$3:B415,1))=YEAR(B415))*IF(ISNUMBER(L$3:L415),L$3:L415,0)),""))</f>
        <v/>
      </c>
      <c r="N415" s="6"/>
      <c r="O415" s="7" t="str">
        <f>IF(AND(B415="",ISNUMBER(B416)),CHOOSE(MONTH(B416),"GENNAIO","FEBBRAIO","MARZO","APRILE","MAGGIO","GIUGNO","LUGLIO","AGOSTO","SETTEMBRE","OTTOBRE","NOVEMBRE","DICEMBRE")&amp;" "&amp;YEAR(B416),"")</f>
        <v/>
      </c>
      <c r="P415" s="12" t="str">
        <f>IF(K415=0.2,"CASA","")</f>
        <v/>
      </c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" customHeight="1" x14ac:dyDescent="0.2">
      <c r="A416" s="5" t="str">
        <f>IF(AND(B416="",ISNUMBER(B417)),CHOOSE(MONTH(B417),"GENNAIO","FEBBRAIO","MARZO","APRILE","MAGGIO","GIUGNO","LUGLIO","AGOSTO","SETTEMBRE","OTTOBRE","NOVEMBRE","DICEMBRE")&amp;" "&amp;YEAR(B417),"")</f>
        <v/>
      </c>
      <c r="B416" s="11"/>
      <c r="C416" s="12"/>
      <c r="D416" s="12" t="str">
        <f>IF(C416="","",C416-IF(C415&lt;&gt;"",C415,IF(C414&lt;&gt;"",C414,IF(C413&lt;&gt;"",C413,0))))</f>
        <v/>
      </c>
      <c r="E416" s="12"/>
      <c r="F416" s="12"/>
      <c r="G416" s="9" t="str">
        <f>IF(AND(E416="",F416=""),"",IF(OR(E416&gt;1,F416&gt;1),(F416-E416)/100,F416-E416))</f>
        <v/>
      </c>
      <c r="H416" s="12" t="str">
        <f>IF(G416="","",64*G416)</f>
        <v/>
      </c>
      <c r="I416" s="13"/>
      <c r="J416" s="13" t="str">
        <f>IFERROR(IF(OR(D416="",D416=0),"",I416/D416*100),"")</f>
        <v/>
      </c>
      <c r="K416" s="14"/>
      <c r="L416" s="13" t="str">
        <f>IF(I416="","",I416*K416)</f>
        <v/>
      </c>
      <c r="M416" s="13" t="str">
        <f>IF(B416="","",IFERROR(SUMPRODUCT(ISNUMBER(B$3:B416)*(MONTH(IF(ISNUMBER(B$3:B416),B$3:B416,1))=MONTH(B416))*(YEAR(IF(ISNUMBER(B$3:B416),B$3:B416,1))=YEAR(B416))*IF(ISNUMBER(L$3:L416),L$3:L416,0)),""))</f>
        <v/>
      </c>
      <c r="N416" s="6"/>
      <c r="O416" s="7" t="str">
        <f>IF(AND(B416="",ISNUMBER(B417)),CHOOSE(MONTH(B417),"GENNAIO","FEBBRAIO","MARZO","APRILE","MAGGIO","GIUGNO","LUGLIO","AGOSTO","SETTEMBRE","OTTOBRE","NOVEMBRE","DICEMBRE")&amp;" "&amp;YEAR(B417),"")</f>
        <v/>
      </c>
      <c r="P416" s="12" t="str">
        <f>IF(K416=0.2,"CASA","")</f>
        <v/>
      </c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" customHeight="1" x14ac:dyDescent="0.2">
      <c r="A417" s="5" t="str">
        <f>IF(AND(B417="",ISNUMBER(B418)),CHOOSE(MONTH(B418),"GENNAIO","FEBBRAIO","MARZO","APRILE","MAGGIO","GIUGNO","LUGLIO","AGOSTO","SETTEMBRE","OTTOBRE","NOVEMBRE","DICEMBRE")&amp;" "&amp;YEAR(B418),"")</f>
        <v/>
      </c>
      <c r="B417" s="11"/>
      <c r="C417" s="12"/>
      <c r="D417" s="12" t="str">
        <f>IF(C417="","",C417-IF(C416&lt;&gt;"",C416,IF(C415&lt;&gt;"",C415,IF(C414&lt;&gt;"",C414,0))))</f>
        <v/>
      </c>
      <c r="E417" s="12"/>
      <c r="F417" s="12"/>
      <c r="G417" s="9" t="str">
        <f>IF(AND(E417="",F417=""),"",IF(OR(E417&gt;1,F417&gt;1),(F417-E417)/100,F417-E417))</f>
        <v/>
      </c>
      <c r="H417" s="12" t="str">
        <f>IF(G417="","",64*G417)</f>
        <v/>
      </c>
      <c r="I417" s="13"/>
      <c r="J417" s="13" t="str">
        <f>IFERROR(IF(OR(D417="",D417=0),"",I417/D417*100),"")</f>
        <v/>
      </c>
      <c r="K417" s="14"/>
      <c r="L417" s="13" t="str">
        <f>IF(I417="","",I417*K417)</f>
        <v/>
      </c>
      <c r="M417" s="13" t="str">
        <f>IF(B417="","",IFERROR(SUMPRODUCT(ISNUMBER(B$3:B417)*(MONTH(IF(ISNUMBER(B$3:B417),B$3:B417,1))=MONTH(B417))*(YEAR(IF(ISNUMBER(B$3:B417),B$3:B417,1))=YEAR(B417))*IF(ISNUMBER(L$3:L417),L$3:L417,0)),""))</f>
        <v/>
      </c>
      <c r="N417" s="6"/>
      <c r="O417" s="7" t="str">
        <f>IF(AND(B417="",ISNUMBER(B418)),CHOOSE(MONTH(B418),"GENNAIO","FEBBRAIO","MARZO","APRILE","MAGGIO","GIUGNO","LUGLIO","AGOSTO","SETTEMBRE","OTTOBRE","NOVEMBRE","DICEMBRE")&amp;" "&amp;YEAR(B418),"")</f>
        <v/>
      </c>
      <c r="P417" s="12" t="str">
        <f>IF(K417=0.2,"CASA","")</f>
        <v/>
      </c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" customHeight="1" x14ac:dyDescent="0.2">
      <c r="A418" s="5" t="str">
        <f>IF(AND(B418="",ISNUMBER(B419)),CHOOSE(MONTH(B419),"GENNAIO","FEBBRAIO","MARZO","APRILE","MAGGIO","GIUGNO","LUGLIO","AGOSTO","SETTEMBRE","OTTOBRE","NOVEMBRE","DICEMBRE")&amp;" "&amp;YEAR(B419),"")</f>
        <v/>
      </c>
      <c r="B418" s="11"/>
      <c r="C418" s="12"/>
      <c r="D418" s="12" t="str">
        <f>IF(C418="","",C418-IF(C417&lt;&gt;"",C417,IF(C416&lt;&gt;"",C416,IF(C415&lt;&gt;"",C415,0))))</f>
        <v/>
      </c>
      <c r="E418" s="12"/>
      <c r="F418" s="12"/>
      <c r="G418" s="9" t="str">
        <f>IF(AND(E418="",F418=""),"",IF(OR(E418&gt;1,F418&gt;1),(F418-E418)/100,F418-E418))</f>
        <v/>
      </c>
      <c r="H418" s="12" t="str">
        <f>IF(G418="","",64*G418)</f>
        <v/>
      </c>
      <c r="I418" s="13"/>
      <c r="J418" s="13" t="str">
        <f>IFERROR(IF(OR(D418="",D418=0),"",I418/D418*100),"")</f>
        <v/>
      </c>
      <c r="K418" s="14"/>
      <c r="L418" s="13" t="str">
        <f>IF(I418="","",I418*K418)</f>
        <v/>
      </c>
      <c r="M418" s="13" t="str">
        <f>IF(B418="","",IFERROR(SUMPRODUCT(ISNUMBER(B$3:B418)*(MONTH(IF(ISNUMBER(B$3:B418),B$3:B418,1))=MONTH(B418))*(YEAR(IF(ISNUMBER(B$3:B418),B$3:B418,1))=YEAR(B418))*IF(ISNUMBER(L$3:L418),L$3:L418,0)),""))</f>
        <v/>
      </c>
      <c r="N418" s="6"/>
      <c r="O418" s="7" t="str">
        <f>IF(AND(B418="",ISNUMBER(B419)),CHOOSE(MONTH(B419),"GENNAIO","FEBBRAIO","MARZO","APRILE","MAGGIO","GIUGNO","LUGLIO","AGOSTO","SETTEMBRE","OTTOBRE","NOVEMBRE","DICEMBRE")&amp;" "&amp;YEAR(B419),"")</f>
        <v/>
      </c>
      <c r="P418" s="12" t="str">
        <f>IF(K418=0.2,"CASA","")</f>
        <v/>
      </c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" customHeight="1" x14ac:dyDescent="0.2">
      <c r="A419" s="5" t="str">
        <f>IF(AND(B419="",ISNUMBER(B420)),CHOOSE(MONTH(B420),"GENNAIO","FEBBRAIO","MARZO","APRILE","MAGGIO","GIUGNO","LUGLIO","AGOSTO","SETTEMBRE","OTTOBRE","NOVEMBRE","DICEMBRE")&amp;" "&amp;YEAR(B420),"")</f>
        <v/>
      </c>
      <c r="B419" s="11"/>
      <c r="C419" s="12"/>
      <c r="D419" s="12" t="str">
        <f>IF(C419="","",C419-IF(C418&lt;&gt;"",C418,IF(C417&lt;&gt;"",C417,IF(C416&lt;&gt;"",C416,0))))</f>
        <v/>
      </c>
      <c r="E419" s="12"/>
      <c r="F419" s="12"/>
      <c r="G419" s="9" t="str">
        <f>IF(AND(E419="",F419=""),"",IF(OR(E419&gt;1,F419&gt;1),(F419-E419)/100,F419-E419))</f>
        <v/>
      </c>
      <c r="H419" s="12" t="str">
        <f>IF(G419="","",64*G419)</f>
        <v/>
      </c>
      <c r="I419" s="13"/>
      <c r="J419" s="13" t="str">
        <f>IFERROR(IF(OR(D419="",D419=0),"",I419/D419*100),"")</f>
        <v/>
      </c>
      <c r="K419" s="14"/>
      <c r="L419" s="13" t="str">
        <f>IF(I419="","",I419*K419)</f>
        <v/>
      </c>
      <c r="M419" s="13" t="str">
        <f>IF(B419="","",IFERROR(SUMPRODUCT(ISNUMBER(B$3:B419)*(MONTH(IF(ISNUMBER(B$3:B419),B$3:B419,1))=MONTH(B419))*(YEAR(IF(ISNUMBER(B$3:B419),B$3:B419,1))=YEAR(B419))*IF(ISNUMBER(L$3:L419),L$3:L419,0)),""))</f>
        <v/>
      </c>
      <c r="N419" s="6"/>
      <c r="O419" s="7" t="str">
        <f>IF(AND(B419="",ISNUMBER(B420)),CHOOSE(MONTH(B420),"GENNAIO","FEBBRAIO","MARZO","APRILE","MAGGIO","GIUGNO","LUGLIO","AGOSTO","SETTEMBRE","OTTOBRE","NOVEMBRE","DICEMBRE")&amp;" "&amp;YEAR(B420),"")</f>
        <v/>
      </c>
      <c r="P419" s="12" t="str">
        <f>IF(K419=0.2,"CASA","")</f>
        <v/>
      </c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" customHeight="1" x14ac:dyDescent="0.2">
      <c r="A420" s="5" t="str">
        <f>IF(AND(B420="",ISNUMBER(B421)),CHOOSE(MONTH(B421),"GENNAIO","FEBBRAIO","MARZO","APRILE","MAGGIO","GIUGNO","LUGLIO","AGOSTO","SETTEMBRE","OTTOBRE","NOVEMBRE","DICEMBRE")&amp;" "&amp;YEAR(B421),"")</f>
        <v/>
      </c>
      <c r="B420" s="11"/>
      <c r="C420" s="12"/>
      <c r="D420" s="12" t="str">
        <f>IF(C420="","",C420-IF(C419&lt;&gt;"",C419,IF(C418&lt;&gt;"",C418,IF(C417&lt;&gt;"",C417,0))))</f>
        <v/>
      </c>
      <c r="E420" s="12"/>
      <c r="F420" s="12"/>
      <c r="G420" s="9" t="str">
        <f>IF(AND(E420="",F420=""),"",IF(OR(E420&gt;1,F420&gt;1),(F420-E420)/100,F420-E420))</f>
        <v/>
      </c>
      <c r="H420" s="12" t="str">
        <f>IF(G420="","",64*G420)</f>
        <v/>
      </c>
      <c r="I420" s="13"/>
      <c r="J420" s="13" t="str">
        <f>IFERROR(IF(OR(D420="",D420=0),"",I420/D420*100),"")</f>
        <v/>
      </c>
      <c r="K420" s="14"/>
      <c r="L420" s="13" t="str">
        <f>IF(I420="","",I420*K420)</f>
        <v/>
      </c>
      <c r="M420" s="13" t="str">
        <f>IF(B420="","",IFERROR(SUMPRODUCT(ISNUMBER(B$3:B420)*(MONTH(IF(ISNUMBER(B$3:B420),B$3:B420,1))=MONTH(B420))*(YEAR(IF(ISNUMBER(B$3:B420),B$3:B420,1))=YEAR(B420))*IF(ISNUMBER(L$3:L420),L$3:L420,0)),""))</f>
        <v/>
      </c>
      <c r="N420" s="6"/>
      <c r="O420" s="7" t="str">
        <f>IF(AND(B420="",ISNUMBER(B421)),CHOOSE(MONTH(B421),"GENNAIO","FEBBRAIO","MARZO","APRILE","MAGGIO","GIUGNO","LUGLIO","AGOSTO","SETTEMBRE","OTTOBRE","NOVEMBRE","DICEMBRE")&amp;" "&amp;YEAR(B421),"")</f>
        <v/>
      </c>
      <c r="P420" s="12" t="str">
        <f>IF(K420=0.2,"CASA","")</f>
        <v/>
      </c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" customHeight="1" x14ac:dyDescent="0.2">
      <c r="A421" s="5" t="str">
        <f>IF(AND(B421="",ISNUMBER(B422)),CHOOSE(MONTH(B422),"GENNAIO","FEBBRAIO","MARZO","APRILE","MAGGIO","GIUGNO","LUGLIO","AGOSTO","SETTEMBRE","OTTOBRE","NOVEMBRE","DICEMBRE")&amp;" "&amp;YEAR(B422),"")</f>
        <v/>
      </c>
      <c r="B421" s="11"/>
      <c r="C421" s="12"/>
      <c r="D421" s="12" t="str">
        <f>IF(C421="","",C421-IF(C420&lt;&gt;"",C420,IF(C419&lt;&gt;"",C419,IF(C418&lt;&gt;"",C418,0))))</f>
        <v/>
      </c>
      <c r="E421" s="12"/>
      <c r="F421" s="12"/>
      <c r="G421" s="9" t="str">
        <f>IF(AND(E421="",F421=""),"",IF(OR(E421&gt;1,F421&gt;1),(F421-E421)/100,F421-E421))</f>
        <v/>
      </c>
      <c r="H421" s="12" t="str">
        <f>IF(G421="","",64*G421)</f>
        <v/>
      </c>
      <c r="I421" s="13"/>
      <c r="J421" s="13" t="str">
        <f>IFERROR(IF(OR(D421="",D421=0),"",I421/D421*100),"")</f>
        <v/>
      </c>
      <c r="K421" s="14"/>
      <c r="L421" s="13" t="str">
        <f>IF(I421="","",I421*K421)</f>
        <v/>
      </c>
      <c r="M421" s="13" t="str">
        <f>IF(B421="","",IFERROR(SUMPRODUCT(ISNUMBER(B$3:B421)*(MONTH(IF(ISNUMBER(B$3:B421),B$3:B421,1))=MONTH(B421))*(YEAR(IF(ISNUMBER(B$3:B421),B$3:B421,1))=YEAR(B421))*IF(ISNUMBER(L$3:L421),L$3:L421,0)),""))</f>
        <v/>
      </c>
      <c r="N421" s="6"/>
      <c r="O421" s="7" t="str">
        <f>IF(AND(B421="",ISNUMBER(B422)),CHOOSE(MONTH(B422),"GENNAIO","FEBBRAIO","MARZO","APRILE","MAGGIO","GIUGNO","LUGLIO","AGOSTO","SETTEMBRE","OTTOBRE","NOVEMBRE","DICEMBRE")&amp;" "&amp;YEAR(B422),"")</f>
        <v/>
      </c>
      <c r="P421" s="12" t="str">
        <f>IF(K421=0.2,"CASA","")</f>
        <v/>
      </c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" customHeight="1" x14ac:dyDescent="0.2">
      <c r="A422" s="5" t="str">
        <f>IF(AND(B422="",ISNUMBER(B423)),CHOOSE(MONTH(B423),"GENNAIO","FEBBRAIO","MARZO","APRILE","MAGGIO","GIUGNO","LUGLIO","AGOSTO","SETTEMBRE","OTTOBRE","NOVEMBRE","DICEMBRE")&amp;" "&amp;YEAR(B423),"")</f>
        <v/>
      </c>
      <c r="B422" s="11"/>
      <c r="C422" s="12"/>
      <c r="D422" s="12" t="str">
        <f>IF(C422="","",C422-IF(C421&lt;&gt;"",C421,IF(C420&lt;&gt;"",C420,IF(C419&lt;&gt;"",C419,0))))</f>
        <v/>
      </c>
      <c r="E422" s="12"/>
      <c r="F422" s="12"/>
      <c r="G422" s="9" t="str">
        <f>IF(AND(E422="",F422=""),"",IF(OR(E422&gt;1,F422&gt;1),(F422-E422)/100,F422-E422))</f>
        <v/>
      </c>
      <c r="H422" s="12" t="str">
        <f>IF(G422="","",64*G422)</f>
        <v/>
      </c>
      <c r="I422" s="13"/>
      <c r="J422" s="13" t="str">
        <f>IFERROR(IF(OR(D422="",D422=0),"",I422/D422*100),"")</f>
        <v/>
      </c>
      <c r="K422" s="14"/>
      <c r="L422" s="13" t="str">
        <f>IF(I422="","",I422*K422)</f>
        <v/>
      </c>
      <c r="M422" s="13" t="str">
        <f>IF(B422="","",IFERROR(SUMPRODUCT(ISNUMBER(B$3:B422)*(MONTH(IF(ISNUMBER(B$3:B422),B$3:B422,1))=MONTH(B422))*(YEAR(IF(ISNUMBER(B$3:B422),B$3:B422,1))=YEAR(B422))*IF(ISNUMBER(L$3:L422),L$3:L422,0)),""))</f>
        <v/>
      </c>
      <c r="N422" s="6"/>
      <c r="O422" s="7" t="str">
        <f>IF(AND(B422="",ISNUMBER(B423)),CHOOSE(MONTH(B423),"GENNAIO","FEBBRAIO","MARZO","APRILE","MAGGIO","GIUGNO","LUGLIO","AGOSTO","SETTEMBRE","OTTOBRE","NOVEMBRE","DICEMBRE")&amp;" "&amp;YEAR(B423),"")</f>
        <v/>
      </c>
      <c r="P422" s="12" t="str">
        <f>IF(K422=0.2,"CASA","")</f>
        <v/>
      </c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" customHeight="1" x14ac:dyDescent="0.2">
      <c r="A423" s="5" t="str">
        <f>IF(AND(B423="",ISNUMBER(B424)),CHOOSE(MONTH(B424),"GENNAIO","FEBBRAIO","MARZO","APRILE","MAGGIO","GIUGNO","LUGLIO","AGOSTO","SETTEMBRE","OTTOBRE","NOVEMBRE","DICEMBRE")&amp;" "&amp;YEAR(B424),"")</f>
        <v/>
      </c>
      <c r="B423" s="11"/>
      <c r="C423" s="12"/>
      <c r="D423" s="12" t="str">
        <f>IF(C423="","",C423-IF(C422&lt;&gt;"",C422,IF(C421&lt;&gt;"",C421,IF(C420&lt;&gt;"",C420,0))))</f>
        <v/>
      </c>
      <c r="E423" s="12"/>
      <c r="F423" s="12"/>
      <c r="G423" s="9" t="str">
        <f>IF(AND(E423="",F423=""),"",IF(OR(E423&gt;1,F423&gt;1),(F423-E423)/100,F423-E423))</f>
        <v/>
      </c>
      <c r="H423" s="12" t="str">
        <f>IF(G423="","",64*G423)</f>
        <v/>
      </c>
      <c r="I423" s="13"/>
      <c r="J423" s="13" t="str">
        <f>IFERROR(IF(OR(D423="",D423=0),"",I423/D423*100),"")</f>
        <v/>
      </c>
      <c r="K423" s="14"/>
      <c r="L423" s="13" t="str">
        <f>IF(I423="","",I423*K423)</f>
        <v/>
      </c>
      <c r="M423" s="13" t="str">
        <f>IF(B423="","",IFERROR(SUMPRODUCT(ISNUMBER(B$3:B423)*(MONTH(IF(ISNUMBER(B$3:B423),B$3:B423,1))=MONTH(B423))*(YEAR(IF(ISNUMBER(B$3:B423),B$3:B423,1))=YEAR(B423))*IF(ISNUMBER(L$3:L423),L$3:L423,0)),""))</f>
        <v/>
      </c>
      <c r="N423" s="6"/>
      <c r="O423" s="7" t="str">
        <f>IF(AND(B423="",ISNUMBER(B424)),CHOOSE(MONTH(B424),"GENNAIO","FEBBRAIO","MARZO","APRILE","MAGGIO","GIUGNO","LUGLIO","AGOSTO","SETTEMBRE","OTTOBRE","NOVEMBRE","DICEMBRE")&amp;" "&amp;YEAR(B424),"")</f>
        <v/>
      </c>
      <c r="P423" s="12" t="str">
        <f>IF(K423=0.2,"CASA","")</f>
        <v/>
      </c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" customHeight="1" x14ac:dyDescent="0.2">
      <c r="A424" s="5" t="str">
        <f>IF(AND(B424="",ISNUMBER(B425)),CHOOSE(MONTH(B425),"GENNAIO","FEBBRAIO","MARZO","APRILE","MAGGIO","GIUGNO","LUGLIO","AGOSTO","SETTEMBRE","OTTOBRE","NOVEMBRE","DICEMBRE")&amp;" "&amp;YEAR(B425),"")</f>
        <v/>
      </c>
      <c r="B424" s="11"/>
      <c r="C424" s="12"/>
      <c r="D424" s="12" t="str">
        <f>IF(C424="","",C424-IF(C423&lt;&gt;"",C423,IF(C422&lt;&gt;"",C422,IF(C421&lt;&gt;"",C421,0))))</f>
        <v/>
      </c>
      <c r="E424" s="12"/>
      <c r="F424" s="12"/>
      <c r="G424" s="9" t="str">
        <f>IF(AND(E424="",F424=""),"",IF(OR(E424&gt;1,F424&gt;1),(F424-E424)/100,F424-E424))</f>
        <v/>
      </c>
      <c r="H424" s="12" t="str">
        <f>IF(G424="","",64*G424)</f>
        <v/>
      </c>
      <c r="I424" s="13"/>
      <c r="J424" s="13" t="str">
        <f>IFERROR(IF(OR(D424="",D424=0),"",I424/D424*100),"")</f>
        <v/>
      </c>
      <c r="K424" s="14"/>
      <c r="L424" s="13" t="str">
        <f>IF(I424="","",I424*K424)</f>
        <v/>
      </c>
      <c r="M424" s="13" t="str">
        <f>IF(B424="","",IFERROR(SUMPRODUCT(ISNUMBER(B$3:B424)*(MONTH(IF(ISNUMBER(B$3:B424),B$3:B424,1))=MONTH(B424))*(YEAR(IF(ISNUMBER(B$3:B424),B$3:B424,1))=YEAR(B424))*IF(ISNUMBER(L$3:L424),L$3:L424,0)),""))</f>
        <v/>
      </c>
      <c r="N424" s="6"/>
      <c r="O424" s="7" t="str">
        <f>IF(AND(B424="",ISNUMBER(B425)),CHOOSE(MONTH(B425),"GENNAIO","FEBBRAIO","MARZO","APRILE","MAGGIO","GIUGNO","LUGLIO","AGOSTO","SETTEMBRE","OTTOBRE","NOVEMBRE","DICEMBRE")&amp;" "&amp;YEAR(B425),"")</f>
        <v/>
      </c>
      <c r="P424" s="12" t="str">
        <f>IF(K424=0.2,"CASA","")</f>
        <v/>
      </c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" customHeight="1" x14ac:dyDescent="0.2">
      <c r="A425" s="5" t="str">
        <f>IF(AND(B425="",ISNUMBER(B426)),CHOOSE(MONTH(B426),"GENNAIO","FEBBRAIO","MARZO","APRILE","MAGGIO","GIUGNO","LUGLIO","AGOSTO","SETTEMBRE","OTTOBRE","NOVEMBRE","DICEMBRE")&amp;" "&amp;YEAR(B426),"")</f>
        <v/>
      </c>
      <c r="B425" s="11"/>
      <c r="C425" s="12"/>
      <c r="D425" s="12" t="str">
        <f>IF(C425="","",C425-IF(C424&lt;&gt;"",C424,IF(C423&lt;&gt;"",C423,IF(C422&lt;&gt;"",C422,0))))</f>
        <v/>
      </c>
      <c r="E425" s="12"/>
      <c r="F425" s="12"/>
      <c r="G425" s="9" t="str">
        <f>IF(AND(E425="",F425=""),"",IF(OR(E425&gt;1,F425&gt;1),(F425-E425)/100,F425-E425))</f>
        <v/>
      </c>
      <c r="H425" s="12" t="str">
        <f>IF(G425="","",64*G425)</f>
        <v/>
      </c>
      <c r="I425" s="13"/>
      <c r="J425" s="13" t="str">
        <f>IFERROR(IF(OR(D425="",D425=0),"",I425/D425*100),"")</f>
        <v/>
      </c>
      <c r="K425" s="14"/>
      <c r="L425" s="13" t="str">
        <f>IF(I425="","",I425*K425)</f>
        <v/>
      </c>
      <c r="M425" s="13" t="str">
        <f>IF(B425="","",IFERROR(SUMPRODUCT(ISNUMBER(B$3:B425)*(MONTH(IF(ISNUMBER(B$3:B425),B$3:B425,1))=MONTH(B425))*(YEAR(IF(ISNUMBER(B$3:B425),B$3:B425,1))=YEAR(B425))*IF(ISNUMBER(L$3:L425),L$3:L425,0)),""))</f>
        <v/>
      </c>
      <c r="N425" s="6"/>
      <c r="O425" s="7" t="str">
        <f>IF(AND(B425="",ISNUMBER(B426)),CHOOSE(MONTH(B426),"GENNAIO","FEBBRAIO","MARZO","APRILE","MAGGIO","GIUGNO","LUGLIO","AGOSTO","SETTEMBRE","OTTOBRE","NOVEMBRE","DICEMBRE")&amp;" "&amp;YEAR(B426),"")</f>
        <v/>
      </c>
      <c r="P425" s="12" t="str">
        <f>IF(K425=0.2,"CASA","")</f>
        <v/>
      </c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" customHeight="1" x14ac:dyDescent="0.2">
      <c r="A426" s="5" t="str">
        <f>IF(AND(B426="",ISNUMBER(B427)),CHOOSE(MONTH(B427),"GENNAIO","FEBBRAIO","MARZO","APRILE","MAGGIO","GIUGNO","LUGLIO","AGOSTO","SETTEMBRE","OTTOBRE","NOVEMBRE","DICEMBRE")&amp;" "&amp;YEAR(B427),"")</f>
        <v/>
      </c>
      <c r="B426" s="11"/>
      <c r="C426" s="12"/>
      <c r="D426" s="12" t="str">
        <f>IF(C426="","",C426-IF(C425&lt;&gt;"",C425,IF(C424&lt;&gt;"",C424,IF(C423&lt;&gt;"",C423,0))))</f>
        <v/>
      </c>
      <c r="E426" s="12"/>
      <c r="F426" s="12"/>
      <c r="G426" s="9" t="str">
        <f>IF(AND(E426="",F426=""),"",IF(OR(E426&gt;1,F426&gt;1),(F426-E426)/100,F426-E426))</f>
        <v/>
      </c>
      <c r="H426" s="12" t="str">
        <f>IF(G426="","",64*G426)</f>
        <v/>
      </c>
      <c r="I426" s="13"/>
      <c r="J426" s="13" t="str">
        <f>IFERROR(IF(OR(D426="",D426=0),"",I426/D426*100),"")</f>
        <v/>
      </c>
      <c r="K426" s="14"/>
      <c r="L426" s="13" t="str">
        <f>IF(I426="","",I426*K426)</f>
        <v/>
      </c>
      <c r="M426" s="13" t="str">
        <f>IF(B426="","",IFERROR(SUMPRODUCT(ISNUMBER(B$3:B426)*(MONTH(IF(ISNUMBER(B$3:B426),B$3:B426,1))=MONTH(B426))*(YEAR(IF(ISNUMBER(B$3:B426),B$3:B426,1))=YEAR(B426))*IF(ISNUMBER(L$3:L426),L$3:L426,0)),""))</f>
        <v/>
      </c>
      <c r="N426" s="6"/>
      <c r="O426" s="7" t="str">
        <f>IF(AND(B426="",ISNUMBER(B427)),CHOOSE(MONTH(B427),"GENNAIO","FEBBRAIO","MARZO","APRILE","MAGGIO","GIUGNO","LUGLIO","AGOSTO","SETTEMBRE","OTTOBRE","NOVEMBRE","DICEMBRE")&amp;" "&amp;YEAR(B427),"")</f>
        <v/>
      </c>
      <c r="P426" s="12" t="str">
        <f>IF(K426=0.2,"CASA","")</f>
        <v/>
      </c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" customHeight="1" x14ac:dyDescent="0.2">
      <c r="A427" s="5" t="str">
        <f>IF(AND(B427="",ISNUMBER(B428)),CHOOSE(MONTH(B428),"GENNAIO","FEBBRAIO","MARZO","APRILE","MAGGIO","GIUGNO","LUGLIO","AGOSTO","SETTEMBRE","OTTOBRE","NOVEMBRE","DICEMBRE")&amp;" "&amp;YEAR(B428),"")</f>
        <v/>
      </c>
      <c r="B427" s="11"/>
      <c r="C427" s="12"/>
      <c r="D427" s="12" t="str">
        <f>IF(C427="","",C427-IF(C426&lt;&gt;"",C426,IF(C425&lt;&gt;"",C425,IF(C424&lt;&gt;"",C424,0))))</f>
        <v/>
      </c>
      <c r="E427" s="12"/>
      <c r="F427" s="12"/>
      <c r="G427" s="9" t="str">
        <f>IF(AND(E427="",F427=""),"",IF(OR(E427&gt;1,F427&gt;1),(F427-E427)/100,F427-E427))</f>
        <v/>
      </c>
      <c r="H427" s="12" t="str">
        <f>IF(G427="","",64*G427)</f>
        <v/>
      </c>
      <c r="I427" s="13"/>
      <c r="J427" s="13" t="str">
        <f>IFERROR(IF(OR(D427="",D427=0),"",I427/D427*100),"")</f>
        <v/>
      </c>
      <c r="K427" s="14"/>
      <c r="L427" s="13" t="str">
        <f>IF(I427="","",I427*K427)</f>
        <v/>
      </c>
      <c r="M427" s="13" t="str">
        <f>IF(B427="","",IFERROR(SUMPRODUCT(ISNUMBER(B$3:B427)*(MONTH(IF(ISNUMBER(B$3:B427),B$3:B427,1))=MONTH(B427))*(YEAR(IF(ISNUMBER(B$3:B427),B$3:B427,1))=YEAR(B427))*IF(ISNUMBER(L$3:L427),L$3:L427,0)),""))</f>
        <v/>
      </c>
      <c r="N427" s="6"/>
      <c r="O427" s="7" t="str">
        <f>IF(AND(B427="",ISNUMBER(B428)),CHOOSE(MONTH(B428),"GENNAIO","FEBBRAIO","MARZO","APRILE","MAGGIO","GIUGNO","LUGLIO","AGOSTO","SETTEMBRE","OTTOBRE","NOVEMBRE","DICEMBRE")&amp;" "&amp;YEAR(B428),"")</f>
        <v/>
      </c>
      <c r="P427" s="12" t="str">
        <f>IF(K427=0.2,"CASA","")</f>
        <v/>
      </c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" customHeight="1" x14ac:dyDescent="0.2">
      <c r="A428" s="5" t="str">
        <f>IF(AND(B428="",ISNUMBER(B429)),CHOOSE(MONTH(B429),"GENNAIO","FEBBRAIO","MARZO","APRILE","MAGGIO","GIUGNO","LUGLIO","AGOSTO","SETTEMBRE","OTTOBRE","NOVEMBRE","DICEMBRE")&amp;" "&amp;YEAR(B429),"")</f>
        <v/>
      </c>
      <c r="B428" s="11"/>
      <c r="C428" s="12"/>
      <c r="D428" s="12" t="str">
        <f>IF(C428="","",C428-IF(C427&lt;&gt;"",C427,IF(C426&lt;&gt;"",C426,IF(C425&lt;&gt;"",C425,0))))</f>
        <v/>
      </c>
      <c r="E428" s="12"/>
      <c r="F428" s="12"/>
      <c r="G428" s="9" t="str">
        <f>IF(AND(E428="",F428=""),"",IF(OR(E428&gt;1,F428&gt;1),(F428-E428)/100,F428-E428))</f>
        <v/>
      </c>
      <c r="H428" s="12" t="str">
        <f>IF(G428="","",64*G428)</f>
        <v/>
      </c>
      <c r="I428" s="13"/>
      <c r="J428" s="13" t="str">
        <f>IFERROR(IF(OR(D428="",D428=0),"",I428/D428*100),"")</f>
        <v/>
      </c>
      <c r="K428" s="14"/>
      <c r="L428" s="13" t="str">
        <f>IF(I428="","",I428*K428)</f>
        <v/>
      </c>
      <c r="M428" s="13" t="str">
        <f>IF(B428="","",IFERROR(SUMPRODUCT(ISNUMBER(B$3:B428)*(MONTH(IF(ISNUMBER(B$3:B428),B$3:B428,1))=MONTH(B428))*(YEAR(IF(ISNUMBER(B$3:B428),B$3:B428,1))=YEAR(B428))*IF(ISNUMBER(L$3:L428),L$3:L428,0)),""))</f>
        <v/>
      </c>
      <c r="N428" s="6"/>
      <c r="O428" s="7" t="str">
        <f>IF(AND(B428="",ISNUMBER(B429)),CHOOSE(MONTH(B429),"GENNAIO","FEBBRAIO","MARZO","APRILE","MAGGIO","GIUGNO","LUGLIO","AGOSTO","SETTEMBRE","OTTOBRE","NOVEMBRE","DICEMBRE")&amp;" "&amp;YEAR(B429),"")</f>
        <v/>
      </c>
      <c r="P428" s="12" t="str">
        <f>IF(K428=0.2,"CASA","")</f>
        <v/>
      </c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" customHeight="1" x14ac:dyDescent="0.2">
      <c r="A429" s="5" t="str">
        <f>IF(AND(B429="",ISNUMBER(B430)),CHOOSE(MONTH(B430),"GENNAIO","FEBBRAIO","MARZO","APRILE","MAGGIO","GIUGNO","LUGLIO","AGOSTO","SETTEMBRE","OTTOBRE","NOVEMBRE","DICEMBRE")&amp;" "&amp;YEAR(B430),"")</f>
        <v/>
      </c>
      <c r="B429" s="11"/>
      <c r="C429" s="12"/>
      <c r="D429" s="12" t="str">
        <f>IF(C429="","",C429-IF(C428&lt;&gt;"",C428,IF(C427&lt;&gt;"",C427,IF(C426&lt;&gt;"",C426,0))))</f>
        <v/>
      </c>
      <c r="E429" s="12"/>
      <c r="F429" s="12"/>
      <c r="G429" s="9" t="str">
        <f>IF(AND(E429="",F429=""),"",IF(OR(E429&gt;1,F429&gt;1),(F429-E429)/100,F429-E429))</f>
        <v/>
      </c>
      <c r="H429" s="12" t="str">
        <f>IF(G429="","",64*G429)</f>
        <v/>
      </c>
      <c r="I429" s="13"/>
      <c r="J429" s="13" t="str">
        <f>IFERROR(IF(OR(D429="",D429=0),"",I429/D429*100),"")</f>
        <v/>
      </c>
      <c r="K429" s="14"/>
      <c r="L429" s="13" t="str">
        <f>IF(I429="","",I429*K429)</f>
        <v/>
      </c>
      <c r="M429" s="13" t="str">
        <f>IF(B429="","",IFERROR(SUMPRODUCT(ISNUMBER(B$3:B429)*(MONTH(IF(ISNUMBER(B$3:B429),B$3:B429,1))=MONTH(B429))*(YEAR(IF(ISNUMBER(B$3:B429),B$3:B429,1))=YEAR(B429))*IF(ISNUMBER(L$3:L429),L$3:L429,0)),""))</f>
        <v/>
      </c>
      <c r="N429" s="6"/>
      <c r="O429" s="7" t="str">
        <f>IF(AND(B429="",ISNUMBER(B430)),CHOOSE(MONTH(B430),"GENNAIO","FEBBRAIO","MARZO","APRILE","MAGGIO","GIUGNO","LUGLIO","AGOSTO","SETTEMBRE","OTTOBRE","NOVEMBRE","DICEMBRE")&amp;" "&amp;YEAR(B430),"")</f>
        <v/>
      </c>
      <c r="P429" s="12" t="str">
        <f>IF(K429=0.2,"CASA","")</f>
        <v/>
      </c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" customHeight="1" x14ac:dyDescent="0.2">
      <c r="A430" s="5" t="str">
        <f>IF(AND(B430="",ISNUMBER(B431)),CHOOSE(MONTH(B431),"GENNAIO","FEBBRAIO","MARZO","APRILE","MAGGIO","GIUGNO","LUGLIO","AGOSTO","SETTEMBRE","OTTOBRE","NOVEMBRE","DICEMBRE")&amp;" "&amp;YEAR(B431),"")</f>
        <v/>
      </c>
      <c r="B430" s="11"/>
      <c r="C430" s="12"/>
      <c r="D430" s="12" t="str">
        <f>IF(C430="","",C430-IF(C429&lt;&gt;"",C429,IF(C428&lt;&gt;"",C428,IF(C427&lt;&gt;"",C427,0))))</f>
        <v/>
      </c>
      <c r="E430" s="12"/>
      <c r="F430" s="12"/>
      <c r="G430" s="9" t="str">
        <f>IF(AND(E430="",F430=""),"",IF(OR(E430&gt;1,F430&gt;1),(F430-E430)/100,F430-E430))</f>
        <v/>
      </c>
      <c r="H430" s="12" t="str">
        <f>IF(G430="","",64*G430)</f>
        <v/>
      </c>
      <c r="I430" s="13"/>
      <c r="J430" s="13" t="str">
        <f>IFERROR(IF(OR(D430="",D430=0),"",I430/D430*100),"")</f>
        <v/>
      </c>
      <c r="K430" s="14"/>
      <c r="L430" s="13" t="str">
        <f>IF(I430="","",I430*K430)</f>
        <v/>
      </c>
      <c r="M430" s="13" t="str">
        <f>IF(B430="","",IFERROR(SUMPRODUCT(ISNUMBER(B$3:B430)*(MONTH(IF(ISNUMBER(B$3:B430),B$3:B430,1))=MONTH(B430))*(YEAR(IF(ISNUMBER(B$3:B430),B$3:B430,1))=YEAR(B430))*IF(ISNUMBER(L$3:L430),L$3:L430,0)),""))</f>
        <v/>
      </c>
      <c r="N430" s="6"/>
      <c r="O430" s="7" t="str">
        <f>IF(AND(B430="",ISNUMBER(B431)),CHOOSE(MONTH(B431),"GENNAIO","FEBBRAIO","MARZO","APRILE","MAGGIO","GIUGNO","LUGLIO","AGOSTO","SETTEMBRE","OTTOBRE","NOVEMBRE","DICEMBRE")&amp;" "&amp;YEAR(B431),"")</f>
        <v/>
      </c>
      <c r="P430" s="12" t="str">
        <f>IF(K430=0.2,"CASA","")</f>
        <v/>
      </c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" customHeight="1" x14ac:dyDescent="0.2">
      <c r="A431" s="5" t="str">
        <f>IF(AND(B431="",ISNUMBER(B432)),CHOOSE(MONTH(B432),"GENNAIO","FEBBRAIO","MARZO","APRILE","MAGGIO","GIUGNO","LUGLIO","AGOSTO","SETTEMBRE","OTTOBRE","NOVEMBRE","DICEMBRE")&amp;" "&amp;YEAR(B432),"")</f>
        <v/>
      </c>
      <c r="B431" s="11"/>
      <c r="C431" s="12"/>
      <c r="D431" s="12" t="str">
        <f>IF(C431="","",C431-IF(C430&lt;&gt;"",C430,IF(C429&lt;&gt;"",C429,IF(C428&lt;&gt;"",C428,0))))</f>
        <v/>
      </c>
      <c r="E431" s="12"/>
      <c r="F431" s="12"/>
      <c r="G431" s="9" t="str">
        <f>IF(AND(E431="",F431=""),"",IF(OR(E431&gt;1,F431&gt;1),(F431-E431)/100,F431-E431))</f>
        <v/>
      </c>
      <c r="H431" s="12" t="str">
        <f>IF(G431="","",64*G431)</f>
        <v/>
      </c>
      <c r="I431" s="13"/>
      <c r="J431" s="13" t="str">
        <f>IFERROR(IF(OR(D431="",D431=0),"",I431/D431*100),"")</f>
        <v/>
      </c>
      <c r="K431" s="14"/>
      <c r="L431" s="13" t="str">
        <f>IF(I431="","",I431*K431)</f>
        <v/>
      </c>
      <c r="M431" s="13" t="str">
        <f>IF(B431="","",IFERROR(SUMPRODUCT(ISNUMBER(B$3:B431)*(MONTH(IF(ISNUMBER(B$3:B431),B$3:B431,1))=MONTH(B431))*(YEAR(IF(ISNUMBER(B$3:B431),B$3:B431,1))=YEAR(B431))*IF(ISNUMBER(L$3:L431),L$3:L431,0)),""))</f>
        <v/>
      </c>
      <c r="N431" s="6"/>
      <c r="O431" s="7" t="str">
        <f>IF(AND(B431="",ISNUMBER(B432)),CHOOSE(MONTH(B432),"GENNAIO","FEBBRAIO","MARZO","APRILE","MAGGIO","GIUGNO","LUGLIO","AGOSTO","SETTEMBRE","OTTOBRE","NOVEMBRE","DICEMBRE")&amp;" "&amp;YEAR(B432),"")</f>
        <v/>
      </c>
      <c r="P431" s="12" t="str">
        <f>IF(K431=0.2,"CASA","")</f>
        <v/>
      </c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" customHeight="1" x14ac:dyDescent="0.2">
      <c r="A432" s="5" t="str">
        <f>IF(AND(B432="",ISNUMBER(B433)),CHOOSE(MONTH(B433),"GENNAIO","FEBBRAIO","MARZO","APRILE","MAGGIO","GIUGNO","LUGLIO","AGOSTO","SETTEMBRE","OTTOBRE","NOVEMBRE","DICEMBRE")&amp;" "&amp;YEAR(B433),"")</f>
        <v/>
      </c>
      <c r="B432" s="11"/>
      <c r="C432" s="12"/>
      <c r="D432" s="12" t="str">
        <f>IF(C432="","",C432-IF(C431&lt;&gt;"",C431,IF(C430&lt;&gt;"",C430,IF(C429&lt;&gt;"",C429,0))))</f>
        <v/>
      </c>
      <c r="E432" s="12"/>
      <c r="F432" s="12"/>
      <c r="G432" s="9" t="str">
        <f>IF(AND(E432="",F432=""),"",IF(OR(E432&gt;1,F432&gt;1),(F432-E432)/100,F432-E432))</f>
        <v/>
      </c>
      <c r="H432" s="12" t="str">
        <f>IF(G432="","",64*G432)</f>
        <v/>
      </c>
      <c r="I432" s="13"/>
      <c r="J432" s="13" t="str">
        <f>IFERROR(IF(OR(D432="",D432=0),"",I432/D432*100),"")</f>
        <v/>
      </c>
      <c r="K432" s="14"/>
      <c r="L432" s="13" t="str">
        <f>IF(I432="","",I432*K432)</f>
        <v/>
      </c>
      <c r="M432" s="13" t="str">
        <f>IF(B432="","",IFERROR(SUMPRODUCT(ISNUMBER(B$3:B432)*(MONTH(IF(ISNUMBER(B$3:B432),B$3:B432,1))=MONTH(B432))*(YEAR(IF(ISNUMBER(B$3:B432),B$3:B432,1))=YEAR(B432))*IF(ISNUMBER(L$3:L432),L$3:L432,0)),""))</f>
        <v/>
      </c>
      <c r="N432" s="6"/>
      <c r="O432" s="7" t="str">
        <f>IF(AND(B432="",ISNUMBER(B433)),CHOOSE(MONTH(B433),"GENNAIO","FEBBRAIO","MARZO","APRILE","MAGGIO","GIUGNO","LUGLIO","AGOSTO","SETTEMBRE","OTTOBRE","NOVEMBRE","DICEMBRE")&amp;" "&amp;YEAR(B433),"")</f>
        <v/>
      </c>
      <c r="P432" s="12" t="str">
        <f>IF(K432=0.2,"CASA","")</f>
        <v/>
      </c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" customHeight="1" x14ac:dyDescent="0.2">
      <c r="A433" s="5" t="str">
        <f>IF(AND(B433="",ISNUMBER(B434)),CHOOSE(MONTH(B434),"GENNAIO","FEBBRAIO","MARZO","APRILE","MAGGIO","GIUGNO","LUGLIO","AGOSTO","SETTEMBRE","OTTOBRE","NOVEMBRE","DICEMBRE")&amp;" "&amp;YEAR(B434),"")</f>
        <v/>
      </c>
      <c r="B433" s="11"/>
      <c r="C433" s="12"/>
      <c r="D433" s="12" t="str">
        <f>IF(C433="","",C433-IF(C432&lt;&gt;"",C432,IF(C431&lt;&gt;"",C431,IF(C430&lt;&gt;"",C430,0))))</f>
        <v/>
      </c>
      <c r="E433" s="12"/>
      <c r="F433" s="12"/>
      <c r="G433" s="9" t="str">
        <f>IF(AND(E433="",F433=""),"",IF(OR(E433&gt;1,F433&gt;1),(F433-E433)/100,F433-E433))</f>
        <v/>
      </c>
      <c r="H433" s="12" t="str">
        <f>IF(G433="","",64*G433)</f>
        <v/>
      </c>
      <c r="I433" s="13"/>
      <c r="J433" s="13" t="str">
        <f>IFERROR(IF(OR(D433="",D433=0),"",I433/D433*100),"")</f>
        <v/>
      </c>
      <c r="K433" s="14"/>
      <c r="L433" s="13" t="str">
        <f>IF(I433="","",I433*K433)</f>
        <v/>
      </c>
      <c r="M433" s="13" t="str">
        <f>IF(B433="","",IFERROR(SUMPRODUCT(ISNUMBER(B$3:B433)*(MONTH(IF(ISNUMBER(B$3:B433),B$3:B433,1))=MONTH(B433))*(YEAR(IF(ISNUMBER(B$3:B433),B$3:B433,1))=YEAR(B433))*IF(ISNUMBER(L$3:L433),L$3:L433,0)),""))</f>
        <v/>
      </c>
      <c r="N433" s="6"/>
      <c r="O433" s="7" t="str">
        <f>IF(AND(B433="",ISNUMBER(B434)),CHOOSE(MONTH(B434),"GENNAIO","FEBBRAIO","MARZO","APRILE","MAGGIO","GIUGNO","LUGLIO","AGOSTO","SETTEMBRE","OTTOBRE","NOVEMBRE","DICEMBRE")&amp;" "&amp;YEAR(B434),"")</f>
        <v/>
      </c>
      <c r="P433" s="12" t="str">
        <f>IF(K433=0.2,"CASA","")</f>
        <v/>
      </c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" customHeight="1" x14ac:dyDescent="0.2">
      <c r="A434" s="5" t="str">
        <f>IF(AND(B434="",ISNUMBER(B435)),CHOOSE(MONTH(B435),"GENNAIO","FEBBRAIO","MARZO","APRILE","MAGGIO","GIUGNO","LUGLIO","AGOSTO","SETTEMBRE","OTTOBRE","NOVEMBRE","DICEMBRE")&amp;" "&amp;YEAR(B435),"")</f>
        <v/>
      </c>
      <c r="B434" s="11"/>
      <c r="C434" s="12"/>
      <c r="D434" s="12" t="str">
        <f>IF(C434="","",C434-IF(C433&lt;&gt;"",C433,IF(C432&lt;&gt;"",C432,IF(C431&lt;&gt;"",C431,0))))</f>
        <v/>
      </c>
      <c r="E434" s="12"/>
      <c r="F434" s="12"/>
      <c r="G434" s="9" t="str">
        <f>IF(AND(E434="",F434=""),"",IF(OR(E434&gt;1,F434&gt;1),(F434-E434)/100,F434-E434))</f>
        <v/>
      </c>
      <c r="H434" s="12" t="str">
        <f>IF(G434="","",64*G434)</f>
        <v/>
      </c>
      <c r="I434" s="13"/>
      <c r="J434" s="13" t="str">
        <f>IFERROR(IF(OR(D434="",D434=0),"",I434/D434*100),"")</f>
        <v/>
      </c>
      <c r="K434" s="14"/>
      <c r="L434" s="13" t="str">
        <f>IF(I434="","",I434*K434)</f>
        <v/>
      </c>
      <c r="M434" s="13" t="str">
        <f>IF(B434="","",IFERROR(SUMPRODUCT(ISNUMBER(B$3:B434)*(MONTH(IF(ISNUMBER(B$3:B434),B$3:B434,1))=MONTH(B434))*(YEAR(IF(ISNUMBER(B$3:B434),B$3:B434,1))=YEAR(B434))*IF(ISNUMBER(L$3:L434),L$3:L434,0)),""))</f>
        <v/>
      </c>
      <c r="N434" s="6"/>
      <c r="O434" s="7" t="str">
        <f>IF(AND(B434="",ISNUMBER(B435)),CHOOSE(MONTH(B435),"GENNAIO","FEBBRAIO","MARZO","APRILE","MAGGIO","GIUGNO","LUGLIO","AGOSTO","SETTEMBRE","OTTOBRE","NOVEMBRE","DICEMBRE")&amp;" "&amp;YEAR(B435),"")</f>
        <v/>
      </c>
      <c r="P434" s="12" t="str">
        <f>IF(K434=0.2,"CASA","")</f>
        <v/>
      </c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" customHeight="1" x14ac:dyDescent="0.2">
      <c r="A435" s="5" t="str">
        <f>IF(AND(B435="",ISNUMBER(B436)),CHOOSE(MONTH(B436),"GENNAIO","FEBBRAIO","MARZO","APRILE","MAGGIO","GIUGNO","LUGLIO","AGOSTO","SETTEMBRE","OTTOBRE","NOVEMBRE","DICEMBRE")&amp;" "&amp;YEAR(B436),"")</f>
        <v/>
      </c>
      <c r="B435" s="11"/>
      <c r="C435" s="12"/>
      <c r="D435" s="12" t="str">
        <f>IF(C435="","",C435-IF(C434&lt;&gt;"",C434,IF(C433&lt;&gt;"",C433,IF(C432&lt;&gt;"",C432,0))))</f>
        <v/>
      </c>
      <c r="E435" s="12"/>
      <c r="F435" s="12"/>
      <c r="G435" s="9" t="str">
        <f>IF(AND(E435="",F435=""),"",IF(OR(E435&gt;1,F435&gt;1),(F435-E435)/100,F435-E435))</f>
        <v/>
      </c>
      <c r="H435" s="12" t="str">
        <f>IF(G435="","",64*G435)</f>
        <v/>
      </c>
      <c r="I435" s="13"/>
      <c r="J435" s="13" t="str">
        <f>IFERROR(IF(OR(D435="",D435=0),"",I435/D435*100),"")</f>
        <v/>
      </c>
      <c r="K435" s="14"/>
      <c r="L435" s="13" t="str">
        <f>IF(I435="","",I435*K435)</f>
        <v/>
      </c>
      <c r="M435" s="13" t="str">
        <f>IF(B435="","",IFERROR(SUMPRODUCT(ISNUMBER(B$3:B435)*(MONTH(IF(ISNUMBER(B$3:B435),B$3:B435,1))=MONTH(B435))*(YEAR(IF(ISNUMBER(B$3:B435),B$3:B435,1))=YEAR(B435))*IF(ISNUMBER(L$3:L435),L$3:L435,0)),""))</f>
        <v/>
      </c>
      <c r="N435" s="6"/>
      <c r="O435" s="7" t="str">
        <f>IF(AND(B435="",ISNUMBER(B436)),CHOOSE(MONTH(B436),"GENNAIO","FEBBRAIO","MARZO","APRILE","MAGGIO","GIUGNO","LUGLIO","AGOSTO","SETTEMBRE","OTTOBRE","NOVEMBRE","DICEMBRE")&amp;" "&amp;YEAR(B436),"")</f>
        <v/>
      </c>
      <c r="P435" s="12" t="str">
        <f>IF(K435=0.2,"CASA","")</f>
        <v/>
      </c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" customHeight="1" x14ac:dyDescent="0.2">
      <c r="A436" s="5" t="str">
        <f>IF(AND(B436="",ISNUMBER(B437)),CHOOSE(MONTH(B437),"GENNAIO","FEBBRAIO","MARZO","APRILE","MAGGIO","GIUGNO","LUGLIO","AGOSTO","SETTEMBRE","OTTOBRE","NOVEMBRE","DICEMBRE")&amp;" "&amp;YEAR(B437),"")</f>
        <v/>
      </c>
      <c r="B436" s="11"/>
      <c r="C436" s="12"/>
      <c r="D436" s="12" t="str">
        <f>IF(C436="","",C436-IF(C435&lt;&gt;"",C435,IF(C434&lt;&gt;"",C434,IF(C433&lt;&gt;"",C433,0))))</f>
        <v/>
      </c>
      <c r="E436" s="12"/>
      <c r="F436" s="12"/>
      <c r="G436" s="9" t="str">
        <f>IF(AND(E436="",F436=""),"",IF(OR(E436&gt;1,F436&gt;1),(F436-E436)/100,F436-E436))</f>
        <v/>
      </c>
      <c r="H436" s="12" t="str">
        <f>IF(G436="","",64*G436)</f>
        <v/>
      </c>
      <c r="I436" s="13"/>
      <c r="J436" s="13" t="str">
        <f>IFERROR(IF(OR(D436="",D436=0),"",I436/D436*100),"")</f>
        <v/>
      </c>
      <c r="K436" s="14"/>
      <c r="L436" s="13" t="str">
        <f>IF(I436="","",I436*K436)</f>
        <v/>
      </c>
      <c r="M436" s="13" t="str">
        <f>IF(B436="","",IFERROR(SUMPRODUCT(ISNUMBER(B$3:B436)*(MONTH(IF(ISNUMBER(B$3:B436),B$3:B436,1))=MONTH(B436))*(YEAR(IF(ISNUMBER(B$3:B436),B$3:B436,1))=YEAR(B436))*IF(ISNUMBER(L$3:L436),L$3:L436,0)),""))</f>
        <v/>
      </c>
      <c r="N436" s="6"/>
      <c r="O436" s="7" t="str">
        <f>IF(AND(B436="",ISNUMBER(B437)),CHOOSE(MONTH(B437),"GENNAIO","FEBBRAIO","MARZO","APRILE","MAGGIO","GIUGNO","LUGLIO","AGOSTO","SETTEMBRE","OTTOBRE","NOVEMBRE","DICEMBRE")&amp;" "&amp;YEAR(B437),"")</f>
        <v/>
      </c>
      <c r="P436" s="12" t="str">
        <f>IF(K436=0.2,"CASA","")</f>
        <v/>
      </c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" customHeight="1" x14ac:dyDescent="0.2">
      <c r="A437" s="5" t="str">
        <f>IF(AND(B437="",ISNUMBER(B438)),CHOOSE(MONTH(B438),"GENNAIO","FEBBRAIO","MARZO","APRILE","MAGGIO","GIUGNO","LUGLIO","AGOSTO","SETTEMBRE","OTTOBRE","NOVEMBRE","DICEMBRE")&amp;" "&amp;YEAR(B438),"")</f>
        <v/>
      </c>
      <c r="B437" s="11"/>
      <c r="C437" s="12"/>
      <c r="D437" s="12" t="str">
        <f>IF(C437="","",C437-IF(C436&lt;&gt;"",C436,IF(C435&lt;&gt;"",C435,IF(C434&lt;&gt;"",C434,0))))</f>
        <v/>
      </c>
      <c r="E437" s="12"/>
      <c r="F437" s="12"/>
      <c r="G437" s="9" t="str">
        <f>IF(AND(E437="",F437=""),"",IF(OR(E437&gt;1,F437&gt;1),(F437-E437)/100,F437-E437))</f>
        <v/>
      </c>
      <c r="H437" s="12" t="str">
        <f>IF(G437="","",64*G437)</f>
        <v/>
      </c>
      <c r="I437" s="13"/>
      <c r="J437" s="13" t="str">
        <f>IFERROR(IF(OR(D437="",D437=0),"",I437/D437*100),"")</f>
        <v/>
      </c>
      <c r="K437" s="14"/>
      <c r="L437" s="13" t="str">
        <f>IF(I437="","",I437*K437)</f>
        <v/>
      </c>
      <c r="M437" s="13" t="str">
        <f>IF(B437="","",IFERROR(SUMPRODUCT(ISNUMBER(B$3:B437)*(MONTH(IF(ISNUMBER(B$3:B437),B$3:B437,1))=MONTH(B437))*(YEAR(IF(ISNUMBER(B$3:B437),B$3:B437,1))=YEAR(B437))*IF(ISNUMBER(L$3:L437),L$3:L437,0)),""))</f>
        <v/>
      </c>
      <c r="N437" s="6"/>
      <c r="O437" s="7" t="str">
        <f>IF(AND(B437="",ISNUMBER(B438)),CHOOSE(MONTH(B438),"GENNAIO","FEBBRAIO","MARZO","APRILE","MAGGIO","GIUGNO","LUGLIO","AGOSTO","SETTEMBRE","OTTOBRE","NOVEMBRE","DICEMBRE")&amp;" "&amp;YEAR(B438),"")</f>
        <v/>
      </c>
      <c r="P437" s="12" t="str">
        <f>IF(K437=0.2,"CASA","")</f>
        <v/>
      </c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" customHeight="1" x14ac:dyDescent="0.2">
      <c r="A438" s="5" t="str">
        <f>IF(AND(B438="",ISNUMBER(B439)),CHOOSE(MONTH(B439),"GENNAIO","FEBBRAIO","MARZO","APRILE","MAGGIO","GIUGNO","LUGLIO","AGOSTO","SETTEMBRE","OTTOBRE","NOVEMBRE","DICEMBRE")&amp;" "&amp;YEAR(B439),"")</f>
        <v/>
      </c>
      <c r="B438" s="11"/>
      <c r="C438" s="12"/>
      <c r="D438" s="12" t="str">
        <f>IF(C438="","",C438-IF(C437&lt;&gt;"",C437,IF(C436&lt;&gt;"",C436,IF(C435&lt;&gt;"",C435,0))))</f>
        <v/>
      </c>
      <c r="E438" s="12"/>
      <c r="F438" s="12"/>
      <c r="G438" s="9" t="str">
        <f>IF(AND(E438="",F438=""),"",IF(OR(E438&gt;1,F438&gt;1),(F438-E438)/100,F438-E438))</f>
        <v/>
      </c>
      <c r="H438" s="12" t="str">
        <f>IF(G438="","",64*G438)</f>
        <v/>
      </c>
      <c r="I438" s="13"/>
      <c r="J438" s="13" t="str">
        <f>IFERROR(IF(OR(D438="",D438=0),"",I438/D438*100),"")</f>
        <v/>
      </c>
      <c r="K438" s="14"/>
      <c r="L438" s="13" t="str">
        <f>IF(I438="","",I438*K438)</f>
        <v/>
      </c>
      <c r="M438" s="13" t="str">
        <f>IF(B438="","",IFERROR(SUMPRODUCT(ISNUMBER(B$3:B438)*(MONTH(IF(ISNUMBER(B$3:B438),B$3:B438,1))=MONTH(B438))*(YEAR(IF(ISNUMBER(B$3:B438),B$3:B438,1))=YEAR(B438))*IF(ISNUMBER(L$3:L438),L$3:L438,0)),""))</f>
        <v/>
      </c>
      <c r="N438" s="6"/>
      <c r="O438" s="7" t="str">
        <f>IF(AND(B438="",ISNUMBER(B439)),CHOOSE(MONTH(B439),"GENNAIO","FEBBRAIO","MARZO","APRILE","MAGGIO","GIUGNO","LUGLIO","AGOSTO","SETTEMBRE","OTTOBRE","NOVEMBRE","DICEMBRE")&amp;" "&amp;YEAR(B439),"")</f>
        <v/>
      </c>
      <c r="P438" s="12" t="str">
        <f>IF(K438=0.2,"CASA","")</f>
        <v/>
      </c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" customHeight="1" x14ac:dyDescent="0.2">
      <c r="A439" s="5" t="str">
        <f>IF(AND(B439="",ISNUMBER(B440)),CHOOSE(MONTH(B440),"GENNAIO","FEBBRAIO","MARZO","APRILE","MAGGIO","GIUGNO","LUGLIO","AGOSTO","SETTEMBRE","OTTOBRE","NOVEMBRE","DICEMBRE")&amp;" "&amp;YEAR(B440),"")</f>
        <v/>
      </c>
      <c r="B439" s="11"/>
      <c r="C439" s="12"/>
      <c r="D439" s="12" t="str">
        <f>IF(C439="","",C439-IF(C438&lt;&gt;"",C438,IF(C437&lt;&gt;"",C437,IF(C436&lt;&gt;"",C436,0))))</f>
        <v/>
      </c>
      <c r="E439" s="12"/>
      <c r="F439" s="12"/>
      <c r="G439" s="9" t="str">
        <f>IF(AND(E439="",F439=""),"",IF(OR(E439&gt;1,F439&gt;1),(F439-E439)/100,F439-E439))</f>
        <v/>
      </c>
      <c r="H439" s="12" t="str">
        <f>IF(G439="","",64*G439)</f>
        <v/>
      </c>
      <c r="I439" s="13"/>
      <c r="J439" s="13" t="str">
        <f>IFERROR(IF(OR(D439="",D439=0),"",I439/D439*100),"")</f>
        <v/>
      </c>
      <c r="K439" s="14"/>
      <c r="L439" s="13" t="str">
        <f>IF(I439="","",I439*K439)</f>
        <v/>
      </c>
      <c r="M439" s="13" t="str">
        <f>IF(B439="","",IFERROR(SUMPRODUCT(ISNUMBER(B$3:B439)*(MONTH(IF(ISNUMBER(B$3:B439),B$3:B439,1))=MONTH(B439))*(YEAR(IF(ISNUMBER(B$3:B439),B$3:B439,1))=YEAR(B439))*IF(ISNUMBER(L$3:L439),L$3:L439,0)),""))</f>
        <v/>
      </c>
      <c r="N439" s="6"/>
      <c r="O439" s="7" t="str">
        <f>IF(AND(B439="",ISNUMBER(B440)),CHOOSE(MONTH(B440),"GENNAIO","FEBBRAIO","MARZO","APRILE","MAGGIO","GIUGNO","LUGLIO","AGOSTO","SETTEMBRE","OTTOBRE","NOVEMBRE","DICEMBRE")&amp;" "&amp;YEAR(B440),"")</f>
        <v/>
      </c>
      <c r="P439" s="12" t="str">
        <f>IF(K439=0.2,"CASA","")</f>
        <v/>
      </c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" customHeight="1" x14ac:dyDescent="0.2">
      <c r="A440" s="5" t="str">
        <f>IF(AND(B440="",ISNUMBER(B441)),CHOOSE(MONTH(B441),"GENNAIO","FEBBRAIO","MARZO","APRILE","MAGGIO","GIUGNO","LUGLIO","AGOSTO","SETTEMBRE","OTTOBRE","NOVEMBRE","DICEMBRE")&amp;" "&amp;YEAR(B441),"")</f>
        <v/>
      </c>
      <c r="B440" s="11"/>
      <c r="C440" s="12"/>
      <c r="D440" s="12" t="str">
        <f>IF(C440="","",C440-IF(C439&lt;&gt;"",C439,IF(C438&lt;&gt;"",C438,IF(C437&lt;&gt;"",C437,0))))</f>
        <v/>
      </c>
      <c r="E440" s="12"/>
      <c r="F440" s="12"/>
      <c r="G440" s="9" t="str">
        <f>IF(AND(E440="",F440=""),"",IF(OR(E440&gt;1,F440&gt;1),(F440-E440)/100,F440-E440))</f>
        <v/>
      </c>
      <c r="H440" s="12" t="str">
        <f>IF(G440="","",64*G440)</f>
        <v/>
      </c>
      <c r="I440" s="13"/>
      <c r="J440" s="13" t="str">
        <f>IFERROR(IF(OR(D440="",D440=0),"",I440/D440*100),"")</f>
        <v/>
      </c>
      <c r="K440" s="14"/>
      <c r="L440" s="13" t="str">
        <f>IF(I440="","",I440*K440)</f>
        <v/>
      </c>
      <c r="M440" s="13" t="str">
        <f>IF(B440="","",IFERROR(SUMPRODUCT(ISNUMBER(B$3:B440)*(MONTH(IF(ISNUMBER(B$3:B440),B$3:B440,1))=MONTH(B440))*(YEAR(IF(ISNUMBER(B$3:B440),B$3:B440,1))=YEAR(B440))*IF(ISNUMBER(L$3:L440),L$3:L440,0)),""))</f>
        <v/>
      </c>
      <c r="N440" s="6"/>
      <c r="O440" s="7" t="str">
        <f>IF(AND(B440="",ISNUMBER(B441)),CHOOSE(MONTH(B441),"GENNAIO","FEBBRAIO","MARZO","APRILE","MAGGIO","GIUGNO","LUGLIO","AGOSTO","SETTEMBRE","OTTOBRE","NOVEMBRE","DICEMBRE")&amp;" "&amp;YEAR(B441),"")</f>
        <v/>
      </c>
      <c r="P440" s="12" t="str">
        <f>IF(K440=0.2,"CASA","")</f>
        <v/>
      </c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" customHeight="1" x14ac:dyDescent="0.2">
      <c r="A441" s="5" t="str">
        <f>IF(AND(B441="",ISNUMBER(B442)),CHOOSE(MONTH(B442),"GENNAIO","FEBBRAIO","MARZO","APRILE","MAGGIO","GIUGNO","LUGLIO","AGOSTO","SETTEMBRE","OTTOBRE","NOVEMBRE","DICEMBRE")&amp;" "&amp;YEAR(B442),"")</f>
        <v/>
      </c>
      <c r="B441" s="11"/>
      <c r="C441" s="12"/>
      <c r="D441" s="12" t="str">
        <f>IF(C441="","",C441-IF(C440&lt;&gt;"",C440,IF(C439&lt;&gt;"",C439,IF(C438&lt;&gt;"",C438,0))))</f>
        <v/>
      </c>
      <c r="E441" s="12"/>
      <c r="F441" s="12"/>
      <c r="G441" s="9" t="str">
        <f>IF(AND(E441="",F441=""),"",IF(OR(E441&gt;1,F441&gt;1),(F441-E441)/100,F441-E441))</f>
        <v/>
      </c>
      <c r="H441" s="12" t="str">
        <f>IF(G441="","",64*G441)</f>
        <v/>
      </c>
      <c r="I441" s="13"/>
      <c r="J441" s="13" t="str">
        <f>IFERROR(IF(OR(D441="",D441=0),"",I441/D441*100),"")</f>
        <v/>
      </c>
      <c r="K441" s="14"/>
      <c r="L441" s="13" t="str">
        <f>IF(I441="","",I441*K441)</f>
        <v/>
      </c>
      <c r="M441" s="13" t="str">
        <f>IF(B441="","",IFERROR(SUMPRODUCT(ISNUMBER(B$3:B441)*(MONTH(IF(ISNUMBER(B$3:B441),B$3:B441,1))=MONTH(B441))*(YEAR(IF(ISNUMBER(B$3:B441),B$3:B441,1))=YEAR(B441))*IF(ISNUMBER(L$3:L441),L$3:L441,0)),""))</f>
        <v/>
      </c>
      <c r="N441" s="6"/>
      <c r="O441" s="7" t="str">
        <f>IF(AND(B441="",ISNUMBER(B442)),CHOOSE(MONTH(B442),"GENNAIO","FEBBRAIO","MARZO","APRILE","MAGGIO","GIUGNO","LUGLIO","AGOSTO","SETTEMBRE","OTTOBRE","NOVEMBRE","DICEMBRE")&amp;" "&amp;YEAR(B442),"")</f>
        <v/>
      </c>
      <c r="P441" s="12" t="str">
        <f>IF(K441=0.2,"CASA","")</f>
        <v/>
      </c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" customHeight="1" x14ac:dyDescent="0.2">
      <c r="A442" s="5" t="str">
        <f>IF(AND(B442="",ISNUMBER(B443)),CHOOSE(MONTH(B443),"GENNAIO","FEBBRAIO","MARZO","APRILE","MAGGIO","GIUGNO","LUGLIO","AGOSTO","SETTEMBRE","OTTOBRE","NOVEMBRE","DICEMBRE")&amp;" "&amp;YEAR(B443),"")</f>
        <v/>
      </c>
      <c r="B442" s="11"/>
      <c r="C442" s="12"/>
      <c r="D442" s="12" t="str">
        <f>IF(C442="","",C442-IF(C441&lt;&gt;"",C441,IF(C440&lt;&gt;"",C440,IF(C439&lt;&gt;"",C439,0))))</f>
        <v/>
      </c>
      <c r="E442" s="12"/>
      <c r="F442" s="12"/>
      <c r="G442" s="9" t="str">
        <f>IF(AND(E442="",F442=""),"",IF(OR(E442&gt;1,F442&gt;1),(F442-E442)/100,F442-E442))</f>
        <v/>
      </c>
      <c r="H442" s="12" t="str">
        <f>IF(G442="","",64*G442)</f>
        <v/>
      </c>
      <c r="I442" s="13"/>
      <c r="J442" s="13" t="str">
        <f>IFERROR(IF(OR(D442="",D442=0),"",I442/D442*100),"")</f>
        <v/>
      </c>
      <c r="K442" s="14"/>
      <c r="L442" s="13" t="str">
        <f>IF(I442="","",I442*K442)</f>
        <v/>
      </c>
      <c r="M442" s="13" t="str">
        <f>IF(B442="","",IFERROR(SUMPRODUCT(ISNUMBER(B$3:B442)*(MONTH(IF(ISNUMBER(B$3:B442),B$3:B442,1))=MONTH(B442))*(YEAR(IF(ISNUMBER(B$3:B442),B$3:B442,1))=YEAR(B442))*IF(ISNUMBER(L$3:L442),L$3:L442,0)),""))</f>
        <v/>
      </c>
      <c r="N442" s="6"/>
      <c r="O442" s="7" t="str">
        <f>IF(AND(B442="",ISNUMBER(B443)),CHOOSE(MONTH(B443),"GENNAIO","FEBBRAIO","MARZO","APRILE","MAGGIO","GIUGNO","LUGLIO","AGOSTO","SETTEMBRE","OTTOBRE","NOVEMBRE","DICEMBRE")&amp;" "&amp;YEAR(B443),"")</f>
        <v/>
      </c>
      <c r="P442" s="12" t="str">
        <f>IF(K442=0.2,"CASA","")</f>
        <v/>
      </c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" customHeight="1" x14ac:dyDescent="0.2">
      <c r="A443" s="5" t="str">
        <f>IF(AND(B443="",ISNUMBER(B444)),CHOOSE(MONTH(B444),"GENNAIO","FEBBRAIO","MARZO","APRILE","MAGGIO","GIUGNO","LUGLIO","AGOSTO","SETTEMBRE","OTTOBRE","NOVEMBRE","DICEMBRE")&amp;" "&amp;YEAR(B444),"")</f>
        <v/>
      </c>
      <c r="B443" s="11"/>
      <c r="C443" s="12"/>
      <c r="D443" s="12" t="str">
        <f>IF(C443="","",C443-IF(C442&lt;&gt;"",C442,IF(C441&lt;&gt;"",C441,IF(C440&lt;&gt;"",C440,0))))</f>
        <v/>
      </c>
      <c r="E443" s="12"/>
      <c r="F443" s="12"/>
      <c r="G443" s="9" t="str">
        <f>IF(AND(E443="",F443=""),"",IF(OR(E443&gt;1,F443&gt;1),(F443-E443)/100,F443-E443))</f>
        <v/>
      </c>
      <c r="H443" s="12" t="str">
        <f>IF(G443="","",64*G443)</f>
        <v/>
      </c>
      <c r="I443" s="13"/>
      <c r="J443" s="13" t="str">
        <f>IFERROR(IF(OR(D443="",D443=0),"",I443/D443*100),"")</f>
        <v/>
      </c>
      <c r="K443" s="14"/>
      <c r="L443" s="13" t="str">
        <f>IF(I443="","",I443*K443)</f>
        <v/>
      </c>
      <c r="M443" s="13" t="str">
        <f>IF(B443="","",IFERROR(SUMPRODUCT(ISNUMBER(B$3:B443)*(MONTH(IF(ISNUMBER(B$3:B443),B$3:B443,1))=MONTH(B443))*(YEAR(IF(ISNUMBER(B$3:B443),B$3:B443,1))=YEAR(B443))*IF(ISNUMBER(L$3:L443),L$3:L443,0)),""))</f>
        <v/>
      </c>
      <c r="N443" s="6"/>
      <c r="O443" s="7" t="str">
        <f>IF(AND(B443="",ISNUMBER(B444)),CHOOSE(MONTH(B444),"GENNAIO","FEBBRAIO","MARZO","APRILE","MAGGIO","GIUGNO","LUGLIO","AGOSTO","SETTEMBRE","OTTOBRE","NOVEMBRE","DICEMBRE")&amp;" "&amp;YEAR(B444),"")</f>
        <v/>
      </c>
      <c r="P443" s="12" t="str">
        <f>IF(K443=0.2,"CASA","")</f>
        <v/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" customHeight="1" x14ac:dyDescent="0.2">
      <c r="A444" s="5" t="str">
        <f>IF(AND(B444="",ISNUMBER(B445)),CHOOSE(MONTH(B445),"GENNAIO","FEBBRAIO","MARZO","APRILE","MAGGIO","GIUGNO","LUGLIO","AGOSTO","SETTEMBRE","OTTOBRE","NOVEMBRE","DICEMBRE")&amp;" "&amp;YEAR(B445),"")</f>
        <v/>
      </c>
      <c r="B444" s="11"/>
      <c r="C444" s="12"/>
      <c r="D444" s="12" t="str">
        <f>IF(C444="","",C444-IF(C443&lt;&gt;"",C443,IF(C442&lt;&gt;"",C442,IF(C441&lt;&gt;"",C441,0))))</f>
        <v/>
      </c>
      <c r="E444" s="12"/>
      <c r="F444" s="12"/>
      <c r="G444" s="9" t="str">
        <f>IF(AND(E444="",F444=""),"",IF(OR(E444&gt;1,F444&gt;1),(F444-E444)/100,F444-E444))</f>
        <v/>
      </c>
      <c r="H444" s="12" t="str">
        <f>IF(G444="","",64*G444)</f>
        <v/>
      </c>
      <c r="I444" s="13"/>
      <c r="J444" s="13" t="str">
        <f>IFERROR(IF(OR(D444="",D444=0),"",I444/D444*100),"")</f>
        <v/>
      </c>
      <c r="K444" s="14"/>
      <c r="L444" s="13" t="str">
        <f>IF(I444="","",I444*K444)</f>
        <v/>
      </c>
      <c r="M444" s="13" t="str">
        <f>IF(B444="","",IFERROR(SUMPRODUCT(ISNUMBER(B$3:B444)*(MONTH(IF(ISNUMBER(B$3:B444),B$3:B444,1))=MONTH(B444))*(YEAR(IF(ISNUMBER(B$3:B444),B$3:B444,1))=YEAR(B444))*IF(ISNUMBER(L$3:L444),L$3:L444,0)),""))</f>
        <v/>
      </c>
      <c r="N444" s="6"/>
      <c r="O444" s="7" t="str">
        <f>IF(AND(B444="",ISNUMBER(B445)),CHOOSE(MONTH(B445),"GENNAIO","FEBBRAIO","MARZO","APRILE","MAGGIO","GIUGNO","LUGLIO","AGOSTO","SETTEMBRE","OTTOBRE","NOVEMBRE","DICEMBRE")&amp;" "&amp;YEAR(B445),"")</f>
        <v/>
      </c>
      <c r="P444" s="12" t="str">
        <f>IF(K444=0.2,"CASA","")</f>
        <v/>
      </c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" customHeight="1" x14ac:dyDescent="0.2">
      <c r="A445" s="5" t="str">
        <f>IF(AND(B445="",ISNUMBER(B446)),CHOOSE(MONTH(B446),"GENNAIO","FEBBRAIO","MARZO","APRILE","MAGGIO","GIUGNO","LUGLIO","AGOSTO","SETTEMBRE","OTTOBRE","NOVEMBRE","DICEMBRE")&amp;" "&amp;YEAR(B446),"")</f>
        <v/>
      </c>
      <c r="B445" s="11"/>
      <c r="C445" s="12"/>
      <c r="D445" s="12" t="str">
        <f>IF(C445="","",C445-IF(C444&lt;&gt;"",C444,IF(C443&lt;&gt;"",C443,IF(C442&lt;&gt;"",C442,0))))</f>
        <v/>
      </c>
      <c r="E445" s="12"/>
      <c r="F445" s="12"/>
      <c r="G445" s="9" t="str">
        <f>IF(AND(E445="",F445=""),"",IF(OR(E445&gt;1,F445&gt;1),(F445-E445)/100,F445-E445))</f>
        <v/>
      </c>
      <c r="H445" s="12" t="str">
        <f>IF(G445="","",64*G445)</f>
        <v/>
      </c>
      <c r="I445" s="13"/>
      <c r="J445" s="13" t="str">
        <f>IFERROR(IF(OR(D445="",D445=0),"",I445/D445*100),"")</f>
        <v/>
      </c>
      <c r="K445" s="14"/>
      <c r="L445" s="13" t="str">
        <f>IF(I445="","",I445*K445)</f>
        <v/>
      </c>
      <c r="M445" s="13" t="str">
        <f>IF(B445="","",IFERROR(SUMPRODUCT(ISNUMBER(B$3:B445)*(MONTH(IF(ISNUMBER(B$3:B445),B$3:B445,1))=MONTH(B445))*(YEAR(IF(ISNUMBER(B$3:B445),B$3:B445,1))=YEAR(B445))*IF(ISNUMBER(L$3:L445),L$3:L445,0)),""))</f>
        <v/>
      </c>
      <c r="N445" s="6"/>
      <c r="O445" s="7" t="str">
        <f>IF(AND(B445="",ISNUMBER(B446)),CHOOSE(MONTH(B446),"GENNAIO","FEBBRAIO","MARZO","APRILE","MAGGIO","GIUGNO","LUGLIO","AGOSTO","SETTEMBRE","OTTOBRE","NOVEMBRE","DICEMBRE")&amp;" "&amp;YEAR(B446),"")</f>
        <v/>
      </c>
      <c r="P445" s="12" t="str">
        <f>IF(K445=0.2,"CASA","")</f>
        <v/>
      </c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" customHeight="1" x14ac:dyDescent="0.2">
      <c r="A446" s="5" t="str">
        <f>IF(AND(B446="",ISNUMBER(B447)),CHOOSE(MONTH(B447),"GENNAIO","FEBBRAIO","MARZO","APRILE","MAGGIO","GIUGNO","LUGLIO","AGOSTO","SETTEMBRE","OTTOBRE","NOVEMBRE","DICEMBRE")&amp;" "&amp;YEAR(B447),"")</f>
        <v/>
      </c>
      <c r="B446" s="11"/>
      <c r="C446" s="12"/>
      <c r="D446" s="12" t="str">
        <f>IF(C446="","",C446-IF(C445&lt;&gt;"",C445,IF(C444&lt;&gt;"",C444,IF(C443&lt;&gt;"",C443,0))))</f>
        <v/>
      </c>
      <c r="E446" s="12"/>
      <c r="F446" s="12"/>
      <c r="G446" s="9" t="str">
        <f>IF(AND(E446="",F446=""),"",IF(OR(E446&gt;1,F446&gt;1),(F446-E446)/100,F446-E446))</f>
        <v/>
      </c>
      <c r="H446" s="12" t="str">
        <f>IF(G446="","",64*G446)</f>
        <v/>
      </c>
      <c r="I446" s="13"/>
      <c r="J446" s="13" t="str">
        <f>IFERROR(IF(OR(D446="",D446=0),"",I446/D446*100),"")</f>
        <v/>
      </c>
      <c r="K446" s="14"/>
      <c r="L446" s="13" t="str">
        <f>IF(I446="","",I446*K446)</f>
        <v/>
      </c>
      <c r="M446" s="13" t="str">
        <f>IF(B446="","",IFERROR(SUMPRODUCT(ISNUMBER(B$3:B446)*(MONTH(IF(ISNUMBER(B$3:B446),B$3:B446,1))=MONTH(B446))*(YEAR(IF(ISNUMBER(B$3:B446),B$3:B446,1))=YEAR(B446))*IF(ISNUMBER(L$3:L446),L$3:L446,0)),""))</f>
        <v/>
      </c>
      <c r="N446" s="6"/>
      <c r="O446" s="7" t="str">
        <f>IF(AND(B446="",ISNUMBER(B447)),CHOOSE(MONTH(B447),"GENNAIO","FEBBRAIO","MARZO","APRILE","MAGGIO","GIUGNO","LUGLIO","AGOSTO","SETTEMBRE","OTTOBRE","NOVEMBRE","DICEMBRE")&amp;" "&amp;YEAR(B447),"")</f>
        <v/>
      </c>
      <c r="P446" s="12" t="str">
        <f>IF(K446=0.2,"CASA","")</f>
        <v/>
      </c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" customHeight="1" x14ac:dyDescent="0.2">
      <c r="A447" s="5" t="str">
        <f>IF(AND(B447="",ISNUMBER(B448)),CHOOSE(MONTH(B448),"GENNAIO","FEBBRAIO","MARZO","APRILE","MAGGIO","GIUGNO","LUGLIO","AGOSTO","SETTEMBRE","OTTOBRE","NOVEMBRE","DICEMBRE")&amp;" "&amp;YEAR(B448),"")</f>
        <v/>
      </c>
      <c r="B447" s="11"/>
      <c r="C447" s="12"/>
      <c r="D447" s="12" t="str">
        <f>IF(C447="","",C447-IF(C446&lt;&gt;"",C446,IF(C445&lt;&gt;"",C445,IF(C444&lt;&gt;"",C444,0))))</f>
        <v/>
      </c>
      <c r="E447" s="12"/>
      <c r="F447" s="12"/>
      <c r="G447" s="9" t="str">
        <f>IF(AND(E447="",F447=""),"",IF(OR(E447&gt;1,F447&gt;1),(F447-E447)/100,F447-E447))</f>
        <v/>
      </c>
      <c r="H447" s="12" t="str">
        <f>IF(G447="","",64*G447)</f>
        <v/>
      </c>
      <c r="I447" s="13"/>
      <c r="J447" s="13" t="str">
        <f>IFERROR(IF(OR(D447="",D447=0),"",I447/D447*100),"")</f>
        <v/>
      </c>
      <c r="K447" s="14"/>
      <c r="L447" s="13" t="str">
        <f>IF(I447="","",I447*K447)</f>
        <v/>
      </c>
      <c r="M447" s="13" t="str">
        <f>IF(B447="","",IFERROR(SUMPRODUCT(ISNUMBER(B$3:B447)*(MONTH(IF(ISNUMBER(B$3:B447),B$3:B447,1))=MONTH(B447))*(YEAR(IF(ISNUMBER(B$3:B447),B$3:B447,1))=YEAR(B447))*IF(ISNUMBER(L$3:L447),L$3:L447,0)),""))</f>
        <v/>
      </c>
      <c r="N447" s="6"/>
      <c r="O447" s="7" t="str">
        <f>IF(AND(B447="",ISNUMBER(B448)),CHOOSE(MONTH(B448),"GENNAIO","FEBBRAIO","MARZO","APRILE","MAGGIO","GIUGNO","LUGLIO","AGOSTO","SETTEMBRE","OTTOBRE","NOVEMBRE","DICEMBRE")&amp;" "&amp;YEAR(B448),"")</f>
        <v/>
      </c>
      <c r="P447" s="12" t="str">
        <f>IF(K447=0.2,"CASA","")</f>
        <v/>
      </c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" customHeight="1" x14ac:dyDescent="0.2">
      <c r="A448" s="5" t="str">
        <f>IF(AND(B448="",ISNUMBER(B449)),CHOOSE(MONTH(B449),"GENNAIO","FEBBRAIO","MARZO","APRILE","MAGGIO","GIUGNO","LUGLIO","AGOSTO","SETTEMBRE","OTTOBRE","NOVEMBRE","DICEMBRE")&amp;" "&amp;YEAR(B449),"")</f>
        <v/>
      </c>
      <c r="B448" s="11"/>
      <c r="C448" s="12"/>
      <c r="D448" s="12" t="str">
        <f>IF(C448="","",C448-IF(C447&lt;&gt;"",C447,IF(C446&lt;&gt;"",C446,IF(C445&lt;&gt;"",C445,0))))</f>
        <v/>
      </c>
      <c r="E448" s="12"/>
      <c r="F448" s="12"/>
      <c r="G448" s="9" t="str">
        <f>IF(AND(E448="",F448=""),"",IF(OR(E448&gt;1,F448&gt;1),(F448-E448)/100,F448-E448))</f>
        <v/>
      </c>
      <c r="H448" s="12" t="str">
        <f>IF(G448="","",64*G448)</f>
        <v/>
      </c>
      <c r="I448" s="13"/>
      <c r="J448" s="13" t="str">
        <f>IFERROR(IF(OR(D448="",D448=0),"",I448/D448*100),"")</f>
        <v/>
      </c>
      <c r="K448" s="14"/>
      <c r="L448" s="13" t="str">
        <f>IF(I448="","",I448*K448)</f>
        <v/>
      </c>
      <c r="M448" s="13" t="str">
        <f>IF(B448="","",IFERROR(SUMPRODUCT(ISNUMBER(B$3:B448)*(MONTH(IF(ISNUMBER(B$3:B448),B$3:B448,1))=MONTH(B448))*(YEAR(IF(ISNUMBER(B$3:B448),B$3:B448,1))=YEAR(B448))*IF(ISNUMBER(L$3:L448),L$3:L448,0)),""))</f>
        <v/>
      </c>
      <c r="N448" s="6"/>
      <c r="O448" s="7" t="str">
        <f>IF(AND(B448="",ISNUMBER(B449)),CHOOSE(MONTH(B449),"GENNAIO","FEBBRAIO","MARZO","APRILE","MAGGIO","GIUGNO","LUGLIO","AGOSTO","SETTEMBRE","OTTOBRE","NOVEMBRE","DICEMBRE")&amp;" "&amp;YEAR(B449),"")</f>
        <v/>
      </c>
      <c r="P448" s="12" t="str">
        <f>IF(K448=0.2,"CASA","")</f>
        <v/>
      </c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" customHeight="1" x14ac:dyDescent="0.2">
      <c r="A449" s="5" t="str">
        <f>IF(AND(B449="",ISNUMBER(B450)),CHOOSE(MONTH(B450),"GENNAIO","FEBBRAIO","MARZO","APRILE","MAGGIO","GIUGNO","LUGLIO","AGOSTO","SETTEMBRE","OTTOBRE","NOVEMBRE","DICEMBRE")&amp;" "&amp;YEAR(B450),"")</f>
        <v/>
      </c>
      <c r="B449" s="11"/>
      <c r="C449" s="12"/>
      <c r="D449" s="12" t="str">
        <f>IF(C449="","",C449-IF(C448&lt;&gt;"",C448,IF(C447&lt;&gt;"",C447,IF(C446&lt;&gt;"",C446,0))))</f>
        <v/>
      </c>
      <c r="E449" s="12"/>
      <c r="F449" s="12"/>
      <c r="G449" s="9" t="str">
        <f>IF(AND(E449="",F449=""),"",IF(OR(E449&gt;1,F449&gt;1),(F449-E449)/100,F449-E449))</f>
        <v/>
      </c>
      <c r="H449" s="12" t="str">
        <f>IF(G449="","",64*G449)</f>
        <v/>
      </c>
      <c r="I449" s="13"/>
      <c r="J449" s="13" t="str">
        <f>IFERROR(IF(OR(D449="",D449=0),"",I449/D449*100),"")</f>
        <v/>
      </c>
      <c r="K449" s="14"/>
      <c r="L449" s="13" t="str">
        <f>IF(I449="","",I449*K449)</f>
        <v/>
      </c>
      <c r="M449" s="13" t="str">
        <f>IF(B449="","",IFERROR(SUMPRODUCT(ISNUMBER(B$3:B449)*(MONTH(IF(ISNUMBER(B$3:B449),B$3:B449,1))=MONTH(B449))*(YEAR(IF(ISNUMBER(B$3:B449),B$3:B449,1))=YEAR(B449))*IF(ISNUMBER(L$3:L449),L$3:L449,0)),""))</f>
        <v/>
      </c>
      <c r="N449" s="6"/>
      <c r="O449" s="7" t="str">
        <f>IF(AND(B449="",ISNUMBER(B450)),CHOOSE(MONTH(B450),"GENNAIO","FEBBRAIO","MARZO","APRILE","MAGGIO","GIUGNO","LUGLIO","AGOSTO","SETTEMBRE","OTTOBRE","NOVEMBRE","DICEMBRE")&amp;" "&amp;YEAR(B450),"")</f>
        <v/>
      </c>
      <c r="P449" s="12" t="str">
        <f>IF(K449=0.2,"CASA","")</f>
        <v/>
      </c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" customHeight="1" x14ac:dyDescent="0.2">
      <c r="A450" s="5" t="str">
        <f>IF(AND(B450="",ISNUMBER(B451)),CHOOSE(MONTH(B451),"GENNAIO","FEBBRAIO","MARZO","APRILE","MAGGIO","GIUGNO","LUGLIO","AGOSTO","SETTEMBRE","OTTOBRE","NOVEMBRE","DICEMBRE")&amp;" "&amp;YEAR(B451),"")</f>
        <v/>
      </c>
      <c r="B450" s="11"/>
      <c r="C450" s="12"/>
      <c r="D450" s="12" t="str">
        <f>IF(C450="","",C450-IF(C449&lt;&gt;"",C449,IF(C448&lt;&gt;"",C448,IF(C447&lt;&gt;"",C447,0))))</f>
        <v/>
      </c>
      <c r="E450" s="12"/>
      <c r="F450" s="12"/>
      <c r="G450" s="9" t="str">
        <f>IF(AND(E450="",F450=""),"",IF(OR(E450&gt;1,F450&gt;1),(F450-E450)/100,F450-E450))</f>
        <v/>
      </c>
      <c r="H450" s="12" t="str">
        <f>IF(G450="","",64*G450)</f>
        <v/>
      </c>
      <c r="I450" s="13"/>
      <c r="J450" s="13" t="str">
        <f>IFERROR(IF(OR(D450="",D450=0),"",I450/D450*100),"")</f>
        <v/>
      </c>
      <c r="K450" s="14"/>
      <c r="L450" s="13" t="str">
        <f>IF(I450="","",I450*K450)</f>
        <v/>
      </c>
      <c r="M450" s="13" t="str">
        <f>IF(B450="","",IFERROR(SUMPRODUCT(ISNUMBER(B$3:B450)*(MONTH(IF(ISNUMBER(B$3:B450),B$3:B450,1))=MONTH(B450))*(YEAR(IF(ISNUMBER(B$3:B450),B$3:B450,1))=YEAR(B450))*IF(ISNUMBER(L$3:L450),L$3:L450,0)),""))</f>
        <v/>
      </c>
      <c r="N450" s="6"/>
      <c r="O450" s="7" t="str">
        <f>IF(AND(B450="",ISNUMBER(B451)),CHOOSE(MONTH(B451),"GENNAIO","FEBBRAIO","MARZO","APRILE","MAGGIO","GIUGNO","LUGLIO","AGOSTO","SETTEMBRE","OTTOBRE","NOVEMBRE","DICEMBRE")&amp;" "&amp;YEAR(B451),"")</f>
        <v/>
      </c>
      <c r="P450" s="12" t="str">
        <f>IF(K450=0.2,"CASA","")</f>
        <v/>
      </c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" customHeight="1" x14ac:dyDescent="0.2">
      <c r="A451" s="5" t="str">
        <f>IF(AND(B451="",ISNUMBER(B452)),CHOOSE(MONTH(B452),"GENNAIO","FEBBRAIO","MARZO","APRILE","MAGGIO","GIUGNO","LUGLIO","AGOSTO","SETTEMBRE","OTTOBRE","NOVEMBRE","DICEMBRE")&amp;" "&amp;YEAR(B452),"")</f>
        <v/>
      </c>
      <c r="B451" s="11"/>
      <c r="C451" s="12"/>
      <c r="D451" s="12" t="str">
        <f>IF(C451="","",C451-IF(C450&lt;&gt;"",C450,IF(C449&lt;&gt;"",C449,IF(C448&lt;&gt;"",C448,0))))</f>
        <v/>
      </c>
      <c r="E451" s="12"/>
      <c r="F451" s="12"/>
      <c r="G451" s="9" t="str">
        <f>IF(AND(E451="",F451=""),"",IF(OR(E451&gt;1,F451&gt;1),(F451-E451)/100,F451-E451))</f>
        <v/>
      </c>
      <c r="H451" s="12" t="str">
        <f>IF(G451="","",64*G451)</f>
        <v/>
      </c>
      <c r="I451" s="13"/>
      <c r="J451" s="13" t="str">
        <f>IFERROR(IF(OR(D451="",D451=0),"",I451/D451*100),"")</f>
        <v/>
      </c>
      <c r="K451" s="14"/>
      <c r="L451" s="13" t="str">
        <f>IF(I451="","",I451*K451)</f>
        <v/>
      </c>
      <c r="M451" s="13" t="str">
        <f>IF(B451="","",IFERROR(SUMPRODUCT(ISNUMBER(B$3:B451)*(MONTH(IF(ISNUMBER(B$3:B451),B$3:B451,1))=MONTH(B451))*(YEAR(IF(ISNUMBER(B$3:B451),B$3:B451,1))=YEAR(B451))*IF(ISNUMBER(L$3:L451),L$3:L451,0)),""))</f>
        <v/>
      </c>
      <c r="N451" s="6"/>
      <c r="O451" s="7" t="str">
        <f>IF(AND(B451="",ISNUMBER(B452)),CHOOSE(MONTH(B452),"GENNAIO","FEBBRAIO","MARZO","APRILE","MAGGIO","GIUGNO","LUGLIO","AGOSTO","SETTEMBRE","OTTOBRE","NOVEMBRE","DICEMBRE")&amp;" "&amp;YEAR(B452),"")</f>
        <v/>
      </c>
      <c r="P451" s="12" t="str">
        <f>IF(K451=0.2,"CASA","")</f>
        <v/>
      </c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" customHeight="1" x14ac:dyDescent="0.2">
      <c r="A452" s="5" t="str">
        <f>IF(AND(B452="",ISNUMBER(B453)),CHOOSE(MONTH(B453),"GENNAIO","FEBBRAIO","MARZO","APRILE","MAGGIO","GIUGNO","LUGLIO","AGOSTO","SETTEMBRE","OTTOBRE","NOVEMBRE","DICEMBRE")&amp;" "&amp;YEAR(B453),"")</f>
        <v/>
      </c>
      <c r="B452" s="11"/>
      <c r="C452" s="12"/>
      <c r="D452" s="12" t="str">
        <f>IF(C452="","",C452-IF(C451&lt;&gt;"",C451,IF(C450&lt;&gt;"",C450,IF(C449&lt;&gt;"",C449,0))))</f>
        <v/>
      </c>
      <c r="E452" s="12"/>
      <c r="F452" s="12"/>
      <c r="G452" s="9" t="str">
        <f>IF(AND(E452="",F452=""),"",IF(OR(E452&gt;1,F452&gt;1),(F452-E452)/100,F452-E452))</f>
        <v/>
      </c>
      <c r="H452" s="12" t="str">
        <f>IF(G452="","",64*G452)</f>
        <v/>
      </c>
      <c r="I452" s="13"/>
      <c r="J452" s="13" t="str">
        <f>IFERROR(IF(OR(D452="",D452=0),"",I452/D452*100),"")</f>
        <v/>
      </c>
      <c r="K452" s="14"/>
      <c r="L452" s="13" t="str">
        <f>IF(I452="","",I452*K452)</f>
        <v/>
      </c>
      <c r="M452" s="13" t="str">
        <f>IF(B452="","",IFERROR(SUMPRODUCT(ISNUMBER(B$3:B452)*(MONTH(IF(ISNUMBER(B$3:B452),B$3:B452,1))=MONTH(B452))*(YEAR(IF(ISNUMBER(B$3:B452),B$3:B452,1))=YEAR(B452))*IF(ISNUMBER(L$3:L452),L$3:L452,0)),""))</f>
        <v/>
      </c>
      <c r="N452" s="6"/>
      <c r="O452" s="7" t="str">
        <f>IF(AND(B452="",ISNUMBER(B453)),CHOOSE(MONTH(B453),"GENNAIO","FEBBRAIO","MARZO","APRILE","MAGGIO","GIUGNO","LUGLIO","AGOSTO","SETTEMBRE","OTTOBRE","NOVEMBRE","DICEMBRE")&amp;" "&amp;YEAR(B453),"")</f>
        <v/>
      </c>
      <c r="P452" s="12" t="str">
        <f>IF(K452=0.2,"CASA","")</f>
        <v/>
      </c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" customHeight="1" x14ac:dyDescent="0.2">
      <c r="A453" s="5" t="str">
        <f>IF(AND(B453="",ISNUMBER(B454)),CHOOSE(MONTH(B454),"GENNAIO","FEBBRAIO","MARZO","APRILE","MAGGIO","GIUGNO","LUGLIO","AGOSTO","SETTEMBRE","OTTOBRE","NOVEMBRE","DICEMBRE")&amp;" "&amp;YEAR(B454),"")</f>
        <v/>
      </c>
      <c r="B453" s="11"/>
      <c r="C453" s="12"/>
      <c r="D453" s="12" t="str">
        <f>IF(C453="","",C453-IF(C452&lt;&gt;"",C452,IF(C451&lt;&gt;"",C451,IF(C450&lt;&gt;"",C450,0))))</f>
        <v/>
      </c>
      <c r="E453" s="12"/>
      <c r="F453" s="12"/>
      <c r="G453" s="9" t="str">
        <f>IF(AND(E453="",F453=""),"",IF(OR(E453&gt;1,F453&gt;1),(F453-E453)/100,F453-E453))</f>
        <v/>
      </c>
      <c r="H453" s="12" t="str">
        <f>IF(G453="","",64*G453)</f>
        <v/>
      </c>
      <c r="I453" s="13"/>
      <c r="J453" s="13" t="str">
        <f>IFERROR(IF(OR(D453="",D453=0),"",I453/D453*100),"")</f>
        <v/>
      </c>
      <c r="K453" s="14"/>
      <c r="L453" s="13" t="str">
        <f>IF(I453="","",I453*K453)</f>
        <v/>
      </c>
      <c r="M453" s="13" t="str">
        <f>IF(B453="","",IFERROR(SUMPRODUCT(ISNUMBER(B$3:B453)*(MONTH(IF(ISNUMBER(B$3:B453),B$3:B453,1))=MONTH(B453))*(YEAR(IF(ISNUMBER(B$3:B453),B$3:B453,1))=YEAR(B453))*IF(ISNUMBER(L$3:L453),L$3:L453,0)),""))</f>
        <v/>
      </c>
      <c r="N453" s="6"/>
      <c r="O453" s="7" t="str">
        <f>IF(AND(B453="",ISNUMBER(B454)),CHOOSE(MONTH(B454),"GENNAIO","FEBBRAIO","MARZO","APRILE","MAGGIO","GIUGNO","LUGLIO","AGOSTO","SETTEMBRE","OTTOBRE","NOVEMBRE","DICEMBRE")&amp;" "&amp;YEAR(B454),"")</f>
        <v/>
      </c>
      <c r="P453" s="12" t="str">
        <f>IF(K453=0.2,"CASA","")</f>
        <v/>
      </c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" customHeight="1" x14ac:dyDescent="0.2">
      <c r="A454" s="5" t="str">
        <f>IF(AND(B454="",ISNUMBER(B455)),CHOOSE(MONTH(B455),"GENNAIO","FEBBRAIO","MARZO","APRILE","MAGGIO","GIUGNO","LUGLIO","AGOSTO","SETTEMBRE","OTTOBRE","NOVEMBRE","DICEMBRE")&amp;" "&amp;YEAR(B455),"")</f>
        <v/>
      </c>
      <c r="B454" s="11"/>
      <c r="C454" s="12"/>
      <c r="D454" s="12" t="str">
        <f>IF(C454="","",C454-IF(C453&lt;&gt;"",C453,IF(C452&lt;&gt;"",C452,IF(C451&lt;&gt;"",C451,0))))</f>
        <v/>
      </c>
      <c r="E454" s="12"/>
      <c r="F454" s="12"/>
      <c r="G454" s="9" t="str">
        <f>IF(AND(E454="",F454=""),"",IF(OR(E454&gt;1,F454&gt;1),(F454-E454)/100,F454-E454))</f>
        <v/>
      </c>
      <c r="H454" s="12" t="str">
        <f>IF(G454="","",64*G454)</f>
        <v/>
      </c>
      <c r="I454" s="13"/>
      <c r="J454" s="13" t="str">
        <f>IFERROR(IF(OR(D454="",D454=0),"",I454/D454*100),"")</f>
        <v/>
      </c>
      <c r="K454" s="14"/>
      <c r="L454" s="13" t="str">
        <f>IF(I454="","",I454*K454)</f>
        <v/>
      </c>
      <c r="M454" s="13" t="str">
        <f>IF(B454="","",IFERROR(SUMPRODUCT(ISNUMBER(B$3:B454)*(MONTH(IF(ISNUMBER(B$3:B454),B$3:B454,1))=MONTH(B454))*(YEAR(IF(ISNUMBER(B$3:B454),B$3:B454,1))=YEAR(B454))*IF(ISNUMBER(L$3:L454),L$3:L454,0)),""))</f>
        <v/>
      </c>
      <c r="N454" s="6"/>
      <c r="O454" s="7" t="str">
        <f>IF(AND(B454="",ISNUMBER(B455)),CHOOSE(MONTH(B455),"GENNAIO","FEBBRAIO","MARZO","APRILE","MAGGIO","GIUGNO","LUGLIO","AGOSTO","SETTEMBRE","OTTOBRE","NOVEMBRE","DICEMBRE")&amp;" "&amp;YEAR(B455),"")</f>
        <v/>
      </c>
      <c r="P454" s="12" t="str">
        <f>IF(K454=0.2,"CASA","")</f>
        <v/>
      </c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" customHeight="1" x14ac:dyDescent="0.2">
      <c r="A455" s="5" t="str">
        <f>IF(AND(B455="",ISNUMBER(B456)),CHOOSE(MONTH(B456),"GENNAIO","FEBBRAIO","MARZO","APRILE","MAGGIO","GIUGNO","LUGLIO","AGOSTO","SETTEMBRE","OTTOBRE","NOVEMBRE","DICEMBRE")&amp;" "&amp;YEAR(B456),"")</f>
        <v/>
      </c>
      <c r="B455" s="11"/>
      <c r="C455" s="12"/>
      <c r="D455" s="12" t="str">
        <f>IF(C455="","",C455-IF(C454&lt;&gt;"",C454,IF(C453&lt;&gt;"",C453,IF(C452&lt;&gt;"",C452,0))))</f>
        <v/>
      </c>
      <c r="E455" s="12"/>
      <c r="F455" s="12"/>
      <c r="G455" s="9" t="str">
        <f>IF(AND(E455="",F455=""),"",IF(OR(E455&gt;1,F455&gt;1),(F455-E455)/100,F455-E455))</f>
        <v/>
      </c>
      <c r="H455" s="12" t="str">
        <f>IF(G455="","",64*G455)</f>
        <v/>
      </c>
      <c r="I455" s="13"/>
      <c r="J455" s="13" t="str">
        <f>IFERROR(IF(OR(D455="",D455=0),"",I455/D455*100),"")</f>
        <v/>
      </c>
      <c r="K455" s="14"/>
      <c r="L455" s="13" t="str">
        <f>IF(I455="","",I455*K455)</f>
        <v/>
      </c>
      <c r="M455" s="13" t="str">
        <f>IF(B455="","",IFERROR(SUMPRODUCT(ISNUMBER(B$3:B455)*(MONTH(IF(ISNUMBER(B$3:B455),B$3:B455,1))=MONTH(B455))*(YEAR(IF(ISNUMBER(B$3:B455),B$3:B455,1))=YEAR(B455))*IF(ISNUMBER(L$3:L455),L$3:L455,0)),""))</f>
        <v/>
      </c>
      <c r="N455" s="6"/>
      <c r="O455" s="7" t="str">
        <f>IF(AND(B455="",ISNUMBER(B456)),CHOOSE(MONTH(B456),"GENNAIO","FEBBRAIO","MARZO","APRILE","MAGGIO","GIUGNO","LUGLIO","AGOSTO","SETTEMBRE","OTTOBRE","NOVEMBRE","DICEMBRE")&amp;" "&amp;YEAR(B456),"")</f>
        <v/>
      </c>
      <c r="P455" s="12" t="str">
        <f>IF(K455=0.2,"CASA","")</f>
        <v/>
      </c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" customHeight="1" x14ac:dyDescent="0.2">
      <c r="A456" s="5" t="str">
        <f>IF(AND(B456="",ISNUMBER(B457)),CHOOSE(MONTH(B457),"GENNAIO","FEBBRAIO","MARZO","APRILE","MAGGIO","GIUGNO","LUGLIO","AGOSTO","SETTEMBRE","OTTOBRE","NOVEMBRE","DICEMBRE")&amp;" "&amp;YEAR(B457),"")</f>
        <v/>
      </c>
      <c r="B456" s="11"/>
      <c r="C456" s="12"/>
      <c r="D456" s="12" t="str">
        <f>IF(C456="","",C456-IF(C455&lt;&gt;"",C455,IF(C454&lt;&gt;"",C454,IF(C453&lt;&gt;"",C453,0))))</f>
        <v/>
      </c>
      <c r="E456" s="12"/>
      <c r="F456" s="12"/>
      <c r="G456" s="9" t="str">
        <f>IF(AND(E456="",F456=""),"",IF(OR(E456&gt;1,F456&gt;1),(F456-E456)/100,F456-E456))</f>
        <v/>
      </c>
      <c r="H456" s="12" t="str">
        <f>IF(G456="","",64*G456)</f>
        <v/>
      </c>
      <c r="I456" s="13"/>
      <c r="J456" s="13" t="str">
        <f>IFERROR(IF(OR(D456="",D456=0),"",I456/D456*100),"")</f>
        <v/>
      </c>
      <c r="K456" s="14"/>
      <c r="L456" s="13" t="str">
        <f>IF(I456="","",I456*K456)</f>
        <v/>
      </c>
      <c r="M456" s="13" t="str">
        <f>IF(B456="","",IFERROR(SUMPRODUCT(ISNUMBER(B$3:B456)*(MONTH(IF(ISNUMBER(B$3:B456),B$3:B456,1))=MONTH(B456))*(YEAR(IF(ISNUMBER(B$3:B456),B$3:B456,1))=YEAR(B456))*IF(ISNUMBER(L$3:L456),L$3:L456,0)),""))</f>
        <v/>
      </c>
      <c r="N456" s="6"/>
      <c r="O456" s="7" t="str">
        <f>IF(AND(B456="",ISNUMBER(B457)),CHOOSE(MONTH(B457),"GENNAIO","FEBBRAIO","MARZO","APRILE","MAGGIO","GIUGNO","LUGLIO","AGOSTO","SETTEMBRE","OTTOBRE","NOVEMBRE","DICEMBRE")&amp;" "&amp;YEAR(B457),"")</f>
        <v/>
      </c>
      <c r="P456" s="12" t="str">
        <f>IF(K456=0.2,"CASA","")</f>
        <v/>
      </c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" customHeight="1" x14ac:dyDescent="0.2">
      <c r="A457" s="5" t="str">
        <f>IF(AND(B457="",ISNUMBER(B458)),CHOOSE(MONTH(B458),"GENNAIO","FEBBRAIO","MARZO","APRILE","MAGGIO","GIUGNO","LUGLIO","AGOSTO","SETTEMBRE","OTTOBRE","NOVEMBRE","DICEMBRE")&amp;" "&amp;YEAR(B458),"")</f>
        <v/>
      </c>
      <c r="B457" s="11"/>
      <c r="C457" s="12"/>
      <c r="D457" s="12" t="str">
        <f>IF(C457="","",C457-IF(C456&lt;&gt;"",C456,IF(C455&lt;&gt;"",C455,IF(C454&lt;&gt;"",C454,0))))</f>
        <v/>
      </c>
      <c r="E457" s="12"/>
      <c r="F457" s="12"/>
      <c r="G457" s="9" t="str">
        <f>IF(AND(E457="",F457=""),"",IF(OR(E457&gt;1,F457&gt;1),(F457-E457)/100,F457-E457))</f>
        <v/>
      </c>
      <c r="H457" s="12" t="str">
        <f>IF(G457="","",64*G457)</f>
        <v/>
      </c>
      <c r="I457" s="13"/>
      <c r="J457" s="13" t="str">
        <f>IFERROR(IF(OR(D457="",D457=0),"",I457/D457*100),"")</f>
        <v/>
      </c>
      <c r="K457" s="14"/>
      <c r="L457" s="13" t="str">
        <f>IF(I457="","",I457*K457)</f>
        <v/>
      </c>
      <c r="M457" s="13" t="str">
        <f>IF(B457="","",IFERROR(SUMPRODUCT(ISNUMBER(B$3:B457)*(MONTH(IF(ISNUMBER(B$3:B457),B$3:B457,1))=MONTH(B457))*(YEAR(IF(ISNUMBER(B$3:B457),B$3:B457,1))=YEAR(B457))*IF(ISNUMBER(L$3:L457),L$3:L457,0)),""))</f>
        <v/>
      </c>
      <c r="N457" s="6"/>
      <c r="O457" s="7" t="str">
        <f>IF(AND(B457="",ISNUMBER(B458)),CHOOSE(MONTH(B458),"GENNAIO","FEBBRAIO","MARZO","APRILE","MAGGIO","GIUGNO","LUGLIO","AGOSTO","SETTEMBRE","OTTOBRE","NOVEMBRE","DICEMBRE")&amp;" "&amp;YEAR(B458),"")</f>
        <v/>
      </c>
      <c r="P457" s="12" t="str">
        <f>IF(K457=0.2,"CASA","")</f>
        <v/>
      </c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" customHeight="1" x14ac:dyDescent="0.2">
      <c r="A458" s="5" t="str">
        <f>IF(AND(B458="",ISNUMBER(B459)),CHOOSE(MONTH(B459),"GENNAIO","FEBBRAIO","MARZO","APRILE","MAGGIO","GIUGNO","LUGLIO","AGOSTO","SETTEMBRE","OTTOBRE","NOVEMBRE","DICEMBRE")&amp;" "&amp;YEAR(B459),"")</f>
        <v/>
      </c>
      <c r="B458" s="11"/>
      <c r="C458" s="12"/>
      <c r="D458" s="12" t="str">
        <f>IF(C458="","",C458-IF(C457&lt;&gt;"",C457,IF(C456&lt;&gt;"",C456,IF(C455&lt;&gt;"",C455,0))))</f>
        <v/>
      </c>
      <c r="E458" s="12"/>
      <c r="F458" s="12"/>
      <c r="G458" s="9" t="str">
        <f>IF(AND(E458="",F458=""),"",IF(OR(E458&gt;1,F458&gt;1),(F458-E458)/100,F458-E458))</f>
        <v/>
      </c>
      <c r="H458" s="12" t="str">
        <f>IF(G458="","",64*G458)</f>
        <v/>
      </c>
      <c r="I458" s="13"/>
      <c r="J458" s="13" t="str">
        <f>IFERROR(IF(OR(D458="",D458=0),"",I458/D458*100),"")</f>
        <v/>
      </c>
      <c r="K458" s="14"/>
      <c r="L458" s="13" t="str">
        <f>IF(I458="","",I458*K458)</f>
        <v/>
      </c>
      <c r="M458" s="13" t="str">
        <f>IF(B458="","",IFERROR(SUMPRODUCT(ISNUMBER(B$3:B458)*(MONTH(IF(ISNUMBER(B$3:B458),B$3:B458,1))=MONTH(B458))*(YEAR(IF(ISNUMBER(B$3:B458),B$3:B458,1))=YEAR(B458))*IF(ISNUMBER(L$3:L458),L$3:L458,0)),""))</f>
        <v/>
      </c>
      <c r="N458" s="6"/>
      <c r="O458" s="7" t="str">
        <f>IF(AND(B458="",ISNUMBER(B459)),CHOOSE(MONTH(B459),"GENNAIO","FEBBRAIO","MARZO","APRILE","MAGGIO","GIUGNO","LUGLIO","AGOSTO","SETTEMBRE","OTTOBRE","NOVEMBRE","DICEMBRE")&amp;" "&amp;YEAR(B459),"")</f>
        <v/>
      </c>
      <c r="P458" s="12" t="str">
        <f>IF(K458=0.2,"CASA","")</f>
        <v/>
      </c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" customHeight="1" x14ac:dyDescent="0.2">
      <c r="A459" s="5" t="str">
        <f>IF(AND(B459="",ISNUMBER(B460)),CHOOSE(MONTH(B460),"GENNAIO","FEBBRAIO","MARZO","APRILE","MAGGIO","GIUGNO","LUGLIO","AGOSTO","SETTEMBRE","OTTOBRE","NOVEMBRE","DICEMBRE")&amp;" "&amp;YEAR(B460),"")</f>
        <v/>
      </c>
      <c r="B459" s="11"/>
      <c r="C459" s="12"/>
      <c r="D459" s="12" t="str">
        <f>IF(C459="","",C459-IF(C458&lt;&gt;"",C458,IF(C457&lt;&gt;"",C457,IF(C456&lt;&gt;"",C456,0))))</f>
        <v/>
      </c>
      <c r="E459" s="12"/>
      <c r="F459" s="12"/>
      <c r="G459" s="9" t="str">
        <f>IF(AND(E459="",F459=""),"",IF(OR(E459&gt;1,F459&gt;1),(F459-E459)/100,F459-E459))</f>
        <v/>
      </c>
      <c r="H459" s="12" t="str">
        <f>IF(G459="","",64*G459)</f>
        <v/>
      </c>
      <c r="I459" s="13"/>
      <c r="J459" s="13" t="str">
        <f>IFERROR(IF(OR(D459="",D459=0),"",I459/D459*100),"")</f>
        <v/>
      </c>
      <c r="K459" s="14"/>
      <c r="L459" s="13" t="str">
        <f>IF(I459="","",I459*K459)</f>
        <v/>
      </c>
      <c r="M459" s="13" t="str">
        <f>IF(B459="","",IFERROR(SUMPRODUCT(ISNUMBER(B$3:B459)*(MONTH(IF(ISNUMBER(B$3:B459),B$3:B459,1))=MONTH(B459))*(YEAR(IF(ISNUMBER(B$3:B459),B$3:B459,1))=YEAR(B459))*IF(ISNUMBER(L$3:L459),L$3:L459,0)),""))</f>
        <v/>
      </c>
      <c r="N459" s="6"/>
      <c r="O459" s="7" t="str">
        <f>IF(AND(B459="",ISNUMBER(B460)),CHOOSE(MONTH(B460),"GENNAIO","FEBBRAIO","MARZO","APRILE","MAGGIO","GIUGNO","LUGLIO","AGOSTO","SETTEMBRE","OTTOBRE","NOVEMBRE","DICEMBRE")&amp;" "&amp;YEAR(B460),"")</f>
        <v/>
      </c>
      <c r="P459" s="12" t="str">
        <f>IF(K459=0.2,"CASA","")</f>
        <v/>
      </c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" customHeight="1" x14ac:dyDescent="0.2">
      <c r="A460" s="5" t="str">
        <f>IF(AND(B460="",ISNUMBER(B461)),CHOOSE(MONTH(B461),"GENNAIO","FEBBRAIO","MARZO","APRILE","MAGGIO","GIUGNO","LUGLIO","AGOSTO","SETTEMBRE","OTTOBRE","NOVEMBRE","DICEMBRE")&amp;" "&amp;YEAR(B461),"")</f>
        <v/>
      </c>
      <c r="B460" s="11"/>
      <c r="C460" s="12"/>
      <c r="D460" s="12" t="str">
        <f>IF(C460="","",C460-IF(C459&lt;&gt;"",C459,IF(C458&lt;&gt;"",C458,IF(C457&lt;&gt;"",C457,0))))</f>
        <v/>
      </c>
      <c r="E460" s="12"/>
      <c r="F460" s="12"/>
      <c r="G460" s="9" t="str">
        <f>IF(AND(E460="",F460=""),"",IF(OR(E460&gt;1,F460&gt;1),(F460-E460)/100,F460-E460))</f>
        <v/>
      </c>
      <c r="H460" s="12" t="str">
        <f>IF(G460="","",64*G460)</f>
        <v/>
      </c>
      <c r="I460" s="13"/>
      <c r="J460" s="13" t="str">
        <f>IFERROR(IF(OR(D460="",D460=0),"",I460/D460*100),"")</f>
        <v/>
      </c>
      <c r="K460" s="14"/>
      <c r="L460" s="13" t="str">
        <f>IF(I460="","",I460*K460)</f>
        <v/>
      </c>
      <c r="M460" s="13" t="str">
        <f>IF(B460="","",IFERROR(SUMPRODUCT(ISNUMBER(B$3:B460)*(MONTH(IF(ISNUMBER(B$3:B460),B$3:B460,1))=MONTH(B460))*(YEAR(IF(ISNUMBER(B$3:B460),B$3:B460,1))=YEAR(B460))*IF(ISNUMBER(L$3:L460),L$3:L460,0)),""))</f>
        <v/>
      </c>
      <c r="N460" s="6"/>
      <c r="O460" s="7" t="str">
        <f>IF(AND(B460="",ISNUMBER(B461)),CHOOSE(MONTH(B461),"GENNAIO","FEBBRAIO","MARZO","APRILE","MAGGIO","GIUGNO","LUGLIO","AGOSTO","SETTEMBRE","OTTOBRE","NOVEMBRE","DICEMBRE")&amp;" "&amp;YEAR(B461),"")</f>
        <v/>
      </c>
      <c r="P460" s="12" t="str">
        <f>IF(K460=0.2,"CASA","")</f>
        <v/>
      </c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" customHeight="1" x14ac:dyDescent="0.2">
      <c r="A461" s="5" t="str">
        <f>IF(AND(B461="",ISNUMBER(B462)),CHOOSE(MONTH(B462),"GENNAIO","FEBBRAIO","MARZO","APRILE","MAGGIO","GIUGNO","LUGLIO","AGOSTO","SETTEMBRE","OTTOBRE","NOVEMBRE","DICEMBRE")&amp;" "&amp;YEAR(B462),"")</f>
        <v/>
      </c>
      <c r="B461" s="11"/>
      <c r="C461" s="12"/>
      <c r="D461" s="12" t="str">
        <f>IF(C461="","",C461-IF(C460&lt;&gt;"",C460,IF(C459&lt;&gt;"",C459,IF(C458&lt;&gt;"",C458,0))))</f>
        <v/>
      </c>
      <c r="E461" s="12"/>
      <c r="F461" s="12"/>
      <c r="G461" s="9" t="str">
        <f>IF(AND(E461="",F461=""),"",IF(OR(E461&gt;1,F461&gt;1),(F461-E461)/100,F461-E461))</f>
        <v/>
      </c>
      <c r="H461" s="12" t="str">
        <f>IF(G461="","",64*G461)</f>
        <v/>
      </c>
      <c r="I461" s="13"/>
      <c r="J461" s="13" t="str">
        <f>IFERROR(IF(OR(D461="",D461=0),"",I461/D461*100),"")</f>
        <v/>
      </c>
      <c r="K461" s="14"/>
      <c r="L461" s="13" t="str">
        <f>IF(I461="","",I461*K461)</f>
        <v/>
      </c>
      <c r="M461" s="13" t="str">
        <f>IF(B461="","",IFERROR(SUMPRODUCT(ISNUMBER(B$3:B461)*(MONTH(IF(ISNUMBER(B$3:B461),B$3:B461,1))=MONTH(B461))*(YEAR(IF(ISNUMBER(B$3:B461),B$3:B461,1))=YEAR(B461))*IF(ISNUMBER(L$3:L461),L$3:L461,0)),""))</f>
        <v/>
      </c>
      <c r="N461" s="6"/>
      <c r="O461" s="7" t="str">
        <f>IF(AND(B461="",ISNUMBER(B462)),CHOOSE(MONTH(B462),"GENNAIO","FEBBRAIO","MARZO","APRILE","MAGGIO","GIUGNO","LUGLIO","AGOSTO","SETTEMBRE","OTTOBRE","NOVEMBRE","DICEMBRE")&amp;" "&amp;YEAR(B462),"")</f>
        <v/>
      </c>
      <c r="P461" s="12" t="str">
        <f>IF(K461=0.2,"CASA","")</f>
        <v/>
      </c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" customHeight="1" x14ac:dyDescent="0.2">
      <c r="A462" s="5" t="str">
        <f>IF(AND(B462="",ISNUMBER(B463)),CHOOSE(MONTH(B463),"GENNAIO","FEBBRAIO","MARZO","APRILE","MAGGIO","GIUGNO","LUGLIO","AGOSTO","SETTEMBRE","OTTOBRE","NOVEMBRE","DICEMBRE")&amp;" "&amp;YEAR(B463),"")</f>
        <v/>
      </c>
      <c r="B462" s="11"/>
      <c r="C462" s="12"/>
      <c r="D462" s="12" t="str">
        <f>IF(C462="","",C462-IF(C461&lt;&gt;"",C461,IF(C460&lt;&gt;"",C460,IF(C459&lt;&gt;"",C459,0))))</f>
        <v/>
      </c>
      <c r="E462" s="12"/>
      <c r="F462" s="12"/>
      <c r="G462" s="9" t="str">
        <f>IF(AND(E462="",F462=""),"",IF(OR(E462&gt;1,F462&gt;1),(F462-E462)/100,F462-E462))</f>
        <v/>
      </c>
      <c r="H462" s="12" t="str">
        <f>IF(G462="","",64*G462)</f>
        <v/>
      </c>
      <c r="I462" s="13"/>
      <c r="J462" s="13" t="str">
        <f>IFERROR(IF(OR(D462="",D462=0),"",I462/D462*100),"")</f>
        <v/>
      </c>
      <c r="K462" s="14"/>
      <c r="L462" s="13" t="str">
        <f>IF(I462="","",I462*K462)</f>
        <v/>
      </c>
      <c r="M462" s="13" t="str">
        <f>IF(B462="","",IFERROR(SUMPRODUCT(ISNUMBER(B$3:B462)*(MONTH(IF(ISNUMBER(B$3:B462),B$3:B462,1))=MONTH(B462))*(YEAR(IF(ISNUMBER(B$3:B462),B$3:B462,1))=YEAR(B462))*IF(ISNUMBER(L$3:L462),L$3:L462,0)),""))</f>
        <v/>
      </c>
      <c r="N462" s="6"/>
      <c r="O462" s="7" t="str">
        <f>IF(AND(B462="",ISNUMBER(B463)),CHOOSE(MONTH(B463),"GENNAIO","FEBBRAIO","MARZO","APRILE","MAGGIO","GIUGNO","LUGLIO","AGOSTO","SETTEMBRE","OTTOBRE","NOVEMBRE","DICEMBRE")&amp;" "&amp;YEAR(B463),"")</f>
        <v/>
      </c>
      <c r="P462" s="12" t="str">
        <f>IF(K462=0.2,"CASA","")</f>
        <v/>
      </c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" customHeight="1" x14ac:dyDescent="0.2">
      <c r="A463" s="5" t="str">
        <f>IF(AND(B463="",ISNUMBER(B464)),CHOOSE(MONTH(B464),"GENNAIO","FEBBRAIO","MARZO","APRILE","MAGGIO","GIUGNO","LUGLIO","AGOSTO","SETTEMBRE","OTTOBRE","NOVEMBRE","DICEMBRE")&amp;" "&amp;YEAR(B464),"")</f>
        <v/>
      </c>
      <c r="B463" s="11"/>
      <c r="C463" s="12"/>
      <c r="D463" s="12" t="str">
        <f>IF(C463="","",C463-IF(C462&lt;&gt;"",C462,IF(C461&lt;&gt;"",C461,IF(C460&lt;&gt;"",C460,0))))</f>
        <v/>
      </c>
      <c r="E463" s="12"/>
      <c r="F463" s="12"/>
      <c r="G463" s="9" t="str">
        <f>IF(AND(E463="",F463=""),"",IF(OR(E463&gt;1,F463&gt;1),(F463-E463)/100,F463-E463))</f>
        <v/>
      </c>
      <c r="H463" s="12" t="str">
        <f>IF(G463="","",64*G463)</f>
        <v/>
      </c>
      <c r="I463" s="13"/>
      <c r="J463" s="13" t="str">
        <f>IFERROR(IF(OR(D463="",D463=0),"",I463/D463*100),"")</f>
        <v/>
      </c>
      <c r="K463" s="14"/>
      <c r="L463" s="13" t="str">
        <f>IF(I463="","",I463*K463)</f>
        <v/>
      </c>
      <c r="M463" s="13" t="str">
        <f>IF(B463="","",IFERROR(SUMPRODUCT(ISNUMBER(B$3:B463)*(MONTH(IF(ISNUMBER(B$3:B463),B$3:B463,1))=MONTH(B463))*(YEAR(IF(ISNUMBER(B$3:B463),B$3:B463,1))=YEAR(B463))*IF(ISNUMBER(L$3:L463),L$3:L463,0)),""))</f>
        <v/>
      </c>
      <c r="N463" s="6"/>
      <c r="O463" s="7" t="str">
        <f>IF(AND(B463="",ISNUMBER(B464)),CHOOSE(MONTH(B464),"GENNAIO","FEBBRAIO","MARZO","APRILE","MAGGIO","GIUGNO","LUGLIO","AGOSTO","SETTEMBRE","OTTOBRE","NOVEMBRE","DICEMBRE")&amp;" "&amp;YEAR(B464),"")</f>
        <v/>
      </c>
      <c r="P463" s="12" t="str">
        <f>IF(K463=0.2,"CASA","")</f>
        <v/>
      </c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" customHeight="1" x14ac:dyDescent="0.2">
      <c r="A464" s="5" t="str">
        <f>IF(AND(B464="",ISNUMBER(B465)),CHOOSE(MONTH(B465),"GENNAIO","FEBBRAIO","MARZO","APRILE","MAGGIO","GIUGNO","LUGLIO","AGOSTO","SETTEMBRE","OTTOBRE","NOVEMBRE","DICEMBRE")&amp;" "&amp;YEAR(B465),"")</f>
        <v/>
      </c>
      <c r="B464" s="11"/>
      <c r="C464" s="12"/>
      <c r="D464" s="12" t="str">
        <f>IF(C464="","",C464-IF(C463&lt;&gt;"",C463,IF(C462&lt;&gt;"",C462,IF(C461&lt;&gt;"",C461,0))))</f>
        <v/>
      </c>
      <c r="E464" s="12"/>
      <c r="F464" s="12"/>
      <c r="G464" s="9" t="str">
        <f>IF(AND(E464="",F464=""),"",IF(OR(E464&gt;1,F464&gt;1),(F464-E464)/100,F464-E464))</f>
        <v/>
      </c>
      <c r="H464" s="12" t="str">
        <f>IF(G464="","",64*G464)</f>
        <v/>
      </c>
      <c r="I464" s="13"/>
      <c r="J464" s="13" t="str">
        <f>IFERROR(IF(OR(D464="",D464=0),"",I464/D464*100),"")</f>
        <v/>
      </c>
      <c r="K464" s="14"/>
      <c r="L464" s="13" t="str">
        <f>IF(I464="","",I464*K464)</f>
        <v/>
      </c>
      <c r="M464" s="13" t="str">
        <f>IF(B464="","",IFERROR(SUMPRODUCT(ISNUMBER(B$3:B464)*(MONTH(IF(ISNUMBER(B$3:B464),B$3:B464,1))=MONTH(B464))*(YEAR(IF(ISNUMBER(B$3:B464),B$3:B464,1))=YEAR(B464))*IF(ISNUMBER(L$3:L464),L$3:L464,0)),""))</f>
        <v/>
      </c>
      <c r="N464" s="6"/>
      <c r="O464" s="7" t="str">
        <f>IF(AND(B464="",ISNUMBER(B465)),CHOOSE(MONTH(B465),"GENNAIO","FEBBRAIO","MARZO","APRILE","MAGGIO","GIUGNO","LUGLIO","AGOSTO","SETTEMBRE","OTTOBRE","NOVEMBRE","DICEMBRE")&amp;" "&amp;YEAR(B465),"")</f>
        <v/>
      </c>
      <c r="P464" s="12" t="str">
        <f>IF(K464=0.2,"CASA","")</f>
        <v/>
      </c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" customHeight="1" x14ac:dyDescent="0.2">
      <c r="A465" s="5" t="str">
        <f>IF(AND(B465="",ISNUMBER(B466)),CHOOSE(MONTH(B466),"GENNAIO","FEBBRAIO","MARZO","APRILE","MAGGIO","GIUGNO","LUGLIO","AGOSTO","SETTEMBRE","OTTOBRE","NOVEMBRE","DICEMBRE")&amp;" "&amp;YEAR(B466),"")</f>
        <v/>
      </c>
      <c r="B465" s="11"/>
      <c r="C465" s="12"/>
      <c r="D465" s="12" t="str">
        <f>IF(C465="","",C465-IF(C464&lt;&gt;"",C464,IF(C463&lt;&gt;"",C463,IF(C462&lt;&gt;"",C462,0))))</f>
        <v/>
      </c>
      <c r="E465" s="12"/>
      <c r="F465" s="12"/>
      <c r="G465" s="9" t="str">
        <f>IF(AND(E465="",F465=""),"",IF(OR(E465&gt;1,F465&gt;1),(F465-E465)/100,F465-E465))</f>
        <v/>
      </c>
      <c r="H465" s="12" t="str">
        <f>IF(G465="","",64*G465)</f>
        <v/>
      </c>
      <c r="I465" s="13"/>
      <c r="J465" s="13" t="str">
        <f>IFERROR(IF(OR(D465="",D465=0),"",I465/D465*100),"")</f>
        <v/>
      </c>
      <c r="K465" s="14"/>
      <c r="L465" s="13" t="str">
        <f>IF(I465="","",I465*K465)</f>
        <v/>
      </c>
      <c r="M465" s="13" t="str">
        <f>IF(B465="","",IFERROR(SUMPRODUCT(ISNUMBER(B$3:B465)*(MONTH(IF(ISNUMBER(B$3:B465),B$3:B465,1))=MONTH(B465))*(YEAR(IF(ISNUMBER(B$3:B465),B$3:B465,1))=YEAR(B465))*IF(ISNUMBER(L$3:L465),L$3:L465,0)),""))</f>
        <v/>
      </c>
      <c r="N465" s="6"/>
      <c r="O465" s="7" t="str">
        <f>IF(AND(B465="",ISNUMBER(B466)),CHOOSE(MONTH(B466),"GENNAIO","FEBBRAIO","MARZO","APRILE","MAGGIO","GIUGNO","LUGLIO","AGOSTO","SETTEMBRE","OTTOBRE","NOVEMBRE","DICEMBRE")&amp;" "&amp;YEAR(B466),"")</f>
        <v/>
      </c>
      <c r="P465" s="12" t="str">
        <f>IF(K465=0.2,"CASA","")</f>
        <v/>
      </c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" customHeight="1" x14ac:dyDescent="0.2">
      <c r="A466" s="5" t="str">
        <f>IF(AND(B466="",ISNUMBER(B467)),CHOOSE(MONTH(B467),"GENNAIO","FEBBRAIO","MARZO","APRILE","MAGGIO","GIUGNO","LUGLIO","AGOSTO","SETTEMBRE","OTTOBRE","NOVEMBRE","DICEMBRE")&amp;" "&amp;YEAR(B467),"")</f>
        <v/>
      </c>
      <c r="B466" s="11"/>
      <c r="C466" s="12"/>
      <c r="D466" s="12" t="str">
        <f>IF(C466="","",C466-IF(C465&lt;&gt;"",C465,IF(C464&lt;&gt;"",C464,IF(C463&lt;&gt;"",C463,0))))</f>
        <v/>
      </c>
      <c r="E466" s="12"/>
      <c r="F466" s="12"/>
      <c r="G466" s="9" t="str">
        <f>IF(AND(E466="",F466=""),"",IF(OR(E466&gt;1,F466&gt;1),(F466-E466)/100,F466-E466))</f>
        <v/>
      </c>
      <c r="H466" s="12" t="str">
        <f>IF(G466="","",64*G466)</f>
        <v/>
      </c>
      <c r="I466" s="13"/>
      <c r="J466" s="13" t="str">
        <f>IFERROR(IF(OR(D466="",D466=0),"",I466/D466*100),"")</f>
        <v/>
      </c>
      <c r="K466" s="14"/>
      <c r="L466" s="13" t="str">
        <f>IF(I466="","",I466*K466)</f>
        <v/>
      </c>
      <c r="M466" s="13" t="str">
        <f>IF(B466="","",IFERROR(SUMPRODUCT(ISNUMBER(B$3:B466)*(MONTH(IF(ISNUMBER(B$3:B466),B$3:B466,1))=MONTH(B466))*(YEAR(IF(ISNUMBER(B$3:B466),B$3:B466,1))=YEAR(B466))*IF(ISNUMBER(L$3:L466),L$3:L466,0)),""))</f>
        <v/>
      </c>
      <c r="N466" s="6"/>
      <c r="O466" s="7" t="str">
        <f>IF(AND(B466="",ISNUMBER(B467)),CHOOSE(MONTH(B467),"GENNAIO","FEBBRAIO","MARZO","APRILE","MAGGIO","GIUGNO","LUGLIO","AGOSTO","SETTEMBRE","OTTOBRE","NOVEMBRE","DICEMBRE")&amp;" "&amp;YEAR(B467),"")</f>
        <v/>
      </c>
      <c r="P466" s="12" t="str">
        <f>IF(K466=0.2,"CASA","")</f>
        <v/>
      </c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" customHeight="1" x14ac:dyDescent="0.2">
      <c r="A467" s="5" t="str">
        <f>IF(AND(B467="",ISNUMBER(B468)),CHOOSE(MONTH(B468),"GENNAIO","FEBBRAIO","MARZO","APRILE","MAGGIO","GIUGNO","LUGLIO","AGOSTO","SETTEMBRE","OTTOBRE","NOVEMBRE","DICEMBRE")&amp;" "&amp;YEAR(B468),"")</f>
        <v/>
      </c>
      <c r="B467" s="11"/>
      <c r="C467" s="12"/>
      <c r="D467" s="12" t="str">
        <f>IF(C467="","",C467-IF(C466&lt;&gt;"",C466,IF(C465&lt;&gt;"",C465,IF(C464&lt;&gt;"",C464,0))))</f>
        <v/>
      </c>
      <c r="E467" s="12"/>
      <c r="F467" s="12"/>
      <c r="G467" s="9" t="str">
        <f>IF(AND(E467="",F467=""),"",IF(OR(E467&gt;1,F467&gt;1),(F467-E467)/100,F467-E467))</f>
        <v/>
      </c>
      <c r="H467" s="12" t="str">
        <f>IF(G467="","",64*G467)</f>
        <v/>
      </c>
      <c r="I467" s="13"/>
      <c r="J467" s="13" t="str">
        <f>IFERROR(IF(OR(D467="",D467=0),"",I467/D467*100),"")</f>
        <v/>
      </c>
      <c r="K467" s="14"/>
      <c r="L467" s="13" t="str">
        <f>IF(I467="","",I467*K467)</f>
        <v/>
      </c>
      <c r="M467" s="13" t="str">
        <f>IF(B467="","",IFERROR(SUMPRODUCT(ISNUMBER(B$3:B467)*(MONTH(IF(ISNUMBER(B$3:B467),B$3:B467,1))=MONTH(B467))*(YEAR(IF(ISNUMBER(B$3:B467),B$3:B467,1))=YEAR(B467))*IF(ISNUMBER(L$3:L467),L$3:L467,0)),""))</f>
        <v/>
      </c>
      <c r="N467" s="6"/>
      <c r="O467" s="7" t="str">
        <f>IF(AND(B467="",ISNUMBER(B468)),CHOOSE(MONTH(B468),"GENNAIO","FEBBRAIO","MARZO","APRILE","MAGGIO","GIUGNO","LUGLIO","AGOSTO","SETTEMBRE","OTTOBRE","NOVEMBRE","DICEMBRE")&amp;" "&amp;YEAR(B468),"")</f>
        <v/>
      </c>
      <c r="P467" s="12" t="str">
        <f>IF(K467=0.2,"CASA","")</f>
        <v/>
      </c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" customHeight="1" x14ac:dyDescent="0.2">
      <c r="A468" s="5" t="str">
        <f>IF(AND(B468="",ISNUMBER(B469)),CHOOSE(MONTH(B469),"GENNAIO","FEBBRAIO","MARZO","APRILE","MAGGIO","GIUGNO","LUGLIO","AGOSTO","SETTEMBRE","OTTOBRE","NOVEMBRE","DICEMBRE")&amp;" "&amp;YEAR(B469),"")</f>
        <v/>
      </c>
      <c r="B468" s="11"/>
      <c r="C468" s="12"/>
      <c r="D468" s="12" t="str">
        <f>IF(C468="","",C468-IF(C467&lt;&gt;"",C467,IF(C466&lt;&gt;"",C466,IF(C465&lt;&gt;"",C465,0))))</f>
        <v/>
      </c>
      <c r="E468" s="12"/>
      <c r="F468" s="12"/>
      <c r="G468" s="9" t="str">
        <f>IF(AND(E468="",F468=""),"",IF(OR(E468&gt;1,F468&gt;1),(F468-E468)/100,F468-E468))</f>
        <v/>
      </c>
      <c r="H468" s="12" t="str">
        <f>IF(G468="","",64*G468)</f>
        <v/>
      </c>
      <c r="I468" s="13"/>
      <c r="J468" s="13" t="str">
        <f>IFERROR(IF(OR(D468="",D468=0),"",I468/D468*100),"")</f>
        <v/>
      </c>
      <c r="K468" s="14"/>
      <c r="L468" s="13" t="str">
        <f>IF(I468="","",I468*K468)</f>
        <v/>
      </c>
      <c r="M468" s="13" t="str">
        <f>IF(B468="","",IFERROR(SUMPRODUCT(ISNUMBER(B$3:B468)*(MONTH(IF(ISNUMBER(B$3:B468),B$3:B468,1))=MONTH(B468))*(YEAR(IF(ISNUMBER(B$3:B468),B$3:B468,1))=YEAR(B468))*IF(ISNUMBER(L$3:L468),L$3:L468,0)),""))</f>
        <v/>
      </c>
      <c r="N468" s="6"/>
      <c r="O468" s="7" t="str">
        <f>IF(AND(B468="",ISNUMBER(B469)),CHOOSE(MONTH(B469),"GENNAIO","FEBBRAIO","MARZO","APRILE","MAGGIO","GIUGNO","LUGLIO","AGOSTO","SETTEMBRE","OTTOBRE","NOVEMBRE","DICEMBRE")&amp;" "&amp;YEAR(B469),"")</f>
        <v/>
      </c>
      <c r="P468" s="12" t="str">
        <f>IF(K468=0.2,"CASA","")</f>
        <v/>
      </c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" customHeight="1" x14ac:dyDescent="0.2">
      <c r="A469" s="5" t="str">
        <f>IF(AND(B469="",ISNUMBER(B470)),CHOOSE(MONTH(B470),"GENNAIO","FEBBRAIO","MARZO","APRILE","MAGGIO","GIUGNO","LUGLIO","AGOSTO","SETTEMBRE","OTTOBRE","NOVEMBRE","DICEMBRE")&amp;" "&amp;YEAR(B470),"")</f>
        <v/>
      </c>
      <c r="B469" s="11"/>
      <c r="C469" s="12"/>
      <c r="D469" s="12" t="str">
        <f>IF(C469="","",C469-IF(C468&lt;&gt;"",C468,IF(C467&lt;&gt;"",C467,IF(C466&lt;&gt;"",C466,0))))</f>
        <v/>
      </c>
      <c r="E469" s="12"/>
      <c r="F469" s="12"/>
      <c r="G469" s="9" t="str">
        <f>IF(AND(E469="",F469=""),"",IF(OR(E469&gt;1,F469&gt;1),(F469-E469)/100,F469-E469))</f>
        <v/>
      </c>
      <c r="H469" s="12" t="str">
        <f>IF(G469="","",64*G469)</f>
        <v/>
      </c>
      <c r="I469" s="13"/>
      <c r="J469" s="13" t="str">
        <f>IFERROR(IF(OR(D469="",D469=0),"",I469/D469*100),"")</f>
        <v/>
      </c>
      <c r="K469" s="14"/>
      <c r="L469" s="13" t="str">
        <f>IF(I469="","",I469*K469)</f>
        <v/>
      </c>
      <c r="M469" s="13" t="str">
        <f>IF(B469="","",IFERROR(SUMPRODUCT(ISNUMBER(B$3:B469)*(MONTH(IF(ISNUMBER(B$3:B469),B$3:B469,1))=MONTH(B469))*(YEAR(IF(ISNUMBER(B$3:B469),B$3:B469,1))=YEAR(B469))*IF(ISNUMBER(L$3:L469),L$3:L469,0)),""))</f>
        <v/>
      </c>
      <c r="N469" s="6"/>
      <c r="O469" s="7" t="str">
        <f>IF(AND(B469="",ISNUMBER(B470)),CHOOSE(MONTH(B470),"GENNAIO","FEBBRAIO","MARZO","APRILE","MAGGIO","GIUGNO","LUGLIO","AGOSTO","SETTEMBRE","OTTOBRE","NOVEMBRE","DICEMBRE")&amp;" "&amp;YEAR(B470),"")</f>
        <v/>
      </c>
      <c r="P469" s="12" t="str">
        <f>IF(K469=0.2,"CASA","")</f>
        <v/>
      </c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" customHeight="1" x14ac:dyDescent="0.2">
      <c r="A470" s="5" t="str">
        <f>IF(AND(B470="",ISNUMBER(B471)),CHOOSE(MONTH(B471),"GENNAIO","FEBBRAIO","MARZO","APRILE","MAGGIO","GIUGNO","LUGLIO","AGOSTO","SETTEMBRE","OTTOBRE","NOVEMBRE","DICEMBRE")&amp;" "&amp;YEAR(B471),"")</f>
        <v/>
      </c>
      <c r="B470" s="11"/>
      <c r="C470" s="12"/>
      <c r="D470" s="12" t="str">
        <f>IF(C470="","",C470-IF(C469&lt;&gt;"",C469,IF(C468&lt;&gt;"",C468,IF(C467&lt;&gt;"",C467,0))))</f>
        <v/>
      </c>
      <c r="E470" s="12"/>
      <c r="F470" s="12"/>
      <c r="G470" s="9" t="str">
        <f>IF(AND(E470="",F470=""),"",IF(OR(E470&gt;1,F470&gt;1),(F470-E470)/100,F470-E470))</f>
        <v/>
      </c>
      <c r="H470" s="12" t="str">
        <f>IF(G470="","",64*G470)</f>
        <v/>
      </c>
      <c r="I470" s="13"/>
      <c r="J470" s="13" t="str">
        <f>IFERROR(IF(OR(D470="",D470=0),"",I470/D470*100),"")</f>
        <v/>
      </c>
      <c r="K470" s="14"/>
      <c r="L470" s="13" t="str">
        <f>IF(I470="","",I470*K470)</f>
        <v/>
      </c>
      <c r="M470" s="13" t="str">
        <f>IF(B470="","",IFERROR(SUMPRODUCT(ISNUMBER(B$3:B470)*(MONTH(IF(ISNUMBER(B$3:B470),B$3:B470,1))=MONTH(B470))*(YEAR(IF(ISNUMBER(B$3:B470),B$3:B470,1))=YEAR(B470))*IF(ISNUMBER(L$3:L470),L$3:L470,0)),""))</f>
        <v/>
      </c>
      <c r="N470" s="6"/>
      <c r="O470" s="7" t="str">
        <f>IF(AND(B470="",ISNUMBER(B471)),CHOOSE(MONTH(B471),"GENNAIO","FEBBRAIO","MARZO","APRILE","MAGGIO","GIUGNO","LUGLIO","AGOSTO","SETTEMBRE","OTTOBRE","NOVEMBRE","DICEMBRE")&amp;" "&amp;YEAR(B471),"")</f>
        <v/>
      </c>
      <c r="P470" s="12" t="str">
        <f>IF(K470=0.2,"CASA","")</f>
        <v/>
      </c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" customHeight="1" x14ac:dyDescent="0.2">
      <c r="A471" s="5" t="str">
        <f>IF(AND(B471="",ISNUMBER(B472)),CHOOSE(MONTH(B472),"GENNAIO","FEBBRAIO","MARZO","APRILE","MAGGIO","GIUGNO","LUGLIO","AGOSTO","SETTEMBRE","OTTOBRE","NOVEMBRE","DICEMBRE")&amp;" "&amp;YEAR(B472),"")</f>
        <v/>
      </c>
      <c r="B471" s="11"/>
      <c r="C471" s="12"/>
      <c r="D471" s="12" t="str">
        <f>IF(C471="","",C471-IF(C470&lt;&gt;"",C470,IF(C469&lt;&gt;"",C469,IF(C468&lt;&gt;"",C468,0))))</f>
        <v/>
      </c>
      <c r="E471" s="12"/>
      <c r="F471" s="12"/>
      <c r="G471" s="9" t="str">
        <f>IF(AND(E471="",F471=""),"",IF(OR(E471&gt;1,F471&gt;1),(F471-E471)/100,F471-E471))</f>
        <v/>
      </c>
      <c r="H471" s="12" t="str">
        <f>IF(G471="","",64*G471)</f>
        <v/>
      </c>
      <c r="I471" s="13"/>
      <c r="J471" s="13" t="str">
        <f>IFERROR(IF(OR(D471="",D471=0),"",I471/D471*100),"")</f>
        <v/>
      </c>
      <c r="K471" s="14"/>
      <c r="L471" s="13" t="str">
        <f>IF(I471="","",I471*K471)</f>
        <v/>
      </c>
      <c r="M471" s="13" t="str">
        <f>IF(B471="","",IFERROR(SUMPRODUCT(ISNUMBER(B$3:B471)*(MONTH(IF(ISNUMBER(B$3:B471),B$3:B471,1))=MONTH(B471))*(YEAR(IF(ISNUMBER(B$3:B471),B$3:B471,1))=YEAR(B471))*IF(ISNUMBER(L$3:L471),L$3:L471,0)),""))</f>
        <v/>
      </c>
      <c r="N471" s="6"/>
      <c r="O471" s="7" t="str">
        <f>IF(AND(B471="",ISNUMBER(B472)),CHOOSE(MONTH(B472),"GENNAIO","FEBBRAIO","MARZO","APRILE","MAGGIO","GIUGNO","LUGLIO","AGOSTO","SETTEMBRE","OTTOBRE","NOVEMBRE","DICEMBRE")&amp;" "&amp;YEAR(B472),"")</f>
        <v/>
      </c>
      <c r="P471" s="12" t="str">
        <f>IF(K471=0.2,"CASA","")</f>
        <v/>
      </c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" customHeight="1" x14ac:dyDescent="0.2">
      <c r="A472" s="5" t="str">
        <f>IF(AND(B472="",ISNUMBER(B473)),CHOOSE(MONTH(B473),"GENNAIO","FEBBRAIO","MARZO","APRILE","MAGGIO","GIUGNO","LUGLIO","AGOSTO","SETTEMBRE","OTTOBRE","NOVEMBRE","DICEMBRE")&amp;" "&amp;YEAR(B473),"")</f>
        <v/>
      </c>
      <c r="B472" s="11"/>
      <c r="C472" s="12"/>
      <c r="D472" s="12" t="str">
        <f>IF(C472="","",C472-IF(C471&lt;&gt;"",C471,IF(C470&lt;&gt;"",C470,IF(C469&lt;&gt;"",C469,0))))</f>
        <v/>
      </c>
      <c r="E472" s="12"/>
      <c r="F472" s="12"/>
      <c r="G472" s="9" t="str">
        <f>IF(AND(E472="",F472=""),"",IF(OR(E472&gt;1,F472&gt;1),(F472-E472)/100,F472-E472))</f>
        <v/>
      </c>
      <c r="H472" s="12" t="str">
        <f>IF(G472="","",64*G472)</f>
        <v/>
      </c>
      <c r="I472" s="13"/>
      <c r="J472" s="13" t="str">
        <f>IFERROR(IF(OR(D472="",D472=0),"",I472/D472*100),"")</f>
        <v/>
      </c>
      <c r="K472" s="14"/>
      <c r="L472" s="13" t="str">
        <f>IF(I472="","",I472*K472)</f>
        <v/>
      </c>
      <c r="M472" s="13" t="str">
        <f>IF(B472="","",IFERROR(SUMPRODUCT(ISNUMBER(B$3:B472)*(MONTH(IF(ISNUMBER(B$3:B472),B$3:B472,1))=MONTH(B472))*(YEAR(IF(ISNUMBER(B$3:B472),B$3:B472,1))=YEAR(B472))*IF(ISNUMBER(L$3:L472),L$3:L472,0)),""))</f>
        <v/>
      </c>
      <c r="N472" s="6"/>
      <c r="O472" s="7" t="str">
        <f>IF(AND(B472="",ISNUMBER(B473)),CHOOSE(MONTH(B473),"GENNAIO","FEBBRAIO","MARZO","APRILE","MAGGIO","GIUGNO","LUGLIO","AGOSTO","SETTEMBRE","OTTOBRE","NOVEMBRE","DICEMBRE")&amp;" "&amp;YEAR(B473),"")</f>
        <v/>
      </c>
      <c r="P472" s="12" t="str">
        <f>IF(K472=0.2,"CASA","")</f>
        <v/>
      </c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" customHeight="1" x14ac:dyDescent="0.2">
      <c r="A473" s="5" t="str">
        <f>IF(AND(B473="",ISNUMBER(B474)),CHOOSE(MONTH(B474),"GENNAIO","FEBBRAIO","MARZO","APRILE","MAGGIO","GIUGNO","LUGLIO","AGOSTO","SETTEMBRE","OTTOBRE","NOVEMBRE","DICEMBRE")&amp;" "&amp;YEAR(B474),"")</f>
        <v/>
      </c>
      <c r="B473" s="11"/>
      <c r="C473" s="12"/>
      <c r="D473" s="12" t="str">
        <f>IF(C473="","",C473-IF(C472&lt;&gt;"",C472,IF(C471&lt;&gt;"",C471,IF(C470&lt;&gt;"",C470,0))))</f>
        <v/>
      </c>
      <c r="E473" s="12"/>
      <c r="F473" s="12"/>
      <c r="G473" s="9" t="str">
        <f>IF(AND(E473="",F473=""),"",IF(OR(E473&gt;1,F473&gt;1),(F473-E473)/100,F473-E473))</f>
        <v/>
      </c>
      <c r="H473" s="12" t="str">
        <f>IF(G473="","",64*G473)</f>
        <v/>
      </c>
      <c r="I473" s="13"/>
      <c r="J473" s="13" t="str">
        <f>IFERROR(IF(OR(D473="",D473=0),"",I473/D473*100),"")</f>
        <v/>
      </c>
      <c r="K473" s="14"/>
      <c r="L473" s="13" t="str">
        <f>IF(I473="","",I473*K473)</f>
        <v/>
      </c>
      <c r="M473" s="13" t="str">
        <f>IF(B473="","",IFERROR(SUMPRODUCT(ISNUMBER(B$3:B473)*(MONTH(IF(ISNUMBER(B$3:B473),B$3:B473,1))=MONTH(B473))*(YEAR(IF(ISNUMBER(B$3:B473),B$3:B473,1))=YEAR(B473))*IF(ISNUMBER(L$3:L473),L$3:L473,0)),""))</f>
        <v/>
      </c>
      <c r="N473" s="6"/>
      <c r="O473" s="7" t="str">
        <f>IF(AND(B473="",ISNUMBER(B474)),CHOOSE(MONTH(B474),"GENNAIO","FEBBRAIO","MARZO","APRILE","MAGGIO","GIUGNO","LUGLIO","AGOSTO","SETTEMBRE","OTTOBRE","NOVEMBRE","DICEMBRE")&amp;" "&amp;YEAR(B474),"")</f>
        <v/>
      </c>
      <c r="P473" s="12" t="str">
        <f>IF(K473=0.2,"CASA","")</f>
        <v/>
      </c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" customHeight="1" x14ac:dyDescent="0.2">
      <c r="A474" s="5" t="str">
        <f>IF(AND(B474="",ISNUMBER(B475)),CHOOSE(MONTH(B475),"GENNAIO","FEBBRAIO","MARZO","APRILE","MAGGIO","GIUGNO","LUGLIO","AGOSTO","SETTEMBRE","OTTOBRE","NOVEMBRE","DICEMBRE")&amp;" "&amp;YEAR(B475),"")</f>
        <v/>
      </c>
      <c r="B474" s="11"/>
      <c r="C474" s="12"/>
      <c r="D474" s="12" t="str">
        <f>IF(C474="","",C474-IF(C473&lt;&gt;"",C473,IF(C472&lt;&gt;"",C472,IF(C471&lt;&gt;"",C471,0))))</f>
        <v/>
      </c>
      <c r="E474" s="12"/>
      <c r="F474" s="12"/>
      <c r="G474" s="9" t="str">
        <f>IF(AND(E474="",F474=""),"",IF(OR(E474&gt;1,F474&gt;1),(F474-E474)/100,F474-E474))</f>
        <v/>
      </c>
      <c r="H474" s="12" t="str">
        <f>IF(G474="","",64*G474)</f>
        <v/>
      </c>
      <c r="I474" s="13"/>
      <c r="J474" s="13" t="str">
        <f>IFERROR(IF(OR(D474="",D474=0),"",I474/D474*100),"")</f>
        <v/>
      </c>
      <c r="K474" s="14"/>
      <c r="L474" s="13" t="str">
        <f>IF(I474="","",I474*K474)</f>
        <v/>
      </c>
      <c r="M474" s="13" t="str">
        <f>IF(B474="","",IFERROR(SUMPRODUCT(ISNUMBER(B$3:B474)*(MONTH(IF(ISNUMBER(B$3:B474),B$3:B474,1))=MONTH(B474))*(YEAR(IF(ISNUMBER(B$3:B474),B$3:B474,1))=YEAR(B474))*IF(ISNUMBER(L$3:L474),L$3:L474,0)),""))</f>
        <v/>
      </c>
      <c r="N474" s="6"/>
      <c r="O474" s="7" t="str">
        <f>IF(AND(B474="",ISNUMBER(B475)),CHOOSE(MONTH(B475),"GENNAIO","FEBBRAIO","MARZO","APRILE","MAGGIO","GIUGNO","LUGLIO","AGOSTO","SETTEMBRE","OTTOBRE","NOVEMBRE","DICEMBRE")&amp;" "&amp;YEAR(B475),"")</f>
        <v/>
      </c>
      <c r="P474" s="12" t="str">
        <f>IF(K474=0.2,"CASA","")</f>
        <v/>
      </c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" customHeight="1" x14ac:dyDescent="0.2">
      <c r="A475" s="5" t="str">
        <f>IF(AND(B475="",ISNUMBER(B476)),CHOOSE(MONTH(B476),"GENNAIO","FEBBRAIO","MARZO","APRILE","MAGGIO","GIUGNO","LUGLIO","AGOSTO","SETTEMBRE","OTTOBRE","NOVEMBRE","DICEMBRE")&amp;" "&amp;YEAR(B476),"")</f>
        <v/>
      </c>
      <c r="B475" s="11"/>
      <c r="C475" s="12"/>
      <c r="D475" s="12" t="str">
        <f>IF(C475="","",C475-IF(C474&lt;&gt;"",C474,IF(C473&lt;&gt;"",C473,IF(C472&lt;&gt;"",C472,0))))</f>
        <v/>
      </c>
      <c r="E475" s="12"/>
      <c r="F475" s="12"/>
      <c r="G475" s="9" t="str">
        <f>IF(AND(E475="",F475=""),"",IF(OR(E475&gt;1,F475&gt;1),(F475-E475)/100,F475-E475))</f>
        <v/>
      </c>
      <c r="H475" s="12" t="str">
        <f>IF(G475="","",64*G475)</f>
        <v/>
      </c>
      <c r="I475" s="13"/>
      <c r="J475" s="13" t="str">
        <f>IFERROR(IF(OR(D475="",D475=0),"",I475/D475*100),"")</f>
        <v/>
      </c>
      <c r="K475" s="14"/>
      <c r="L475" s="13" t="str">
        <f>IF(I475="","",I475*K475)</f>
        <v/>
      </c>
      <c r="M475" s="13" t="str">
        <f>IF(B475="","",IFERROR(SUMPRODUCT(ISNUMBER(B$3:B475)*(MONTH(IF(ISNUMBER(B$3:B475),B$3:B475,1))=MONTH(B475))*(YEAR(IF(ISNUMBER(B$3:B475),B$3:B475,1))=YEAR(B475))*IF(ISNUMBER(L$3:L475),L$3:L475,0)),""))</f>
        <v/>
      </c>
      <c r="N475" s="6"/>
      <c r="O475" s="7" t="str">
        <f>IF(AND(B475="",ISNUMBER(B476)),CHOOSE(MONTH(B476),"GENNAIO","FEBBRAIO","MARZO","APRILE","MAGGIO","GIUGNO","LUGLIO","AGOSTO","SETTEMBRE","OTTOBRE","NOVEMBRE","DICEMBRE")&amp;" "&amp;YEAR(B476),"")</f>
        <v/>
      </c>
      <c r="P475" s="12" t="str">
        <f>IF(K475=0.2,"CASA","")</f>
        <v/>
      </c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" customHeight="1" x14ac:dyDescent="0.2">
      <c r="A476" s="5" t="str">
        <f>IF(AND(B476="",ISNUMBER(B477)),CHOOSE(MONTH(B477),"GENNAIO","FEBBRAIO","MARZO","APRILE","MAGGIO","GIUGNO","LUGLIO","AGOSTO","SETTEMBRE","OTTOBRE","NOVEMBRE","DICEMBRE")&amp;" "&amp;YEAR(B477),"")</f>
        <v/>
      </c>
      <c r="B476" s="11"/>
      <c r="C476" s="12"/>
      <c r="D476" s="12" t="str">
        <f>IF(C476="","",C476-IF(C475&lt;&gt;"",C475,IF(C474&lt;&gt;"",C474,IF(C473&lt;&gt;"",C473,0))))</f>
        <v/>
      </c>
      <c r="E476" s="12"/>
      <c r="F476" s="12"/>
      <c r="G476" s="9" t="str">
        <f>IF(AND(E476="",F476=""),"",IF(OR(E476&gt;1,F476&gt;1),(F476-E476)/100,F476-E476))</f>
        <v/>
      </c>
      <c r="H476" s="12" t="str">
        <f>IF(G476="","",64*G476)</f>
        <v/>
      </c>
      <c r="I476" s="13"/>
      <c r="J476" s="13" t="str">
        <f>IFERROR(IF(OR(D476="",D476=0),"",I476/D476*100),"")</f>
        <v/>
      </c>
      <c r="K476" s="14"/>
      <c r="L476" s="13" t="str">
        <f>IF(I476="","",I476*K476)</f>
        <v/>
      </c>
      <c r="M476" s="13" t="str">
        <f>IF(B476="","",IFERROR(SUMPRODUCT(ISNUMBER(B$3:B476)*(MONTH(IF(ISNUMBER(B$3:B476),B$3:B476,1))=MONTH(B476))*(YEAR(IF(ISNUMBER(B$3:B476),B$3:B476,1))=YEAR(B476))*IF(ISNUMBER(L$3:L476),L$3:L476,0)),""))</f>
        <v/>
      </c>
      <c r="N476" s="6"/>
      <c r="O476" s="7" t="str">
        <f>IF(AND(B476="",ISNUMBER(B477)),CHOOSE(MONTH(B477),"GENNAIO","FEBBRAIO","MARZO","APRILE","MAGGIO","GIUGNO","LUGLIO","AGOSTO","SETTEMBRE","OTTOBRE","NOVEMBRE","DICEMBRE")&amp;" "&amp;YEAR(B477),"")</f>
        <v/>
      </c>
      <c r="P476" s="12" t="str">
        <f>IF(K476=0.2,"CASA","")</f>
        <v/>
      </c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" customHeight="1" x14ac:dyDescent="0.2">
      <c r="A477" s="5" t="str">
        <f>IF(AND(B477="",ISNUMBER(B478)),CHOOSE(MONTH(B478),"GENNAIO","FEBBRAIO","MARZO","APRILE","MAGGIO","GIUGNO","LUGLIO","AGOSTO","SETTEMBRE","OTTOBRE","NOVEMBRE","DICEMBRE")&amp;" "&amp;YEAR(B478),"")</f>
        <v/>
      </c>
      <c r="B477" s="11"/>
      <c r="C477" s="12"/>
      <c r="D477" s="12" t="str">
        <f>IF(C477="","",C477-IF(C476&lt;&gt;"",C476,IF(C475&lt;&gt;"",C475,IF(C474&lt;&gt;"",C474,0))))</f>
        <v/>
      </c>
      <c r="E477" s="12"/>
      <c r="F477" s="12"/>
      <c r="G477" s="9" t="str">
        <f>IF(AND(E477="",F477=""),"",IF(OR(E477&gt;1,F477&gt;1),(F477-E477)/100,F477-E477))</f>
        <v/>
      </c>
      <c r="H477" s="12" t="str">
        <f>IF(G477="","",64*G477)</f>
        <v/>
      </c>
      <c r="I477" s="13"/>
      <c r="J477" s="13" t="str">
        <f>IFERROR(IF(OR(D477="",D477=0),"",I477/D477*100),"")</f>
        <v/>
      </c>
      <c r="K477" s="14"/>
      <c r="L477" s="13" t="str">
        <f>IF(I477="","",I477*K477)</f>
        <v/>
      </c>
      <c r="M477" s="13" t="str">
        <f>IF(B477="","",IFERROR(SUMPRODUCT(ISNUMBER(B$3:B477)*(MONTH(IF(ISNUMBER(B$3:B477),B$3:B477,1))=MONTH(B477))*(YEAR(IF(ISNUMBER(B$3:B477),B$3:B477,1))=YEAR(B477))*IF(ISNUMBER(L$3:L477),L$3:L477,0)),""))</f>
        <v/>
      </c>
      <c r="N477" s="6"/>
      <c r="O477" s="7" t="str">
        <f>IF(AND(B477="",ISNUMBER(B478)),CHOOSE(MONTH(B478),"GENNAIO","FEBBRAIO","MARZO","APRILE","MAGGIO","GIUGNO","LUGLIO","AGOSTO","SETTEMBRE","OTTOBRE","NOVEMBRE","DICEMBRE")&amp;" "&amp;YEAR(B478),"")</f>
        <v/>
      </c>
      <c r="P477" s="12" t="str">
        <f>IF(K477=0.2,"CASA","")</f>
        <v/>
      </c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" customHeight="1" x14ac:dyDescent="0.2">
      <c r="A478" s="5" t="str">
        <f>IF(AND(B478="",ISNUMBER(B479)),CHOOSE(MONTH(B479),"GENNAIO","FEBBRAIO","MARZO","APRILE","MAGGIO","GIUGNO","LUGLIO","AGOSTO","SETTEMBRE","OTTOBRE","NOVEMBRE","DICEMBRE")&amp;" "&amp;YEAR(B479),"")</f>
        <v/>
      </c>
      <c r="B478" s="11"/>
      <c r="C478" s="12"/>
      <c r="D478" s="12" t="str">
        <f>IF(C478="","",C478-IF(C477&lt;&gt;"",C477,IF(C476&lt;&gt;"",C476,IF(C475&lt;&gt;"",C475,0))))</f>
        <v/>
      </c>
      <c r="E478" s="12"/>
      <c r="F478" s="12"/>
      <c r="G478" s="9" t="str">
        <f>IF(AND(E478="",F478=""),"",IF(OR(E478&gt;1,F478&gt;1),(F478-E478)/100,F478-E478))</f>
        <v/>
      </c>
      <c r="H478" s="12" t="str">
        <f>IF(G478="","",64*G478)</f>
        <v/>
      </c>
      <c r="I478" s="13"/>
      <c r="J478" s="13" t="str">
        <f>IFERROR(IF(OR(D478="",D478=0),"",I478/D478*100),"")</f>
        <v/>
      </c>
      <c r="K478" s="14"/>
      <c r="L478" s="13" t="str">
        <f>IF(I478="","",I478*K478)</f>
        <v/>
      </c>
      <c r="M478" s="13" t="str">
        <f>IF(B478="","",IFERROR(SUMPRODUCT(ISNUMBER(B$3:B478)*(MONTH(IF(ISNUMBER(B$3:B478),B$3:B478,1))=MONTH(B478))*(YEAR(IF(ISNUMBER(B$3:B478),B$3:B478,1))=YEAR(B478))*IF(ISNUMBER(L$3:L478),L$3:L478,0)),""))</f>
        <v/>
      </c>
      <c r="N478" s="6"/>
      <c r="O478" s="7" t="str">
        <f>IF(AND(B478="",ISNUMBER(B479)),CHOOSE(MONTH(B479),"GENNAIO","FEBBRAIO","MARZO","APRILE","MAGGIO","GIUGNO","LUGLIO","AGOSTO","SETTEMBRE","OTTOBRE","NOVEMBRE","DICEMBRE")&amp;" "&amp;YEAR(B479),"")</f>
        <v/>
      </c>
      <c r="P478" s="12" t="str">
        <f>IF(K478=0.2,"CASA","")</f>
        <v/>
      </c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" customHeight="1" x14ac:dyDescent="0.2">
      <c r="A479" s="5" t="str">
        <f>IF(AND(B479="",ISNUMBER(B480)),CHOOSE(MONTH(B480),"GENNAIO","FEBBRAIO","MARZO","APRILE","MAGGIO","GIUGNO","LUGLIO","AGOSTO","SETTEMBRE","OTTOBRE","NOVEMBRE","DICEMBRE")&amp;" "&amp;YEAR(B480),"")</f>
        <v/>
      </c>
      <c r="B479" s="11"/>
      <c r="C479" s="12"/>
      <c r="D479" s="12" t="str">
        <f>IF(C479="","",C479-IF(C478&lt;&gt;"",C478,IF(C477&lt;&gt;"",C477,IF(C476&lt;&gt;"",C476,0))))</f>
        <v/>
      </c>
      <c r="E479" s="12"/>
      <c r="F479" s="12"/>
      <c r="G479" s="9" t="str">
        <f>IF(AND(E479="",F479=""),"",IF(OR(E479&gt;1,F479&gt;1),(F479-E479)/100,F479-E479))</f>
        <v/>
      </c>
      <c r="H479" s="12" t="str">
        <f>IF(G479="","",64*G479)</f>
        <v/>
      </c>
      <c r="I479" s="13"/>
      <c r="J479" s="13" t="str">
        <f>IFERROR(IF(OR(D479="",D479=0),"",I479/D479*100),"")</f>
        <v/>
      </c>
      <c r="K479" s="14"/>
      <c r="L479" s="13" t="str">
        <f>IF(I479="","",I479*K479)</f>
        <v/>
      </c>
      <c r="M479" s="13" t="str">
        <f>IF(B479="","",IFERROR(SUMPRODUCT(ISNUMBER(B$3:B479)*(MONTH(IF(ISNUMBER(B$3:B479),B$3:B479,1))=MONTH(B479))*(YEAR(IF(ISNUMBER(B$3:B479),B$3:B479,1))=YEAR(B479))*IF(ISNUMBER(L$3:L479),L$3:L479,0)),""))</f>
        <v/>
      </c>
      <c r="N479" s="6"/>
      <c r="O479" s="7" t="str">
        <f>IF(AND(B479="",ISNUMBER(B480)),CHOOSE(MONTH(B480),"GENNAIO","FEBBRAIO","MARZO","APRILE","MAGGIO","GIUGNO","LUGLIO","AGOSTO","SETTEMBRE","OTTOBRE","NOVEMBRE","DICEMBRE")&amp;" "&amp;YEAR(B480),"")</f>
        <v/>
      </c>
      <c r="P479" s="12" t="str">
        <f>IF(K479=0.2,"CASA","")</f>
        <v/>
      </c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" customHeight="1" x14ac:dyDescent="0.2">
      <c r="A480" s="5" t="str">
        <f>IF(AND(B480="",ISNUMBER(B481)),CHOOSE(MONTH(B481),"GENNAIO","FEBBRAIO","MARZO","APRILE","MAGGIO","GIUGNO","LUGLIO","AGOSTO","SETTEMBRE","OTTOBRE","NOVEMBRE","DICEMBRE")&amp;" "&amp;YEAR(B481),"")</f>
        <v/>
      </c>
      <c r="B480" s="11"/>
      <c r="C480" s="12"/>
      <c r="D480" s="12" t="str">
        <f>IF(C480="","",C480-IF(C479&lt;&gt;"",C479,IF(C478&lt;&gt;"",C478,IF(C477&lt;&gt;"",C477,0))))</f>
        <v/>
      </c>
      <c r="E480" s="12"/>
      <c r="F480" s="12"/>
      <c r="G480" s="9" t="str">
        <f>IF(AND(E480="",F480=""),"",IF(OR(E480&gt;1,F480&gt;1),(F480-E480)/100,F480-E480))</f>
        <v/>
      </c>
      <c r="H480" s="12" t="str">
        <f>IF(G480="","",64*G480)</f>
        <v/>
      </c>
      <c r="I480" s="13"/>
      <c r="J480" s="13" t="str">
        <f>IFERROR(IF(OR(D480="",D480=0),"",I480/D480*100),"")</f>
        <v/>
      </c>
      <c r="K480" s="14"/>
      <c r="L480" s="13" t="str">
        <f>IF(I480="","",I480*K480)</f>
        <v/>
      </c>
      <c r="M480" s="13" t="str">
        <f>IF(B480="","",IFERROR(SUMPRODUCT(ISNUMBER(B$3:B480)*(MONTH(IF(ISNUMBER(B$3:B480),B$3:B480,1))=MONTH(B480))*(YEAR(IF(ISNUMBER(B$3:B480),B$3:B480,1))=YEAR(B480))*IF(ISNUMBER(L$3:L480),L$3:L480,0)),""))</f>
        <v/>
      </c>
      <c r="N480" s="6"/>
      <c r="O480" s="7" t="str">
        <f>IF(AND(B480="",ISNUMBER(B481)),CHOOSE(MONTH(B481),"GENNAIO","FEBBRAIO","MARZO","APRILE","MAGGIO","GIUGNO","LUGLIO","AGOSTO","SETTEMBRE","OTTOBRE","NOVEMBRE","DICEMBRE")&amp;" "&amp;YEAR(B481),"")</f>
        <v/>
      </c>
      <c r="P480" s="12" t="str">
        <f>IF(K480=0.2,"CASA","")</f>
        <v/>
      </c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" customHeight="1" x14ac:dyDescent="0.2">
      <c r="A481" s="5" t="str">
        <f>IF(AND(B481="",ISNUMBER(B482)),CHOOSE(MONTH(B482),"GENNAIO","FEBBRAIO","MARZO","APRILE","MAGGIO","GIUGNO","LUGLIO","AGOSTO","SETTEMBRE","OTTOBRE","NOVEMBRE","DICEMBRE")&amp;" "&amp;YEAR(B482),"")</f>
        <v/>
      </c>
      <c r="B481" s="11"/>
      <c r="C481" s="12"/>
      <c r="D481" s="12" t="str">
        <f>IF(C481="","",C481-IF(C480&lt;&gt;"",C480,IF(C479&lt;&gt;"",C479,IF(C478&lt;&gt;"",C478,0))))</f>
        <v/>
      </c>
      <c r="E481" s="12"/>
      <c r="F481" s="12"/>
      <c r="G481" s="9" t="str">
        <f>IF(AND(E481="",F481=""),"",IF(OR(E481&gt;1,F481&gt;1),(F481-E481)/100,F481-E481))</f>
        <v/>
      </c>
      <c r="H481" s="12" t="str">
        <f>IF(G481="","",64*G481)</f>
        <v/>
      </c>
      <c r="I481" s="13"/>
      <c r="J481" s="13" t="str">
        <f>IFERROR(IF(OR(D481="",D481=0),"",I481/D481*100),"")</f>
        <v/>
      </c>
      <c r="K481" s="14"/>
      <c r="L481" s="13" t="str">
        <f>IF(I481="","",I481*K481)</f>
        <v/>
      </c>
      <c r="M481" s="13" t="str">
        <f>IF(B481="","",IFERROR(SUMPRODUCT(ISNUMBER(B$3:B481)*(MONTH(IF(ISNUMBER(B$3:B481),B$3:B481,1))=MONTH(B481))*(YEAR(IF(ISNUMBER(B$3:B481),B$3:B481,1))=YEAR(B481))*IF(ISNUMBER(L$3:L481),L$3:L481,0)),""))</f>
        <v/>
      </c>
      <c r="N481" s="6"/>
      <c r="O481" s="7" t="str">
        <f>IF(AND(B481="",ISNUMBER(B482)),CHOOSE(MONTH(B482),"GENNAIO","FEBBRAIO","MARZO","APRILE","MAGGIO","GIUGNO","LUGLIO","AGOSTO","SETTEMBRE","OTTOBRE","NOVEMBRE","DICEMBRE")&amp;" "&amp;YEAR(B482),"")</f>
        <v/>
      </c>
      <c r="P481" s="12" t="str">
        <f>IF(K481=0.2,"CASA","")</f>
        <v/>
      </c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" customHeight="1" x14ac:dyDescent="0.2">
      <c r="A482" s="5" t="str">
        <f>IF(AND(B482="",ISNUMBER(B483)),CHOOSE(MONTH(B483),"GENNAIO","FEBBRAIO","MARZO","APRILE","MAGGIO","GIUGNO","LUGLIO","AGOSTO","SETTEMBRE","OTTOBRE","NOVEMBRE","DICEMBRE")&amp;" "&amp;YEAR(B483),"")</f>
        <v/>
      </c>
      <c r="B482" s="11"/>
      <c r="C482" s="12"/>
      <c r="D482" s="12" t="str">
        <f>IF(C482="","",C482-IF(C481&lt;&gt;"",C481,IF(C480&lt;&gt;"",C480,IF(C479&lt;&gt;"",C479,0))))</f>
        <v/>
      </c>
      <c r="E482" s="12"/>
      <c r="F482" s="12"/>
      <c r="G482" s="9" t="str">
        <f>IF(AND(E482="",F482=""),"",IF(OR(E482&gt;1,F482&gt;1),(F482-E482)/100,F482-E482))</f>
        <v/>
      </c>
      <c r="H482" s="12" t="str">
        <f>IF(G482="","",64*G482)</f>
        <v/>
      </c>
      <c r="I482" s="13"/>
      <c r="J482" s="13" t="str">
        <f>IFERROR(IF(OR(D482="",D482=0),"",I482/D482*100),"")</f>
        <v/>
      </c>
      <c r="K482" s="14"/>
      <c r="L482" s="13" t="str">
        <f>IF(I482="","",I482*K482)</f>
        <v/>
      </c>
      <c r="M482" s="13" t="str">
        <f>IF(B482="","",IFERROR(SUMPRODUCT(ISNUMBER(B$3:B482)*(MONTH(IF(ISNUMBER(B$3:B482),B$3:B482,1))=MONTH(B482))*(YEAR(IF(ISNUMBER(B$3:B482),B$3:B482,1))=YEAR(B482))*IF(ISNUMBER(L$3:L482),L$3:L482,0)),""))</f>
        <v/>
      </c>
      <c r="N482" s="6"/>
      <c r="O482" s="7" t="str">
        <f>IF(AND(B482="",ISNUMBER(B483)),CHOOSE(MONTH(B483),"GENNAIO","FEBBRAIO","MARZO","APRILE","MAGGIO","GIUGNO","LUGLIO","AGOSTO","SETTEMBRE","OTTOBRE","NOVEMBRE","DICEMBRE")&amp;" "&amp;YEAR(B483),"")</f>
        <v/>
      </c>
      <c r="P482" s="12" t="str">
        <f>IF(K482=0.2,"CASA","")</f>
        <v/>
      </c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" customHeight="1" x14ac:dyDescent="0.2">
      <c r="A483" s="5" t="str">
        <f>IF(AND(B483="",ISNUMBER(B484)),CHOOSE(MONTH(B484),"GENNAIO","FEBBRAIO","MARZO","APRILE","MAGGIO","GIUGNO","LUGLIO","AGOSTO","SETTEMBRE","OTTOBRE","NOVEMBRE","DICEMBRE")&amp;" "&amp;YEAR(B484),"")</f>
        <v/>
      </c>
      <c r="B483" s="11"/>
      <c r="C483" s="12"/>
      <c r="D483" s="12" t="str">
        <f>IF(C483="","",C483-IF(C482&lt;&gt;"",C482,IF(C481&lt;&gt;"",C481,IF(C480&lt;&gt;"",C480,0))))</f>
        <v/>
      </c>
      <c r="E483" s="12"/>
      <c r="F483" s="12"/>
      <c r="G483" s="9" t="str">
        <f>IF(AND(E483="",F483=""),"",IF(OR(E483&gt;1,F483&gt;1),(F483-E483)/100,F483-E483))</f>
        <v/>
      </c>
      <c r="H483" s="12" t="str">
        <f>IF(G483="","",64*G483)</f>
        <v/>
      </c>
      <c r="I483" s="13"/>
      <c r="J483" s="13" t="str">
        <f>IFERROR(IF(OR(D483="",D483=0),"",I483/D483*100),"")</f>
        <v/>
      </c>
      <c r="K483" s="14"/>
      <c r="L483" s="13" t="str">
        <f>IF(I483="","",I483*K483)</f>
        <v/>
      </c>
      <c r="M483" s="13" t="str">
        <f>IF(B483="","",IFERROR(SUMPRODUCT(ISNUMBER(B$3:B483)*(MONTH(IF(ISNUMBER(B$3:B483),B$3:B483,1))=MONTH(B483))*(YEAR(IF(ISNUMBER(B$3:B483),B$3:B483,1))=YEAR(B483))*IF(ISNUMBER(L$3:L483),L$3:L483,0)),""))</f>
        <v/>
      </c>
      <c r="N483" s="6"/>
      <c r="O483" s="7" t="str">
        <f>IF(AND(B483="",ISNUMBER(B484)),CHOOSE(MONTH(B484),"GENNAIO","FEBBRAIO","MARZO","APRILE","MAGGIO","GIUGNO","LUGLIO","AGOSTO","SETTEMBRE","OTTOBRE","NOVEMBRE","DICEMBRE")&amp;" "&amp;YEAR(B484),"")</f>
        <v/>
      </c>
      <c r="P483" s="12" t="str">
        <f>IF(K483=0.2,"CASA","")</f>
        <v/>
      </c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" customHeight="1" x14ac:dyDescent="0.2">
      <c r="A484" s="5" t="str">
        <f>IF(AND(B484="",ISNUMBER(B485)),CHOOSE(MONTH(B485),"GENNAIO","FEBBRAIO","MARZO","APRILE","MAGGIO","GIUGNO","LUGLIO","AGOSTO","SETTEMBRE","OTTOBRE","NOVEMBRE","DICEMBRE")&amp;" "&amp;YEAR(B485),"")</f>
        <v/>
      </c>
      <c r="B484" s="11"/>
      <c r="C484" s="12"/>
      <c r="D484" s="12" t="str">
        <f>IF(C484="","",C484-IF(C483&lt;&gt;"",C483,IF(C482&lt;&gt;"",C482,IF(C481&lt;&gt;"",C481,0))))</f>
        <v/>
      </c>
      <c r="E484" s="12"/>
      <c r="F484" s="12"/>
      <c r="G484" s="9" t="str">
        <f>IF(AND(E484="",F484=""),"",IF(OR(E484&gt;1,F484&gt;1),(F484-E484)/100,F484-E484))</f>
        <v/>
      </c>
      <c r="H484" s="12" t="str">
        <f>IF(G484="","",64*G484)</f>
        <v/>
      </c>
      <c r="I484" s="13"/>
      <c r="J484" s="13" t="str">
        <f>IFERROR(IF(OR(D484="",D484=0),"",I484/D484*100),"")</f>
        <v/>
      </c>
      <c r="K484" s="14"/>
      <c r="L484" s="13" t="str">
        <f>IF(I484="","",I484*K484)</f>
        <v/>
      </c>
      <c r="M484" s="13" t="str">
        <f>IF(B484="","",IFERROR(SUMPRODUCT(ISNUMBER(B$3:B484)*(MONTH(IF(ISNUMBER(B$3:B484),B$3:B484,1))=MONTH(B484))*(YEAR(IF(ISNUMBER(B$3:B484),B$3:B484,1))=YEAR(B484))*IF(ISNUMBER(L$3:L484),L$3:L484,0)),""))</f>
        <v/>
      </c>
      <c r="N484" s="6"/>
      <c r="O484" s="7" t="str">
        <f>IF(AND(B484="",ISNUMBER(B485)),CHOOSE(MONTH(B485),"GENNAIO","FEBBRAIO","MARZO","APRILE","MAGGIO","GIUGNO","LUGLIO","AGOSTO","SETTEMBRE","OTTOBRE","NOVEMBRE","DICEMBRE")&amp;" "&amp;YEAR(B485),"")</f>
        <v/>
      </c>
      <c r="P484" s="12" t="str">
        <f>IF(K484=0.2,"CASA","")</f>
        <v/>
      </c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" customHeight="1" x14ac:dyDescent="0.2">
      <c r="A485" s="5" t="str">
        <f>IF(AND(B485="",ISNUMBER(B486)),CHOOSE(MONTH(B486),"GENNAIO","FEBBRAIO","MARZO","APRILE","MAGGIO","GIUGNO","LUGLIO","AGOSTO","SETTEMBRE","OTTOBRE","NOVEMBRE","DICEMBRE")&amp;" "&amp;YEAR(B486),"")</f>
        <v/>
      </c>
      <c r="B485" s="11"/>
      <c r="C485" s="12"/>
      <c r="D485" s="12" t="str">
        <f>IF(C485="","",C485-IF(C484&lt;&gt;"",C484,IF(C483&lt;&gt;"",C483,IF(C482&lt;&gt;"",C482,0))))</f>
        <v/>
      </c>
      <c r="E485" s="12"/>
      <c r="F485" s="12"/>
      <c r="G485" s="9" t="str">
        <f>IF(AND(E485="",F485=""),"",IF(OR(E485&gt;1,F485&gt;1),(F485-E485)/100,F485-E485))</f>
        <v/>
      </c>
      <c r="H485" s="12" t="str">
        <f>IF(G485="","",64*G485)</f>
        <v/>
      </c>
      <c r="I485" s="13"/>
      <c r="J485" s="13" t="str">
        <f>IFERROR(IF(OR(D485="",D485=0),"",I485/D485*100),"")</f>
        <v/>
      </c>
      <c r="K485" s="14"/>
      <c r="L485" s="13" t="str">
        <f>IF(I485="","",I485*K485)</f>
        <v/>
      </c>
      <c r="M485" s="13" t="str">
        <f>IF(B485="","",IFERROR(SUMPRODUCT(ISNUMBER(B$3:B485)*(MONTH(IF(ISNUMBER(B$3:B485),B$3:B485,1))=MONTH(B485))*(YEAR(IF(ISNUMBER(B$3:B485),B$3:B485,1))=YEAR(B485))*IF(ISNUMBER(L$3:L485),L$3:L485,0)),""))</f>
        <v/>
      </c>
      <c r="N485" s="6"/>
      <c r="O485" s="7" t="str">
        <f>IF(AND(B485="",ISNUMBER(B486)),CHOOSE(MONTH(B486),"GENNAIO","FEBBRAIO","MARZO","APRILE","MAGGIO","GIUGNO","LUGLIO","AGOSTO","SETTEMBRE","OTTOBRE","NOVEMBRE","DICEMBRE")&amp;" "&amp;YEAR(B486),"")</f>
        <v/>
      </c>
      <c r="P485" s="12" t="str">
        <f>IF(K485=0.2,"CASA","")</f>
        <v/>
      </c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" customHeight="1" x14ac:dyDescent="0.2">
      <c r="A486" s="5" t="str">
        <f>IF(AND(B486="",ISNUMBER(B487)),CHOOSE(MONTH(B487),"GENNAIO","FEBBRAIO","MARZO","APRILE","MAGGIO","GIUGNO","LUGLIO","AGOSTO","SETTEMBRE","OTTOBRE","NOVEMBRE","DICEMBRE")&amp;" "&amp;YEAR(B487),"")</f>
        <v/>
      </c>
      <c r="B486" s="11"/>
      <c r="C486" s="12"/>
      <c r="D486" s="12" t="str">
        <f>IF(C486="","",C486-IF(C485&lt;&gt;"",C485,IF(C484&lt;&gt;"",C484,IF(C483&lt;&gt;"",C483,0))))</f>
        <v/>
      </c>
      <c r="E486" s="12"/>
      <c r="F486" s="12"/>
      <c r="G486" s="9" t="str">
        <f>IF(AND(E486="",F486=""),"",IF(OR(E486&gt;1,F486&gt;1),(F486-E486)/100,F486-E486))</f>
        <v/>
      </c>
      <c r="H486" s="12" t="str">
        <f>IF(G486="","",64*G486)</f>
        <v/>
      </c>
      <c r="I486" s="13"/>
      <c r="J486" s="13" t="str">
        <f>IFERROR(IF(OR(D486="",D486=0),"",I486/D486*100),"")</f>
        <v/>
      </c>
      <c r="K486" s="14"/>
      <c r="L486" s="13" t="str">
        <f>IF(I486="","",I486*K486)</f>
        <v/>
      </c>
      <c r="M486" s="13" t="str">
        <f>IF(B486="","",IFERROR(SUMPRODUCT(ISNUMBER(B$3:B486)*(MONTH(IF(ISNUMBER(B$3:B486),B$3:B486,1))=MONTH(B486))*(YEAR(IF(ISNUMBER(B$3:B486),B$3:B486,1))=YEAR(B486))*IF(ISNUMBER(L$3:L486),L$3:L486,0)),""))</f>
        <v/>
      </c>
      <c r="N486" s="6"/>
      <c r="O486" s="7" t="str">
        <f>IF(AND(B486="",ISNUMBER(B487)),CHOOSE(MONTH(B487),"GENNAIO","FEBBRAIO","MARZO","APRILE","MAGGIO","GIUGNO","LUGLIO","AGOSTO","SETTEMBRE","OTTOBRE","NOVEMBRE","DICEMBRE")&amp;" "&amp;YEAR(B487),"")</f>
        <v/>
      </c>
      <c r="P486" s="12" t="str">
        <f>IF(K486=0.2,"CASA","")</f>
        <v/>
      </c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" customHeight="1" x14ac:dyDescent="0.2">
      <c r="A487" s="5" t="str">
        <f>IF(AND(B487="",ISNUMBER(B488)),CHOOSE(MONTH(B488),"GENNAIO","FEBBRAIO","MARZO","APRILE","MAGGIO","GIUGNO","LUGLIO","AGOSTO","SETTEMBRE","OTTOBRE","NOVEMBRE","DICEMBRE")&amp;" "&amp;YEAR(B488),"")</f>
        <v/>
      </c>
      <c r="B487" s="11"/>
      <c r="C487" s="12"/>
      <c r="D487" s="12" t="str">
        <f>IF(C487="","",C487-IF(C486&lt;&gt;"",C486,IF(C485&lt;&gt;"",C485,IF(C484&lt;&gt;"",C484,0))))</f>
        <v/>
      </c>
      <c r="E487" s="12"/>
      <c r="F487" s="12"/>
      <c r="G487" s="9" t="str">
        <f>IF(AND(E487="",F487=""),"",IF(OR(E487&gt;1,F487&gt;1),(F487-E487)/100,F487-E487))</f>
        <v/>
      </c>
      <c r="H487" s="12" t="str">
        <f>IF(G487="","",64*G487)</f>
        <v/>
      </c>
      <c r="I487" s="13"/>
      <c r="J487" s="13" t="str">
        <f>IFERROR(IF(OR(D487="",D487=0),"",I487/D487*100),"")</f>
        <v/>
      </c>
      <c r="K487" s="14"/>
      <c r="L487" s="13" t="str">
        <f>IF(I487="","",I487*K487)</f>
        <v/>
      </c>
      <c r="M487" s="13" t="str">
        <f>IF(B487="","",IFERROR(SUMPRODUCT(ISNUMBER(B$3:B487)*(MONTH(IF(ISNUMBER(B$3:B487),B$3:B487,1))=MONTH(B487))*(YEAR(IF(ISNUMBER(B$3:B487),B$3:B487,1))=YEAR(B487))*IF(ISNUMBER(L$3:L487),L$3:L487,0)),""))</f>
        <v/>
      </c>
      <c r="N487" s="6"/>
      <c r="O487" s="7" t="str">
        <f>IF(AND(B487="",ISNUMBER(B488)),CHOOSE(MONTH(B488),"GENNAIO","FEBBRAIO","MARZO","APRILE","MAGGIO","GIUGNO","LUGLIO","AGOSTO","SETTEMBRE","OTTOBRE","NOVEMBRE","DICEMBRE")&amp;" "&amp;YEAR(B488),"")</f>
        <v/>
      </c>
      <c r="P487" s="12" t="str">
        <f>IF(K487=0.2,"CASA","")</f>
        <v/>
      </c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" customHeight="1" x14ac:dyDescent="0.2">
      <c r="A488" s="5" t="str">
        <f>IF(AND(B488="",ISNUMBER(B489)),CHOOSE(MONTH(B489),"GENNAIO","FEBBRAIO","MARZO","APRILE","MAGGIO","GIUGNO","LUGLIO","AGOSTO","SETTEMBRE","OTTOBRE","NOVEMBRE","DICEMBRE")&amp;" "&amp;YEAR(B489),"")</f>
        <v/>
      </c>
      <c r="B488" s="11"/>
      <c r="C488" s="12"/>
      <c r="D488" s="12" t="str">
        <f>IF(C488="","",C488-IF(C487&lt;&gt;"",C487,IF(C486&lt;&gt;"",C486,IF(C485&lt;&gt;"",C485,0))))</f>
        <v/>
      </c>
      <c r="E488" s="12"/>
      <c r="F488" s="12"/>
      <c r="G488" s="9" t="str">
        <f>IF(AND(E488="",F488=""),"",IF(OR(E488&gt;1,F488&gt;1),(F488-E488)/100,F488-E488))</f>
        <v/>
      </c>
      <c r="H488" s="12" t="str">
        <f>IF(G488="","",64*G488)</f>
        <v/>
      </c>
      <c r="I488" s="13"/>
      <c r="J488" s="13" t="str">
        <f>IFERROR(IF(OR(D488="",D488=0),"",I488/D488*100),"")</f>
        <v/>
      </c>
      <c r="K488" s="14"/>
      <c r="L488" s="13" t="str">
        <f>IF(I488="","",I488*K488)</f>
        <v/>
      </c>
      <c r="M488" s="13" t="str">
        <f>IF(B488="","",IFERROR(SUMPRODUCT(ISNUMBER(B$3:B488)*(MONTH(IF(ISNUMBER(B$3:B488),B$3:B488,1))=MONTH(B488))*(YEAR(IF(ISNUMBER(B$3:B488),B$3:B488,1))=YEAR(B488))*IF(ISNUMBER(L$3:L488),L$3:L488,0)),""))</f>
        <v/>
      </c>
      <c r="N488" s="6"/>
      <c r="O488" s="7" t="str">
        <f>IF(AND(B488="",ISNUMBER(B489)),CHOOSE(MONTH(B489),"GENNAIO","FEBBRAIO","MARZO","APRILE","MAGGIO","GIUGNO","LUGLIO","AGOSTO","SETTEMBRE","OTTOBRE","NOVEMBRE","DICEMBRE")&amp;" "&amp;YEAR(B489),"")</f>
        <v/>
      </c>
      <c r="P488" s="12" t="str">
        <f>IF(K488=0.2,"CASA","")</f>
        <v/>
      </c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" customHeight="1" x14ac:dyDescent="0.2">
      <c r="A489" s="5" t="str">
        <f>IF(AND(B489="",ISNUMBER(B490)),CHOOSE(MONTH(B490),"GENNAIO","FEBBRAIO","MARZO","APRILE","MAGGIO","GIUGNO","LUGLIO","AGOSTO","SETTEMBRE","OTTOBRE","NOVEMBRE","DICEMBRE")&amp;" "&amp;YEAR(B490),"")</f>
        <v/>
      </c>
      <c r="B489" s="11"/>
      <c r="C489" s="12"/>
      <c r="D489" s="12" t="str">
        <f>IF(C489="","",C489-IF(C488&lt;&gt;"",C488,IF(C487&lt;&gt;"",C487,IF(C486&lt;&gt;"",C486,0))))</f>
        <v/>
      </c>
      <c r="E489" s="12"/>
      <c r="F489" s="12"/>
      <c r="G489" s="9" t="str">
        <f>IF(AND(E489="",F489=""),"",IF(OR(E489&gt;1,F489&gt;1),(F489-E489)/100,F489-E489))</f>
        <v/>
      </c>
      <c r="H489" s="12" t="str">
        <f>IF(G489="","",64*G489)</f>
        <v/>
      </c>
      <c r="I489" s="13"/>
      <c r="J489" s="13" t="str">
        <f>IFERROR(IF(OR(D489="",D489=0),"",I489/D489*100),"")</f>
        <v/>
      </c>
      <c r="K489" s="14"/>
      <c r="L489" s="13" t="str">
        <f>IF(I489="","",I489*K489)</f>
        <v/>
      </c>
      <c r="M489" s="13" t="str">
        <f>IF(B489="","",IFERROR(SUMPRODUCT(ISNUMBER(B$3:B489)*(MONTH(IF(ISNUMBER(B$3:B489),B$3:B489,1))=MONTH(B489))*(YEAR(IF(ISNUMBER(B$3:B489),B$3:B489,1))=YEAR(B489))*IF(ISNUMBER(L$3:L489),L$3:L489,0)),""))</f>
        <v/>
      </c>
      <c r="N489" s="6"/>
      <c r="O489" s="7" t="str">
        <f>IF(AND(B489="",ISNUMBER(B490)),CHOOSE(MONTH(B490),"GENNAIO","FEBBRAIO","MARZO","APRILE","MAGGIO","GIUGNO","LUGLIO","AGOSTO","SETTEMBRE","OTTOBRE","NOVEMBRE","DICEMBRE")&amp;" "&amp;YEAR(B490),"")</f>
        <v/>
      </c>
      <c r="P489" s="12" t="str">
        <f>IF(K489=0.2,"CASA","")</f>
        <v/>
      </c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" customHeight="1" x14ac:dyDescent="0.2">
      <c r="A490" s="5" t="str">
        <f>IF(AND(B490="",ISNUMBER(B491)),CHOOSE(MONTH(B491),"GENNAIO","FEBBRAIO","MARZO","APRILE","MAGGIO","GIUGNO","LUGLIO","AGOSTO","SETTEMBRE","OTTOBRE","NOVEMBRE","DICEMBRE")&amp;" "&amp;YEAR(B491),"")</f>
        <v/>
      </c>
      <c r="B490" s="11"/>
      <c r="C490" s="12"/>
      <c r="D490" s="12" t="str">
        <f>IF(C490="","",C490-IF(C489&lt;&gt;"",C489,IF(C488&lt;&gt;"",C488,IF(C487&lt;&gt;"",C487,0))))</f>
        <v/>
      </c>
      <c r="E490" s="12"/>
      <c r="F490" s="12"/>
      <c r="G490" s="9" t="str">
        <f>IF(AND(E490="",F490=""),"",IF(OR(E490&gt;1,F490&gt;1),(F490-E490)/100,F490-E490))</f>
        <v/>
      </c>
      <c r="H490" s="12" t="str">
        <f>IF(G490="","",64*G490)</f>
        <v/>
      </c>
      <c r="I490" s="13"/>
      <c r="J490" s="13" t="str">
        <f>IFERROR(IF(OR(D490="",D490=0),"",I490/D490*100),"")</f>
        <v/>
      </c>
      <c r="K490" s="14"/>
      <c r="L490" s="13" t="str">
        <f>IF(I490="","",I490*K490)</f>
        <v/>
      </c>
      <c r="M490" s="13" t="str">
        <f>IF(B490="","",IFERROR(SUMPRODUCT(ISNUMBER(B$3:B490)*(MONTH(IF(ISNUMBER(B$3:B490),B$3:B490,1))=MONTH(B490))*(YEAR(IF(ISNUMBER(B$3:B490),B$3:B490,1))=YEAR(B490))*IF(ISNUMBER(L$3:L490),L$3:L490,0)),""))</f>
        <v/>
      </c>
      <c r="N490" s="6"/>
      <c r="O490" s="7" t="str">
        <f>IF(AND(B490="",ISNUMBER(B491)),CHOOSE(MONTH(B491),"GENNAIO","FEBBRAIO","MARZO","APRILE","MAGGIO","GIUGNO","LUGLIO","AGOSTO","SETTEMBRE","OTTOBRE","NOVEMBRE","DICEMBRE")&amp;" "&amp;YEAR(B491),"")</f>
        <v/>
      </c>
      <c r="P490" s="12" t="str">
        <f>IF(K490=0.2,"CASA","")</f>
        <v/>
      </c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" customHeight="1" x14ac:dyDescent="0.2">
      <c r="A491" s="5" t="str">
        <f>IF(AND(B491="",ISNUMBER(B492)),CHOOSE(MONTH(B492),"GENNAIO","FEBBRAIO","MARZO","APRILE","MAGGIO","GIUGNO","LUGLIO","AGOSTO","SETTEMBRE","OTTOBRE","NOVEMBRE","DICEMBRE")&amp;" "&amp;YEAR(B492),"")</f>
        <v/>
      </c>
      <c r="B491" s="11"/>
      <c r="C491" s="12"/>
      <c r="D491" s="12" t="str">
        <f>IF(C491="","",C491-IF(C490&lt;&gt;"",C490,IF(C489&lt;&gt;"",C489,IF(C488&lt;&gt;"",C488,0))))</f>
        <v/>
      </c>
      <c r="E491" s="12"/>
      <c r="F491" s="12"/>
      <c r="G491" s="9" t="str">
        <f>IF(AND(E491="",F491=""),"",IF(OR(E491&gt;1,F491&gt;1),(F491-E491)/100,F491-E491))</f>
        <v/>
      </c>
      <c r="H491" s="12" t="str">
        <f>IF(G491="","",64*G491)</f>
        <v/>
      </c>
      <c r="I491" s="13"/>
      <c r="J491" s="13" t="str">
        <f>IFERROR(IF(OR(D491="",D491=0),"",I491/D491*100),"")</f>
        <v/>
      </c>
      <c r="K491" s="14"/>
      <c r="L491" s="13" t="str">
        <f>IF(I491="","",I491*K491)</f>
        <v/>
      </c>
      <c r="M491" s="13" t="str">
        <f>IF(B491="","",IFERROR(SUMPRODUCT(ISNUMBER(B$3:B491)*(MONTH(IF(ISNUMBER(B$3:B491),B$3:B491,1))=MONTH(B491))*(YEAR(IF(ISNUMBER(B$3:B491),B$3:B491,1))=YEAR(B491))*IF(ISNUMBER(L$3:L491),L$3:L491,0)),""))</f>
        <v/>
      </c>
      <c r="N491" s="6"/>
      <c r="O491" s="7" t="str">
        <f>IF(AND(B491="",ISNUMBER(B492)),CHOOSE(MONTH(B492),"GENNAIO","FEBBRAIO","MARZO","APRILE","MAGGIO","GIUGNO","LUGLIO","AGOSTO","SETTEMBRE","OTTOBRE","NOVEMBRE","DICEMBRE")&amp;" "&amp;YEAR(B492),"")</f>
        <v/>
      </c>
      <c r="P491" s="12" t="str">
        <f>IF(K491=0.2,"CASA","")</f>
        <v/>
      </c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" customHeight="1" x14ac:dyDescent="0.2">
      <c r="A492" s="5" t="str">
        <f>IF(AND(B492="",ISNUMBER(B493)),CHOOSE(MONTH(B493),"GENNAIO","FEBBRAIO","MARZO","APRILE","MAGGIO","GIUGNO","LUGLIO","AGOSTO","SETTEMBRE","OTTOBRE","NOVEMBRE","DICEMBRE")&amp;" "&amp;YEAR(B493),"")</f>
        <v/>
      </c>
      <c r="B492" s="11"/>
      <c r="C492" s="12"/>
      <c r="D492" s="12" t="str">
        <f>IF(C492="","",C492-IF(C491&lt;&gt;"",C491,IF(C490&lt;&gt;"",C490,IF(C489&lt;&gt;"",C489,0))))</f>
        <v/>
      </c>
      <c r="E492" s="12"/>
      <c r="F492" s="12"/>
      <c r="G492" s="9" t="str">
        <f>IF(AND(E492="",F492=""),"",IF(OR(E492&gt;1,F492&gt;1),(F492-E492)/100,F492-E492))</f>
        <v/>
      </c>
      <c r="H492" s="12" t="str">
        <f>IF(G492="","",64*G492)</f>
        <v/>
      </c>
      <c r="I492" s="13"/>
      <c r="J492" s="13" t="str">
        <f>IFERROR(IF(OR(D492="",D492=0),"",I492/D492*100),"")</f>
        <v/>
      </c>
      <c r="K492" s="14"/>
      <c r="L492" s="13" t="str">
        <f>IF(I492="","",I492*K492)</f>
        <v/>
      </c>
      <c r="M492" s="13" t="str">
        <f>IF(B492="","",IFERROR(SUMPRODUCT(ISNUMBER(B$3:B492)*(MONTH(IF(ISNUMBER(B$3:B492),B$3:B492,1))=MONTH(B492))*(YEAR(IF(ISNUMBER(B$3:B492),B$3:B492,1))=YEAR(B492))*IF(ISNUMBER(L$3:L492),L$3:L492,0)),""))</f>
        <v/>
      </c>
      <c r="N492" s="6"/>
      <c r="O492" s="7" t="str">
        <f>IF(AND(B492="",ISNUMBER(B493)),CHOOSE(MONTH(B493),"GENNAIO","FEBBRAIO","MARZO","APRILE","MAGGIO","GIUGNO","LUGLIO","AGOSTO","SETTEMBRE","OTTOBRE","NOVEMBRE","DICEMBRE")&amp;" "&amp;YEAR(B493),"")</f>
        <v/>
      </c>
      <c r="P492" s="12" t="str">
        <f>IF(K492=0.2,"CASA","")</f>
        <v/>
      </c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" customHeight="1" x14ac:dyDescent="0.2">
      <c r="A493" s="5" t="str">
        <f>IF(AND(B493="",ISNUMBER(B494)),CHOOSE(MONTH(B494),"GENNAIO","FEBBRAIO","MARZO","APRILE","MAGGIO","GIUGNO","LUGLIO","AGOSTO","SETTEMBRE","OTTOBRE","NOVEMBRE","DICEMBRE")&amp;" "&amp;YEAR(B494),"")</f>
        <v/>
      </c>
      <c r="B493" s="11"/>
      <c r="C493" s="12"/>
      <c r="D493" s="12" t="str">
        <f>IF(C493="","",C493-IF(C492&lt;&gt;"",C492,IF(C491&lt;&gt;"",C491,IF(C490&lt;&gt;"",C490,0))))</f>
        <v/>
      </c>
      <c r="E493" s="12"/>
      <c r="F493" s="12"/>
      <c r="G493" s="9" t="str">
        <f>IF(AND(E493="",F493=""),"",IF(OR(E493&gt;1,F493&gt;1),(F493-E493)/100,F493-E493))</f>
        <v/>
      </c>
      <c r="H493" s="12" t="str">
        <f>IF(G493="","",64*G493)</f>
        <v/>
      </c>
      <c r="I493" s="13"/>
      <c r="J493" s="13" t="str">
        <f>IFERROR(IF(OR(D493="",D493=0),"",I493/D493*100),"")</f>
        <v/>
      </c>
      <c r="K493" s="14"/>
      <c r="L493" s="13" t="str">
        <f>IF(I493="","",I493*K493)</f>
        <v/>
      </c>
      <c r="M493" s="13" t="str">
        <f>IF(B493="","",IFERROR(SUMPRODUCT(ISNUMBER(B$3:B493)*(MONTH(IF(ISNUMBER(B$3:B493),B$3:B493,1))=MONTH(B493))*(YEAR(IF(ISNUMBER(B$3:B493),B$3:B493,1))=YEAR(B493))*IF(ISNUMBER(L$3:L493),L$3:L493,0)),""))</f>
        <v/>
      </c>
      <c r="N493" s="6"/>
      <c r="O493" s="7" t="str">
        <f>IF(AND(B493="",ISNUMBER(B494)),CHOOSE(MONTH(B494),"GENNAIO","FEBBRAIO","MARZO","APRILE","MAGGIO","GIUGNO","LUGLIO","AGOSTO","SETTEMBRE","OTTOBRE","NOVEMBRE","DICEMBRE")&amp;" "&amp;YEAR(B494),"")</f>
        <v/>
      </c>
      <c r="P493" s="12" t="str">
        <f>IF(K493=0.2,"CASA","")</f>
        <v/>
      </c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" customHeight="1" x14ac:dyDescent="0.2">
      <c r="A494" s="5" t="str">
        <f>IF(AND(B494="",ISNUMBER(B495)),CHOOSE(MONTH(B495),"GENNAIO","FEBBRAIO","MARZO","APRILE","MAGGIO","GIUGNO","LUGLIO","AGOSTO","SETTEMBRE","OTTOBRE","NOVEMBRE","DICEMBRE")&amp;" "&amp;YEAR(B495),"")</f>
        <v/>
      </c>
      <c r="B494" s="11"/>
      <c r="C494" s="12"/>
      <c r="D494" s="12" t="str">
        <f>IF(C494="","",C494-IF(C493&lt;&gt;"",C493,IF(C492&lt;&gt;"",C492,IF(C491&lt;&gt;"",C491,0))))</f>
        <v/>
      </c>
      <c r="E494" s="12"/>
      <c r="F494" s="12"/>
      <c r="G494" s="9" t="str">
        <f>IF(AND(E494="",F494=""),"",IF(OR(E494&gt;1,F494&gt;1),(F494-E494)/100,F494-E494))</f>
        <v/>
      </c>
      <c r="H494" s="12" t="str">
        <f>IF(G494="","",64*G494)</f>
        <v/>
      </c>
      <c r="I494" s="13"/>
      <c r="J494" s="13" t="str">
        <f>IFERROR(IF(OR(D494="",D494=0),"",I494/D494*100),"")</f>
        <v/>
      </c>
      <c r="K494" s="14"/>
      <c r="L494" s="13" t="str">
        <f>IF(I494="","",I494*K494)</f>
        <v/>
      </c>
      <c r="M494" s="13" t="str">
        <f>IF(B494="","",IFERROR(SUMPRODUCT(ISNUMBER(B$3:B494)*(MONTH(IF(ISNUMBER(B$3:B494),B$3:B494,1))=MONTH(B494))*(YEAR(IF(ISNUMBER(B$3:B494),B$3:B494,1))=YEAR(B494))*IF(ISNUMBER(L$3:L494),L$3:L494,0)),""))</f>
        <v/>
      </c>
      <c r="N494" s="6"/>
      <c r="O494" s="7" t="str">
        <f>IF(AND(B494="",ISNUMBER(B495)),CHOOSE(MONTH(B495),"GENNAIO","FEBBRAIO","MARZO","APRILE","MAGGIO","GIUGNO","LUGLIO","AGOSTO","SETTEMBRE","OTTOBRE","NOVEMBRE","DICEMBRE")&amp;" "&amp;YEAR(B495),"")</f>
        <v/>
      </c>
      <c r="P494" s="12" t="str">
        <f>IF(K494=0.2,"CASA","")</f>
        <v/>
      </c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" customHeight="1" x14ac:dyDescent="0.2">
      <c r="A495" s="5" t="str">
        <f>IF(AND(B495="",ISNUMBER(B496)),CHOOSE(MONTH(B496),"GENNAIO","FEBBRAIO","MARZO","APRILE","MAGGIO","GIUGNO","LUGLIO","AGOSTO","SETTEMBRE","OTTOBRE","NOVEMBRE","DICEMBRE")&amp;" "&amp;YEAR(B496),"")</f>
        <v/>
      </c>
      <c r="B495" s="11"/>
      <c r="C495" s="12"/>
      <c r="D495" s="12" t="str">
        <f>IF(C495="","",C495-IF(C494&lt;&gt;"",C494,IF(C493&lt;&gt;"",C493,IF(C492&lt;&gt;"",C492,0))))</f>
        <v/>
      </c>
      <c r="E495" s="12"/>
      <c r="F495" s="12"/>
      <c r="G495" s="9" t="str">
        <f>IF(AND(E495="",F495=""),"",IF(OR(E495&gt;1,F495&gt;1),(F495-E495)/100,F495-E495))</f>
        <v/>
      </c>
      <c r="H495" s="12" t="str">
        <f>IF(G495="","",64*G495)</f>
        <v/>
      </c>
      <c r="I495" s="13"/>
      <c r="J495" s="13" t="str">
        <f>IFERROR(IF(OR(D495="",D495=0),"",I495/D495*100),"")</f>
        <v/>
      </c>
      <c r="K495" s="14"/>
      <c r="L495" s="13" t="str">
        <f>IF(I495="","",I495*K495)</f>
        <v/>
      </c>
      <c r="M495" s="13" t="str">
        <f>IF(B495="","",IFERROR(SUMPRODUCT(ISNUMBER(B$3:B495)*(MONTH(IF(ISNUMBER(B$3:B495),B$3:B495,1))=MONTH(B495))*(YEAR(IF(ISNUMBER(B$3:B495),B$3:B495,1))=YEAR(B495))*IF(ISNUMBER(L$3:L495),L$3:L495,0)),""))</f>
        <v/>
      </c>
      <c r="N495" s="6"/>
      <c r="O495" s="7" t="str">
        <f>IF(AND(B495="",ISNUMBER(B496)),CHOOSE(MONTH(B496),"GENNAIO","FEBBRAIO","MARZO","APRILE","MAGGIO","GIUGNO","LUGLIO","AGOSTO","SETTEMBRE","OTTOBRE","NOVEMBRE","DICEMBRE")&amp;" "&amp;YEAR(B496),"")</f>
        <v/>
      </c>
      <c r="P495" s="12" t="str">
        <f>IF(K495=0.2,"CASA","")</f>
        <v/>
      </c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" customHeight="1" x14ac:dyDescent="0.2">
      <c r="A496" s="5" t="str">
        <f>IF(AND(B496="",ISNUMBER(B497)),CHOOSE(MONTH(B497),"GENNAIO","FEBBRAIO","MARZO","APRILE","MAGGIO","GIUGNO","LUGLIO","AGOSTO","SETTEMBRE","OTTOBRE","NOVEMBRE","DICEMBRE")&amp;" "&amp;YEAR(B497),"")</f>
        <v/>
      </c>
      <c r="B496" s="11"/>
      <c r="C496" s="12"/>
      <c r="D496" s="12" t="str">
        <f>IF(C496="","",C496-IF(C495&lt;&gt;"",C495,IF(C494&lt;&gt;"",C494,IF(C493&lt;&gt;"",C493,0))))</f>
        <v/>
      </c>
      <c r="E496" s="12"/>
      <c r="F496" s="12"/>
      <c r="G496" s="9" t="str">
        <f>IF(AND(E496="",F496=""),"",IF(OR(E496&gt;1,F496&gt;1),(F496-E496)/100,F496-E496))</f>
        <v/>
      </c>
      <c r="H496" s="12" t="str">
        <f>IF(G496="","",64*G496)</f>
        <v/>
      </c>
      <c r="I496" s="13"/>
      <c r="J496" s="13" t="str">
        <f>IFERROR(IF(OR(D496="",D496=0),"",I496/D496*100),"")</f>
        <v/>
      </c>
      <c r="K496" s="14"/>
      <c r="L496" s="13" t="str">
        <f>IF(I496="","",I496*K496)</f>
        <v/>
      </c>
      <c r="M496" s="13" t="str">
        <f>IF(B496="","",IFERROR(SUMPRODUCT(ISNUMBER(B$3:B496)*(MONTH(IF(ISNUMBER(B$3:B496),B$3:B496,1))=MONTH(B496))*(YEAR(IF(ISNUMBER(B$3:B496),B$3:B496,1))=YEAR(B496))*IF(ISNUMBER(L$3:L496),L$3:L496,0)),""))</f>
        <v/>
      </c>
      <c r="N496" s="6"/>
      <c r="O496" s="7" t="str">
        <f>IF(AND(B496="",ISNUMBER(B497)),CHOOSE(MONTH(B497),"GENNAIO","FEBBRAIO","MARZO","APRILE","MAGGIO","GIUGNO","LUGLIO","AGOSTO","SETTEMBRE","OTTOBRE","NOVEMBRE","DICEMBRE")&amp;" "&amp;YEAR(B497),"")</f>
        <v/>
      </c>
      <c r="P496" s="12" t="str">
        <f>IF(K496=0.2,"CASA","")</f>
        <v/>
      </c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" customHeight="1" x14ac:dyDescent="0.2">
      <c r="A497" s="5" t="str">
        <f>IF(AND(B497="",ISNUMBER(B498)),CHOOSE(MONTH(B498),"GENNAIO","FEBBRAIO","MARZO","APRILE","MAGGIO","GIUGNO","LUGLIO","AGOSTO","SETTEMBRE","OTTOBRE","NOVEMBRE","DICEMBRE")&amp;" "&amp;YEAR(B498),"")</f>
        <v/>
      </c>
      <c r="B497" s="11"/>
      <c r="C497" s="12"/>
      <c r="D497" s="12" t="str">
        <f>IF(C497="","",C497-IF(C496&lt;&gt;"",C496,IF(C495&lt;&gt;"",C495,IF(C494&lt;&gt;"",C494,0))))</f>
        <v/>
      </c>
      <c r="E497" s="12"/>
      <c r="F497" s="12"/>
      <c r="G497" s="9" t="str">
        <f>IF(AND(E497="",F497=""),"",IF(OR(E497&gt;1,F497&gt;1),(F497-E497)/100,F497-E497))</f>
        <v/>
      </c>
      <c r="H497" s="12" t="str">
        <f>IF(G497="","",64*G497)</f>
        <v/>
      </c>
      <c r="I497" s="13"/>
      <c r="J497" s="13" t="str">
        <f>IFERROR(IF(OR(D497="",D497=0),"",I497/D497*100),"")</f>
        <v/>
      </c>
      <c r="K497" s="14"/>
      <c r="L497" s="13" t="str">
        <f>IF(I497="","",I497*K497)</f>
        <v/>
      </c>
      <c r="M497" s="13" t="str">
        <f>IF(B497="","",IFERROR(SUMPRODUCT(ISNUMBER(B$3:B497)*(MONTH(IF(ISNUMBER(B$3:B497),B$3:B497,1))=MONTH(B497))*(YEAR(IF(ISNUMBER(B$3:B497),B$3:B497,1))=YEAR(B497))*IF(ISNUMBER(L$3:L497),L$3:L497,0)),""))</f>
        <v/>
      </c>
      <c r="N497" s="6"/>
      <c r="O497" s="7" t="str">
        <f>IF(AND(B497="",ISNUMBER(B498)),CHOOSE(MONTH(B498),"GENNAIO","FEBBRAIO","MARZO","APRILE","MAGGIO","GIUGNO","LUGLIO","AGOSTO","SETTEMBRE","OTTOBRE","NOVEMBRE","DICEMBRE")&amp;" "&amp;YEAR(B498),"")</f>
        <v/>
      </c>
      <c r="P497" s="12" t="str">
        <f>IF(K497=0.2,"CASA","")</f>
        <v/>
      </c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" customHeight="1" x14ac:dyDescent="0.2">
      <c r="A498" s="5" t="str">
        <f>IF(AND(B498="",ISNUMBER(B499)),CHOOSE(MONTH(B499),"GENNAIO","FEBBRAIO","MARZO","APRILE","MAGGIO","GIUGNO","LUGLIO","AGOSTO","SETTEMBRE","OTTOBRE","NOVEMBRE","DICEMBRE")&amp;" "&amp;YEAR(B499),"")</f>
        <v/>
      </c>
      <c r="B498" s="11"/>
      <c r="C498" s="12"/>
      <c r="D498" s="12" t="str">
        <f>IF(C498="","",C498-IF(C497&lt;&gt;"",C497,IF(C496&lt;&gt;"",C496,IF(C495&lt;&gt;"",C495,0))))</f>
        <v/>
      </c>
      <c r="E498" s="12"/>
      <c r="F498" s="12"/>
      <c r="G498" s="9" t="str">
        <f>IF(AND(E498="",F498=""),"",IF(OR(E498&gt;1,F498&gt;1),(F498-E498)/100,F498-E498))</f>
        <v/>
      </c>
      <c r="H498" s="12" t="str">
        <f>IF(G498="","",64*G498)</f>
        <v/>
      </c>
      <c r="I498" s="13"/>
      <c r="J498" s="13" t="str">
        <f>IFERROR(IF(OR(D498="",D498=0),"",I498/D498*100),"")</f>
        <v/>
      </c>
      <c r="K498" s="14"/>
      <c r="L498" s="13" t="str">
        <f>IF(I498="","",I498*K498)</f>
        <v/>
      </c>
      <c r="M498" s="13" t="str">
        <f>IF(B498="","",IFERROR(SUMPRODUCT(ISNUMBER(B$3:B498)*(MONTH(IF(ISNUMBER(B$3:B498),B$3:B498,1))=MONTH(B498))*(YEAR(IF(ISNUMBER(B$3:B498),B$3:B498,1))=YEAR(B498))*IF(ISNUMBER(L$3:L498),L$3:L498,0)),""))</f>
        <v/>
      </c>
      <c r="N498" s="6"/>
      <c r="O498" s="7" t="str">
        <f>IF(AND(B498="",ISNUMBER(B499)),CHOOSE(MONTH(B499),"GENNAIO","FEBBRAIO","MARZO","APRILE","MAGGIO","GIUGNO","LUGLIO","AGOSTO","SETTEMBRE","OTTOBRE","NOVEMBRE","DICEMBRE")&amp;" "&amp;YEAR(B499),"")</f>
        <v/>
      </c>
      <c r="P498" s="12" t="str">
        <f>IF(K498=0.2,"CASA","")</f>
        <v/>
      </c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" customHeight="1" x14ac:dyDescent="0.2">
      <c r="A499" s="5" t="str">
        <f>IF(AND(B499="",ISNUMBER(B500)),CHOOSE(MONTH(B500),"GENNAIO","FEBBRAIO","MARZO","APRILE","MAGGIO","GIUGNO","LUGLIO","AGOSTO","SETTEMBRE","OTTOBRE","NOVEMBRE","DICEMBRE")&amp;" "&amp;YEAR(B500),"")</f>
        <v/>
      </c>
      <c r="B499" s="11"/>
      <c r="C499" s="12"/>
      <c r="D499" s="12" t="str">
        <f>IF(C499="","",C499-IF(C498&lt;&gt;"",C498,IF(C497&lt;&gt;"",C497,IF(C496&lt;&gt;"",C496,0))))</f>
        <v/>
      </c>
      <c r="E499" s="12"/>
      <c r="F499" s="12"/>
      <c r="G499" s="9" t="str">
        <f>IF(AND(E499="",F499=""),"",IF(OR(E499&gt;1,F499&gt;1),(F499-E499)/100,F499-E499))</f>
        <v/>
      </c>
      <c r="H499" s="12" t="str">
        <f>IF(G499="","",64*G499)</f>
        <v/>
      </c>
      <c r="I499" s="13"/>
      <c r="J499" s="13" t="str">
        <f>IFERROR(IF(OR(D499="",D499=0),"",I499/D499*100),"")</f>
        <v/>
      </c>
      <c r="K499" s="14"/>
      <c r="L499" s="13" t="str">
        <f>IF(I499="","",I499*K499)</f>
        <v/>
      </c>
      <c r="M499" s="13" t="str">
        <f>IF(B499="","",IFERROR(SUMPRODUCT(ISNUMBER(B$3:B499)*(MONTH(IF(ISNUMBER(B$3:B499),B$3:B499,1))=MONTH(B499))*(YEAR(IF(ISNUMBER(B$3:B499),B$3:B499,1))=YEAR(B499))*IF(ISNUMBER(L$3:L499),L$3:L499,0)),""))</f>
        <v/>
      </c>
      <c r="N499" s="6"/>
      <c r="O499" s="7" t="str">
        <f>IF(AND(B499="",ISNUMBER(B500)),CHOOSE(MONTH(B500),"GENNAIO","FEBBRAIO","MARZO","APRILE","MAGGIO","GIUGNO","LUGLIO","AGOSTO","SETTEMBRE","OTTOBRE","NOVEMBRE","DICEMBRE")&amp;" "&amp;YEAR(B500),"")</f>
        <v/>
      </c>
      <c r="P499" s="12" t="str">
        <f>IF(K499=0.2,"CASA","")</f>
        <v/>
      </c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" customHeight="1" x14ac:dyDescent="0.2">
      <c r="A500" s="5" t="str">
        <f>IF(AND(B500="",ISNUMBER(B501)),CHOOSE(MONTH(B501),"GENNAIO","FEBBRAIO","MARZO","APRILE","MAGGIO","GIUGNO","LUGLIO","AGOSTO","SETTEMBRE","OTTOBRE","NOVEMBRE","DICEMBRE")&amp;" "&amp;YEAR(B501),"")</f>
        <v/>
      </c>
      <c r="B500" s="11"/>
      <c r="C500" s="12"/>
      <c r="D500" s="12" t="str">
        <f>IF(C500="","",C500-IF(C499&lt;&gt;"",C499,IF(C498&lt;&gt;"",C498,IF(C497&lt;&gt;"",C497,0))))</f>
        <v/>
      </c>
      <c r="E500" s="12"/>
      <c r="F500" s="12"/>
      <c r="G500" s="9" t="str">
        <f>IF(AND(E500="",F500=""),"",IF(OR(E500&gt;1,F500&gt;1),(F500-E500)/100,F500-E500))</f>
        <v/>
      </c>
      <c r="H500" s="12" t="str">
        <f>IF(G500="","",64*G500)</f>
        <v/>
      </c>
      <c r="I500" s="13"/>
      <c r="J500" s="13" t="str">
        <f>IFERROR(IF(OR(D500="",D500=0),"",I500/D500*100),"")</f>
        <v/>
      </c>
      <c r="K500" s="14"/>
      <c r="L500" s="13" t="str">
        <f>IF(I500="","",I500*K500)</f>
        <v/>
      </c>
      <c r="M500" s="13" t="str">
        <f>IF(B500="","",IFERROR(SUMPRODUCT(ISNUMBER(B$3:B500)*(MONTH(IF(ISNUMBER(B$3:B500),B$3:B500,1))=MONTH(B500))*(YEAR(IF(ISNUMBER(B$3:B500),B$3:B500,1))=YEAR(B500))*IF(ISNUMBER(L$3:L500),L$3:L500,0)),""))</f>
        <v/>
      </c>
      <c r="N500" s="6"/>
      <c r="O500" s="7" t="str">
        <f>IF(AND(B500="",ISNUMBER(B501)),CHOOSE(MONTH(B501),"GENNAIO","FEBBRAIO","MARZO","APRILE","MAGGIO","GIUGNO","LUGLIO","AGOSTO","SETTEMBRE","OTTOBRE","NOVEMBRE","DICEMBRE")&amp;" "&amp;YEAR(B501),"")</f>
        <v/>
      </c>
      <c r="P500" s="12" t="str">
        <f>IF(K500=0.2,"CASA","")</f>
        <v/>
      </c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" customHeight="1" x14ac:dyDescent="0.2">
      <c r="A501" s="5" t="str">
        <f>IF(AND(B501="",ISNUMBER(B502)),CHOOSE(MONTH(B502),"GENNAIO","FEBBRAIO","MARZO","APRILE","MAGGIO","GIUGNO","LUGLIO","AGOSTO","SETTEMBRE","OTTOBRE","NOVEMBRE","DICEMBRE")&amp;" "&amp;YEAR(B502),"")</f>
        <v/>
      </c>
      <c r="B501" s="11"/>
      <c r="C501" s="12"/>
      <c r="D501" s="12" t="str">
        <f>IF(C501="","",C501-IF(C500&lt;&gt;"",C500,IF(C499&lt;&gt;"",C499,IF(C498&lt;&gt;"",C498,0))))</f>
        <v/>
      </c>
      <c r="E501" s="12"/>
      <c r="F501" s="12"/>
      <c r="G501" s="9" t="str">
        <f>IF(AND(E501="",F501=""),"",IF(OR(E501&gt;1,F501&gt;1),(F501-E501)/100,F501-E501))</f>
        <v/>
      </c>
      <c r="H501" s="12" t="str">
        <f>IF(G501="","",64*G501)</f>
        <v/>
      </c>
      <c r="I501" s="13"/>
      <c r="J501" s="13" t="str">
        <f>IFERROR(IF(OR(D501="",D501=0),"",I501/D501*100),"")</f>
        <v/>
      </c>
      <c r="K501" s="14"/>
      <c r="L501" s="13" t="str">
        <f>IF(I501="","",I501*K501)</f>
        <v/>
      </c>
      <c r="M501" s="13" t="str">
        <f>IF(B501="","",IFERROR(SUMPRODUCT(ISNUMBER(B$3:B501)*(MONTH(IF(ISNUMBER(B$3:B501),B$3:B501,1))=MONTH(B501))*(YEAR(IF(ISNUMBER(B$3:B501),B$3:B501,1))=YEAR(B501))*IF(ISNUMBER(L$3:L501),L$3:L501,0)),""))</f>
        <v/>
      </c>
      <c r="N501" s="6"/>
      <c r="O501" s="7" t="str">
        <f>IF(AND(B501="",ISNUMBER(B502)),CHOOSE(MONTH(B502),"GENNAIO","FEBBRAIO","MARZO","APRILE","MAGGIO","GIUGNO","LUGLIO","AGOSTO","SETTEMBRE","OTTOBRE","NOVEMBRE","DICEMBRE")&amp;" "&amp;YEAR(B502),"")</f>
        <v/>
      </c>
      <c r="P501" s="12" t="str">
        <f>IF(K501=0.2,"CASA","")</f>
        <v/>
      </c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" customHeight="1" x14ac:dyDescent="0.2">
      <c r="A502" s="5" t="str">
        <f>IF(AND(B502="",ISNUMBER(B503)),CHOOSE(MONTH(B503),"GENNAIO","FEBBRAIO","MARZO","APRILE","MAGGIO","GIUGNO","LUGLIO","AGOSTO","SETTEMBRE","OTTOBRE","NOVEMBRE","DICEMBRE")&amp;" "&amp;YEAR(B503),"")</f>
        <v/>
      </c>
      <c r="B502" s="11"/>
      <c r="C502" s="12"/>
      <c r="D502" s="12" t="str">
        <f>IF(C502="","",C502-IF(C501&lt;&gt;"",C501,IF(C500&lt;&gt;"",C500,IF(C499&lt;&gt;"",C499,0))))</f>
        <v/>
      </c>
      <c r="E502" s="12"/>
      <c r="F502" s="12"/>
      <c r="G502" s="9" t="str">
        <f>IF(AND(E502="",F502=""),"",IF(OR(E502&gt;1,F502&gt;1),(F502-E502)/100,F502-E502))</f>
        <v/>
      </c>
      <c r="H502" s="12" t="str">
        <f>IF(G502="","",64*G502)</f>
        <v/>
      </c>
      <c r="I502" s="13"/>
      <c r="J502" s="13" t="str">
        <f>IFERROR(IF(OR(D502="",D502=0),"",I502/D502*100),"")</f>
        <v/>
      </c>
      <c r="K502" s="14"/>
      <c r="L502" s="13" t="str">
        <f>IF(I502="","",I502*K502)</f>
        <v/>
      </c>
      <c r="M502" s="13" t="str">
        <f>IF(B502="","",IFERROR(SUMPRODUCT(ISNUMBER(B$3:B502)*(MONTH(IF(ISNUMBER(B$3:B502),B$3:B502,1))=MONTH(B502))*(YEAR(IF(ISNUMBER(B$3:B502),B$3:B502,1))=YEAR(B502))*IF(ISNUMBER(L$3:L502),L$3:L502,0)),""))</f>
        <v/>
      </c>
      <c r="N502" s="6"/>
      <c r="O502" s="7" t="str">
        <f>IF(AND(B502="",ISNUMBER(B503)),CHOOSE(MONTH(B503),"GENNAIO","FEBBRAIO","MARZO","APRILE","MAGGIO","GIUGNO","LUGLIO","AGOSTO","SETTEMBRE","OTTOBRE","NOVEMBRE","DICEMBRE")&amp;" "&amp;YEAR(B503),"")</f>
        <v/>
      </c>
      <c r="P502" s="12" t="str">
        <f>IF(K502=0.2,"CASA","")</f>
        <v/>
      </c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" customHeight="1" x14ac:dyDescent="0.2">
      <c r="A503" s="5" t="str">
        <f>IF(AND(B503="",ISNUMBER(B504)),CHOOSE(MONTH(B504),"GENNAIO","FEBBRAIO","MARZO","APRILE","MAGGIO","GIUGNO","LUGLIO","AGOSTO","SETTEMBRE","OTTOBRE","NOVEMBRE","DICEMBRE")&amp;" "&amp;YEAR(B504),"")</f>
        <v/>
      </c>
      <c r="B503" s="11"/>
      <c r="C503" s="12"/>
      <c r="D503" s="12" t="str">
        <f>IF(C503="","",C503-IF(C502&lt;&gt;"",C502,IF(C501&lt;&gt;"",C501,IF(C500&lt;&gt;"",C500,0))))</f>
        <v/>
      </c>
      <c r="E503" s="12"/>
      <c r="F503" s="12"/>
      <c r="G503" s="9" t="str">
        <f>IF(AND(E503="",F503=""),"",IF(OR(E503&gt;1,F503&gt;1),(F503-E503)/100,F503-E503))</f>
        <v/>
      </c>
      <c r="H503" s="12" t="str">
        <f>IF(G503="","",64*G503)</f>
        <v/>
      </c>
      <c r="I503" s="13"/>
      <c r="J503" s="13" t="str">
        <f>IFERROR(IF(OR(D503="",D503=0),"",I503/D503*100),"")</f>
        <v/>
      </c>
      <c r="K503" s="14"/>
      <c r="L503" s="13" t="str">
        <f>IF(I503="","",I503*K503)</f>
        <v/>
      </c>
      <c r="M503" s="13" t="str">
        <f>IF(B503="","",IFERROR(SUMPRODUCT(ISNUMBER(B$3:B503)*(MONTH(IF(ISNUMBER(B$3:B503),B$3:B503,1))=MONTH(B503))*(YEAR(IF(ISNUMBER(B$3:B503),B$3:B503,1))=YEAR(B503))*IF(ISNUMBER(L$3:L503),L$3:L503,0)),""))</f>
        <v/>
      </c>
      <c r="N503" s="6"/>
      <c r="O503" s="7" t="str">
        <f>IF(AND(B503="",ISNUMBER(B504)),CHOOSE(MONTH(B504),"GENNAIO","FEBBRAIO","MARZO","APRILE","MAGGIO","GIUGNO","LUGLIO","AGOSTO","SETTEMBRE","OTTOBRE","NOVEMBRE","DICEMBRE")&amp;" "&amp;YEAR(B504),"")</f>
        <v/>
      </c>
      <c r="P503" s="12" t="str">
        <f>IF(K503=0.2,"CASA","")</f>
        <v/>
      </c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" customHeight="1" x14ac:dyDescent="0.2">
      <c r="A504" s="5" t="str">
        <f>IF(AND(B504="",ISNUMBER(B505)),CHOOSE(MONTH(B505),"GENNAIO","FEBBRAIO","MARZO","APRILE","MAGGIO","GIUGNO","LUGLIO","AGOSTO","SETTEMBRE","OTTOBRE","NOVEMBRE","DICEMBRE")&amp;" "&amp;YEAR(B505),"")</f>
        <v/>
      </c>
      <c r="B504" s="11"/>
      <c r="C504" s="12"/>
      <c r="D504" s="12" t="str">
        <f>IF(C504="","",C504-IF(C503&lt;&gt;"",C503,IF(C502&lt;&gt;"",C502,IF(C501&lt;&gt;"",C501,0))))</f>
        <v/>
      </c>
      <c r="E504" s="12"/>
      <c r="F504" s="12"/>
      <c r="G504" s="9" t="str">
        <f>IF(AND(E504="",F504=""),"",IF(OR(E504&gt;1,F504&gt;1),(F504-E504)/100,F504-E504))</f>
        <v/>
      </c>
      <c r="H504" s="12" t="str">
        <f>IF(G504="","",64*G504)</f>
        <v/>
      </c>
      <c r="I504" s="13"/>
      <c r="J504" s="13" t="str">
        <f>IFERROR(IF(OR(D504="",D504=0),"",I504/D504*100),"")</f>
        <v/>
      </c>
      <c r="K504" s="14"/>
      <c r="L504" s="13" t="str">
        <f>IF(I504="","",I504*K504)</f>
        <v/>
      </c>
      <c r="M504" s="13" t="str">
        <f>IF(B504="","",IFERROR(SUMPRODUCT(ISNUMBER(B$3:B504)*(MONTH(IF(ISNUMBER(B$3:B504),B$3:B504,1))=MONTH(B504))*(YEAR(IF(ISNUMBER(B$3:B504),B$3:B504,1))=YEAR(B504))*IF(ISNUMBER(L$3:L504),L$3:L504,0)),""))</f>
        <v/>
      </c>
      <c r="N504" s="6"/>
      <c r="O504" s="7" t="str">
        <f>IF(AND(B504="",ISNUMBER(B505)),CHOOSE(MONTH(B505),"GENNAIO","FEBBRAIO","MARZO","APRILE","MAGGIO","GIUGNO","LUGLIO","AGOSTO","SETTEMBRE","OTTOBRE","NOVEMBRE","DICEMBRE")&amp;" "&amp;YEAR(B505),"")</f>
        <v/>
      </c>
      <c r="P504" s="12" t="str">
        <f>IF(K504=0.2,"CASA","")</f>
        <v/>
      </c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" customHeight="1" x14ac:dyDescent="0.2">
      <c r="A505" s="5" t="str">
        <f>IF(AND(B505="",ISNUMBER(B506)),CHOOSE(MONTH(B506),"GENNAIO","FEBBRAIO","MARZO","APRILE","MAGGIO","GIUGNO","LUGLIO","AGOSTO","SETTEMBRE","OTTOBRE","NOVEMBRE","DICEMBRE")&amp;" "&amp;YEAR(B506),"")</f>
        <v/>
      </c>
      <c r="B505" s="11"/>
      <c r="C505" s="12"/>
      <c r="D505" s="12" t="str">
        <f>IF(C505="","",C505-IF(C504&lt;&gt;"",C504,IF(C503&lt;&gt;"",C503,IF(C502&lt;&gt;"",C502,0))))</f>
        <v/>
      </c>
      <c r="E505" s="12"/>
      <c r="F505" s="12"/>
      <c r="G505" s="9" t="str">
        <f>IF(AND(E505="",F505=""),"",IF(OR(E505&gt;1,F505&gt;1),(F505-E505)/100,F505-E505))</f>
        <v/>
      </c>
      <c r="H505" s="12" t="str">
        <f>IF(G505="","",64*G505)</f>
        <v/>
      </c>
      <c r="I505" s="13"/>
      <c r="J505" s="13" t="str">
        <f>IFERROR(IF(OR(D505="",D505=0),"",I505/D505*100),"")</f>
        <v/>
      </c>
      <c r="K505" s="14"/>
      <c r="L505" s="13" t="str">
        <f>IF(I505="","",I505*K505)</f>
        <v/>
      </c>
      <c r="M505" s="13" t="str">
        <f>IF(B505="","",IFERROR(SUMPRODUCT(ISNUMBER(B$3:B505)*(MONTH(IF(ISNUMBER(B$3:B505),B$3:B505,1))=MONTH(B505))*(YEAR(IF(ISNUMBER(B$3:B505),B$3:B505,1))=YEAR(B505))*IF(ISNUMBER(L$3:L505),L$3:L505,0)),""))</f>
        <v/>
      </c>
      <c r="N505" s="6"/>
      <c r="O505" s="7" t="str">
        <f>IF(AND(B505="",ISNUMBER(B506)),CHOOSE(MONTH(B506),"GENNAIO","FEBBRAIO","MARZO","APRILE","MAGGIO","GIUGNO","LUGLIO","AGOSTO","SETTEMBRE","OTTOBRE","NOVEMBRE","DICEMBRE")&amp;" "&amp;YEAR(B506),"")</f>
        <v/>
      </c>
      <c r="P505" s="12" t="str">
        <f>IF(K505=0.2,"CASA","")</f>
        <v/>
      </c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" customHeight="1" x14ac:dyDescent="0.2">
      <c r="A506" s="5" t="str">
        <f>IF(AND(B506="",ISNUMBER(B507)),CHOOSE(MONTH(B507),"GENNAIO","FEBBRAIO","MARZO","APRILE","MAGGIO","GIUGNO","LUGLIO","AGOSTO","SETTEMBRE","OTTOBRE","NOVEMBRE","DICEMBRE")&amp;" "&amp;YEAR(B507),"")</f>
        <v/>
      </c>
      <c r="B506" s="11"/>
      <c r="C506" s="12"/>
      <c r="D506" s="12" t="str">
        <f>IF(C506="","",C506-IF(C505&lt;&gt;"",C505,IF(C504&lt;&gt;"",C504,IF(C503&lt;&gt;"",C503,0))))</f>
        <v/>
      </c>
      <c r="E506" s="12"/>
      <c r="F506" s="12"/>
      <c r="G506" s="9" t="str">
        <f>IF(AND(E506="",F506=""),"",IF(OR(E506&gt;1,F506&gt;1),(F506-E506)/100,F506-E506))</f>
        <v/>
      </c>
      <c r="H506" s="12" t="str">
        <f>IF(G506="","",64*G506)</f>
        <v/>
      </c>
      <c r="I506" s="13"/>
      <c r="J506" s="13" t="str">
        <f>IFERROR(IF(OR(D506="",D506=0),"",I506/D506*100),"")</f>
        <v/>
      </c>
      <c r="K506" s="14"/>
      <c r="L506" s="13" t="str">
        <f>IF(I506="","",I506*K506)</f>
        <v/>
      </c>
      <c r="M506" s="13" t="str">
        <f>IF(B506="","",IFERROR(SUMPRODUCT(ISNUMBER(B$3:B506)*(MONTH(IF(ISNUMBER(B$3:B506),B$3:B506,1))=MONTH(B506))*(YEAR(IF(ISNUMBER(B$3:B506),B$3:B506,1))=YEAR(B506))*IF(ISNUMBER(L$3:L506),L$3:L506,0)),""))</f>
        <v/>
      </c>
      <c r="N506" s="6"/>
      <c r="O506" s="7" t="str">
        <f>IF(AND(B506="",ISNUMBER(B507)),CHOOSE(MONTH(B507),"GENNAIO","FEBBRAIO","MARZO","APRILE","MAGGIO","GIUGNO","LUGLIO","AGOSTO","SETTEMBRE","OTTOBRE","NOVEMBRE","DICEMBRE")&amp;" "&amp;YEAR(B507),"")</f>
        <v/>
      </c>
      <c r="P506" s="12" t="str">
        <f>IF(K506=0.2,"CASA","")</f>
        <v/>
      </c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" customHeight="1" x14ac:dyDescent="0.2">
      <c r="A507" s="5" t="str">
        <f>IF(AND(B507="",ISNUMBER(B508)),CHOOSE(MONTH(B508),"GENNAIO","FEBBRAIO","MARZO","APRILE","MAGGIO","GIUGNO","LUGLIO","AGOSTO","SETTEMBRE","OTTOBRE","NOVEMBRE","DICEMBRE")&amp;" "&amp;YEAR(B508),"")</f>
        <v/>
      </c>
      <c r="B507" s="11"/>
      <c r="C507" s="12"/>
      <c r="D507" s="12" t="str">
        <f>IF(C507="","",C507-IF(C506&lt;&gt;"",C506,IF(C505&lt;&gt;"",C505,IF(C504&lt;&gt;"",C504,0))))</f>
        <v/>
      </c>
      <c r="E507" s="12"/>
      <c r="F507" s="12"/>
      <c r="G507" s="9" t="str">
        <f>IF(AND(E507="",F507=""),"",IF(OR(E507&gt;1,F507&gt;1),(F507-E507)/100,F507-E507))</f>
        <v/>
      </c>
      <c r="H507" s="12" t="str">
        <f>IF(G507="","",64*G507)</f>
        <v/>
      </c>
      <c r="I507" s="13"/>
      <c r="J507" s="13" t="str">
        <f>IFERROR(IF(OR(D507="",D507=0),"",I507/D507*100),"")</f>
        <v/>
      </c>
      <c r="K507" s="14"/>
      <c r="L507" s="13" t="str">
        <f>IF(I507="","",I507*K507)</f>
        <v/>
      </c>
      <c r="M507" s="13" t="str">
        <f>IF(B507="","",IFERROR(SUMPRODUCT(ISNUMBER(B$3:B507)*(MONTH(IF(ISNUMBER(B$3:B507),B$3:B507,1))=MONTH(B507))*(YEAR(IF(ISNUMBER(B$3:B507),B$3:B507,1))=YEAR(B507))*IF(ISNUMBER(L$3:L507),L$3:L507,0)),""))</f>
        <v/>
      </c>
      <c r="N507" s="6"/>
      <c r="O507" s="7" t="str">
        <f>IF(AND(B507="",ISNUMBER(B508)),CHOOSE(MONTH(B508),"GENNAIO","FEBBRAIO","MARZO","APRILE","MAGGIO","GIUGNO","LUGLIO","AGOSTO","SETTEMBRE","OTTOBRE","NOVEMBRE","DICEMBRE")&amp;" "&amp;YEAR(B508),"")</f>
        <v/>
      </c>
      <c r="P507" s="12" t="str">
        <f>IF(K507=0.2,"CASA","")</f>
        <v/>
      </c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" customHeight="1" x14ac:dyDescent="0.2">
      <c r="A508" s="5" t="str">
        <f>IF(AND(B508="",ISNUMBER(B509)),CHOOSE(MONTH(B509),"GENNAIO","FEBBRAIO","MARZO","APRILE","MAGGIO","GIUGNO","LUGLIO","AGOSTO","SETTEMBRE","OTTOBRE","NOVEMBRE","DICEMBRE")&amp;" "&amp;YEAR(B509),"")</f>
        <v/>
      </c>
      <c r="B508" s="11"/>
      <c r="C508" s="12"/>
      <c r="D508" s="12" t="str">
        <f>IF(C508="","",C508-IF(C507&lt;&gt;"",C507,IF(C506&lt;&gt;"",C506,IF(C505&lt;&gt;"",C505,0))))</f>
        <v/>
      </c>
      <c r="E508" s="12"/>
      <c r="F508" s="12"/>
      <c r="G508" s="9" t="str">
        <f>IF(AND(E508="",F508=""),"",IF(OR(E508&gt;1,F508&gt;1),(F508-E508)/100,F508-E508))</f>
        <v/>
      </c>
      <c r="H508" s="12" t="str">
        <f>IF(G508="","",64*G508)</f>
        <v/>
      </c>
      <c r="I508" s="13"/>
      <c r="J508" s="13" t="str">
        <f>IFERROR(IF(OR(D508="",D508=0),"",I508/D508*100),"")</f>
        <v/>
      </c>
      <c r="K508" s="14"/>
      <c r="L508" s="13" t="str">
        <f>IF(I508="","",I508*K508)</f>
        <v/>
      </c>
      <c r="M508" s="13" t="str">
        <f>IF(B508="","",IFERROR(SUMPRODUCT(ISNUMBER(B$3:B508)*(MONTH(IF(ISNUMBER(B$3:B508),B$3:B508,1))=MONTH(B508))*(YEAR(IF(ISNUMBER(B$3:B508),B$3:B508,1))=YEAR(B508))*IF(ISNUMBER(L$3:L508),L$3:L508,0)),""))</f>
        <v/>
      </c>
      <c r="N508" s="6"/>
      <c r="O508" s="7" t="str">
        <f>IF(AND(B508="",ISNUMBER(B509)),CHOOSE(MONTH(B509),"GENNAIO","FEBBRAIO","MARZO","APRILE","MAGGIO","GIUGNO","LUGLIO","AGOSTO","SETTEMBRE","OTTOBRE","NOVEMBRE","DICEMBRE")&amp;" "&amp;YEAR(B509),"")</f>
        <v/>
      </c>
      <c r="P508" s="12" t="str">
        <f>IF(K508=0.2,"CASA","")</f>
        <v/>
      </c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" customHeight="1" x14ac:dyDescent="0.2">
      <c r="A509" s="5" t="str">
        <f>IF(AND(B509="",ISNUMBER(B510)),CHOOSE(MONTH(B510),"GENNAIO","FEBBRAIO","MARZO","APRILE","MAGGIO","GIUGNO","LUGLIO","AGOSTO","SETTEMBRE","OTTOBRE","NOVEMBRE","DICEMBRE")&amp;" "&amp;YEAR(B510),"")</f>
        <v/>
      </c>
      <c r="B509" s="11"/>
      <c r="C509" s="12"/>
      <c r="D509" s="12" t="str">
        <f>IF(C509="","",C509-IF(C508&lt;&gt;"",C508,IF(C507&lt;&gt;"",C507,IF(C506&lt;&gt;"",C506,0))))</f>
        <v/>
      </c>
      <c r="E509" s="12"/>
      <c r="F509" s="12"/>
      <c r="G509" s="9" t="str">
        <f>IF(AND(E509="",F509=""),"",IF(OR(E509&gt;1,F509&gt;1),(F509-E509)/100,F509-E509))</f>
        <v/>
      </c>
      <c r="H509" s="12" t="str">
        <f>IF(G509="","",64*G509)</f>
        <v/>
      </c>
      <c r="I509" s="13"/>
      <c r="J509" s="13" t="str">
        <f>IFERROR(IF(OR(D509="",D509=0),"",I509/D509*100),"")</f>
        <v/>
      </c>
      <c r="K509" s="14"/>
      <c r="L509" s="13" t="str">
        <f>IF(I509="","",I509*K509)</f>
        <v/>
      </c>
      <c r="M509" s="13" t="str">
        <f>IF(B509="","",IFERROR(SUMPRODUCT(ISNUMBER(B$3:B509)*(MONTH(IF(ISNUMBER(B$3:B509),B$3:B509,1))=MONTH(B509))*(YEAR(IF(ISNUMBER(B$3:B509),B$3:B509,1))=YEAR(B509))*IF(ISNUMBER(L$3:L509),L$3:L509,0)),""))</f>
        <v/>
      </c>
      <c r="N509" s="6"/>
      <c r="O509" s="7" t="str">
        <f>IF(AND(B509="",ISNUMBER(B510)),CHOOSE(MONTH(B510),"GENNAIO","FEBBRAIO","MARZO","APRILE","MAGGIO","GIUGNO","LUGLIO","AGOSTO","SETTEMBRE","OTTOBRE","NOVEMBRE","DICEMBRE")&amp;" "&amp;YEAR(B510),"")</f>
        <v/>
      </c>
      <c r="P509" s="12" t="str">
        <f>IF(K509=0.2,"CASA","")</f>
        <v/>
      </c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" customHeight="1" x14ac:dyDescent="0.2">
      <c r="A510" s="5" t="str">
        <f>IF(AND(B510="",ISNUMBER(B511)),CHOOSE(MONTH(B511),"GENNAIO","FEBBRAIO","MARZO","APRILE","MAGGIO","GIUGNO","LUGLIO","AGOSTO","SETTEMBRE","OTTOBRE","NOVEMBRE","DICEMBRE")&amp;" "&amp;YEAR(B511),"")</f>
        <v/>
      </c>
      <c r="B510" s="11"/>
      <c r="C510" s="12"/>
      <c r="D510" s="12" t="str">
        <f>IF(C510="","",C510-IF(C509&lt;&gt;"",C509,IF(C508&lt;&gt;"",C508,IF(C507&lt;&gt;"",C507,0))))</f>
        <v/>
      </c>
      <c r="E510" s="12"/>
      <c r="F510" s="12"/>
      <c r="G510" s="9" t="str">
        <f>IF(AND(E510="",F510=""),"",IF(OR(E510&gt;1,F510&gt;1),(F510-E510)/100,F510-E510))</f>
        <v/>
      </c>
      <c r="H510" s="12" t="str">
        <f>IF(G510="","",64*G510)</f>
        <v/>
      </c>
      <c r="I510" s="13"/>
      <c r="J510" s="13" t="str">
        <f>IFERROR(IF(OR(D510="",D510=0),"",I510/D510*100),"")</f>
        <v/>
      </c>
      <c r="K510" s="14"/>
      <c r="L510" s="13" t="str">
        <f>IF(I510="","",I510*K510)</f>
        <v/>
      </c>
      <c r="M510" s="13" t="str">
        <f>IF(B510="","",IFERROR(SUMPRODUCT(ISNUMBER(B$3:B510)*(MONTH(IF(ISNUMBER(B$3:B510),B$3:B510,1))=MONTH(B510))*(YEAR(IF(ISNUMBER(B$3:B510),B$3:B510,1))=YEAR(B510))*IF(ISNUMBER(L$3:L510),L$3:L510,0)),""))</f>
        <v/>
      </c>
      <c r="N510" s="6"/>
      <c r="O510" s="7" t="str">
        <f>IF(AND(B510="",ISNUMBER(B511)),CHOOSE(MONTH(B511),"GENNAIO","FEBBRAIO","MARZO","APRILE","MAGGIO","GIUGNO","LUGLIO","AGOSTO","SETTEMBRE","OTTOBRE","NOVEMBRE","DICEMBRE")&amp;" "&amp;YEAR(B511),"")</f>
        <v/>
      </c>
      <c r="P510" s="12" t="str">
        <f>IF(K510=0.2,"CASA","")</f>
        <v/>
      </c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" customHeight="1" x14ac:dyDescent="0.2">
      <c r="A511" s="5" t="str">
        <f>IF(AND(B511="",ISNUMBER(B512)),CHOOSE(MONTH(B512),"GENNAIO","FEBBRAIO","MARZO","APRILE","MAGGIO","GIUGNO","LUGLIO","AGOSTO","SETTEMBRE","OTTOBRE","NOVEMBRE","DICEMBRE")&amp;" "&amp;YEAR(B512),"")</f>
        <v/>
      </c>
      <c r="B511" s="11"/>
      <c r="C511" s="12"/>
      <c r="D511" s="12" t="str">
        <f>IF(C511="","",C511-IF(C510&lt;&gt;"",C510,IF(C509&lt;&gt;"",C509,IF(C508&lt;&gt;"",C508,0))))</f>
        <v/>
      </c>
      <c r="E511" s="12"/>
      <c r="F511" s="12"/>
      <c r="G511" s="9" t="str">
        <f>IF(AND(E511="",F511=""),"",IF(OR(E511&gt;1,F511&gt;1),(F511-E511)/100,F511-E511))</f>
        <v/>
      </c>
      <c r="H511" s="12" t="str">
        <f>IF(G511="","",64*G511)</f>
        <v/>
      </c>
      <c r="I511" s="13"/>
      <c r="J511" s="13" t="str">
        <f>IFERROR(IF(OR(D511="",D511=0),"",I511/D511*100),"")</f>
        <v/>
      </c>
      <c r="K511" s="14"/>
      <c r="L511" s="13" t="str">
        <f>IF(I511="","",I511*K511)</f>
        <v/>
      </c>
      <c r="M511" s="13" t="str">
        <f>IF(B511="","",IFERROR(SUMPRODUCT(ISNUMBER(B$3:B511)*(MONTH(IF(ISNUMBER(B$3:B511),B$3:B511,1))=MONTH(B511))*(YEAR(IF(ISNUMBER(B$3:B511),B$3:B511,1))=YEAR(B511))*IF(ISNUMBER(L$3:L511),L$3:L511,0)),""))</f>
        <v/>
      </c>
      <c r="N511" s="6"/>
      <c r="O511" s="7" t="str">
        <f>IF(AND(B511="",ISNUMBER(B512)),CHOOSE(MONTH(B512),"GENNAIO","FEBBRAIO","MARZO","APRILE","MAGGIO","GIUGNO","LUGLIO","AGOSTO","SETTEMBRE","OTTOBRE","NOVEMBRE","DICEMBRE")&amp;" "&amp;YEAR(B512),"")</f>
        <v/>
      </c>
      <c r="P511" s="12" t="str">
        <f>IF(K511=0.2,"CASA","")</f>
        <v/>
      </c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" customHeight="1" x14ac:dyDescent="0.2">
      <c r="A512" s="5" t="str">
        <f>IF(AND(B512="",ISNUMBER(B513)),CHOOSE(MONTH(B513),"GENNAIO","FEBBRAIO","MARZO","APRILE","MAGGIO","GIUGNO","LUGLIO","AGOSTO","SETTEMBRE","OTTOBRE","NOVEMBRE","DICEMBRE")&amp;" "&amp;YEAR(B513),"")</f>
        <v/>
      </c>
      <c r="B512" s="11"/>
      <c r="C512" s="12"/>
      <c r="D512" s="12" t="str">
        <f>IF(C512="","",C512-IF(C511&lt;&gt;"",C511,IF(C510&lt;&gt;"",C510,IF(C509&lt;&gt;"",C509,0))))</f>
        <v/>
      </c>
      <c r="E512" s="12"/>
      <c r="F512" s="12"/>
      <c r="G512" s="9" t="str">
        <f>IF(AND(E512="",F512=""),"",IF(OR(E512&gt;1,F512&gt;1),(F512-E512)/100,F512-E512))</f>
        <v/>
      </c>
      <c r="H512" s="12" t="str">
        <f>IF(G512="","",64*G512)</f>
        <v/>
      </c>
      <c r="I512" s="13"/>
      <c r="J512" s="13" t="str">
        <f>IFERROR(IF(OR(D512="",D512=0),"",I512/D512*100),"")</f>
        <v/>
      </c>
      <c r="K512" s="14"/>
      <c r="L512" s="13" t="str">
        <f>IF(I512="","",I512*K512)</f>
        <v/>
      </c>
      <c r="M512" s="13" t="str">
        <f>IF(B512="","",IFERROR(SUMPRODUCT(ISNUMBER(B$3:B512)*(MONTH(IF(ISNUMBER(B$3:B512),B$3:B512,1))=MONTH(B512))*(YEAR(IF(ISNUMBER(B$3:B512),B$3:B512,1))=YEAR(B512))*IF(ISNUMBER(L$3:L512),L$3:L512,0)),""))</f>
        <v/>
      </c>
      <c r="N512" s="6"/>
      <c r="O512" s="7" t="str">
        <f>IF(AND(B512="",ISNUMBER(B513)),CHOOSE(MONTH(B513),"GENNAIO","FEBBRAIO","MARZO","APRILE","MAGGIO","GIUGNO","LUGLIO","AGOSTO","SETTEMBRE","OTTOBRE","NOVEMBRE","DICEMBRE")&amp;" "&amp;YEAR(B513),"")</f>
        <v/>
      </c>
      <c r="P512" s="12" t="str">
        <f>IF(K512=0.2,"CASA","")</f>
        <v/>
      </c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" customHeight="1" x14ac:dyDescent="0.2">
      <c r="A513" s="5" t="str">
        <f>IF(AND(B513="",ISNUMBER(B514)),CHOOSE(MONTH(B514),"GENNAIO","FEBBRAIO","MARZO","APRILE","MAGGIO","GIUGNO","LUGLIO","AGOSTO","SETTEMBRE","OTTOBRE","NOVEMBRE","DICEMBRE")&amp;" "&amp;YEAR(B514),"")</f>
        <v/>
      </c>
      <c r="B513" s="11"/>
      <c r="C513" s="12"/>
      <c r="D513" s="12" t="str">
        <f>IF(C513="","",C513-IF(C512&lt;&gt;"",C512,IF(C511&lt;&gt;"",C511,IF(C510&lt;&gt;"",C510,0))))</f>
        <v/>
      </c>
      <c r="E513" s="12"/>
      <c r="F513" s="12"/>
      <c r="G513" s="9" t="str">
        <f>IF(AND(E513="",F513=""),"",IF(OR(E513&gt;1,F513&gt;1),(F513-E513)/100,F513-E513))</f>
        <v/>
      </c>
      <c r="H513" s="12" t="str">
        <f>IF(G513="","",64*G513)</f>
        <v/>
      </c>
      <c r="I513" s="13"/>
      <c r="J513" s="13" t="str">
        <f>IFERROR(IF(OR(D513="",D513=0),"",I513/D513*100),"")</f>
        <v/>
      </c>
      <c r="K513" s="14"/>
      <c r="L513" s="13" t="str">
        <f>IF(I513="","",I513*K513)</f>
        <v/>
      </c>
      <c r="M513" s="13" t="str">
        <f>IF(B513="","",IFERROR(SUMPRODUCT(ISNUMBER(B$3:B513)*(MONTH(IF(ISNUMBER(B$3:B513),B$3:B513,1))=MONTH(B513))*(YEAR(IF(ISNUMBER(B$3:B513),B$3:B513,1))=YEAR(B513))*IF(ISNUMBER(L$3:L513),L$3:L513,0)),""))</f>
        <v/>
      </c>
      <c r="N513" s="6"/>
      <c r="O513" s="7" t="str">
        <f>IF(AND(B513="",ISNUMBER(B514)),CHOOSE(MONTH(B514),"GENNAIO","FEBBRAIO","MARZO","APRILE","MAGGIO","GIUGNO","LUGLIO","AGOSTO","SETTEMBRE","OTTOBRE","NOVEMBRE","DICEMBRE")&amp;" "&amp;YEAR(B514),"")</f>
        <v/>
      </c>
      <c r="P513" s="12" t="str">
        <f>IF(K513=0.2,"CASA","")</f>
        <v/>
      </c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" customHeight="1" x14ac:dyDescent="0.2">
      <c r="A514" s="5" t="str">
        <f>IF(AND(B514="",ISNUMBER(B515)),CHOOSE(MONTH(B515),"GENNAIO","FEBBRAIO","MARZO","APRILE","MAGGIO","GIUGNO","LUGLIO","AGOSTO","SETTEMBRE","OTTOBRE","NOVEMBRE","DICEMBRE")&amp;" "&amp;YEAR(B515),"")</f>
        <v/>
      </c>
      <c r="B514" s="11"/>
      <c r="C514" s="12"/>
      <c r="D514" s="12" t="str">
        <f>IF(C514="","",C514-IF(C513&lt;&gt;"",C513,IF(C512&lt;&gt;"",C512,IF(C511&lt;&gt;"",C511,0))))</f>
        <v/>
      </c>
      <c r="E514" s="12"/>
      <c r="F514" s="12"/>
      <c r="G514" s="9" t="str">
        <f>IF(AND(E514="",F514=""),"",IF(OR(E514&gt;1,F514&gt;1),(F514-E514)/100,F514-E514))</f>
        <v/>
      </c>
      <c r="H514" s="12" t="str">
        <f>IF(G514="","",64*G514)</f>
        <v/>
      </c>
      <c r="I514" s="13"/>
      <c r="J514" s="13" t="str">
        <f>IFERROR(IF(OR(D514="",D514=0),"",I514/D514*100),"")</f>
        <v/>
      </c>
      <c r="K514" s="14"/>
      <c r="L514" s="13" t="str">
        <f>IF(I514="","",I514*K514)</f>
        <v/>
      </c>
      <c r="M514" s="13" t="str">
        <f>IF(B514="","",IFERROR(SUMPRODUCT(ISNUMBER(B$3:B514)*(MONTH(IF(ISNUMBER(B$3:B514),B$3:B514,1))=MONTH(B514))*(YEAR(IF(ISNUMBER(B$3:B514),B$3:B514,1))=YEAR(B514))*IF(ISNUMBER(L$3:L514),L$3:L514,0)),""))</f>
        <v/>
      </c>
      <c r="N514" s="6"/>
      <c r="O514" s="7" t="str">
        <f>IF(AND(B514="",ISNUMBER(B515)),CHOOSE(MONTH(B515),"GENNAIO","FEBBRAIO","MARZO","APRILE","MAGGIO","GIUGNO","LUGLIO","AGOSTO","SETTEMBRE","OTTOBRE","NOVEMBRE","DICEMBRE")&amp;" "&amp;YEAR(B515),"")</f>
        <v/>
      </c>
      <c r="P514" s="12" t="str">
        <f>IF(K514=0.2,"CASA","")</f>
        <v/>
      </c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" customHeight="1" x14ac:dyDescent="0.2">
      <c r="A515" s="5" t="str">
        <f>IF(AND(B515="",ISNUMBER(B516)),CHOOSE(MONTH(B516),"GENNAIO","FEBBRAIO","MARZO","APRILE","MAGGIO","GIUGNO","LUGLIO","AGOSTO","SETTEMBRE","OTTOBRE","NOVEMBRE","DICEMBRE")&amp;" "&amp;YEAR(B516),"")</f>
        <v/>
      </c>
      <c r="B515" s="11"/>
      <c r="C515" s="12"/>
      <c r="D515" s="12" t="str">
        <f>IF(C515="","",C515-IF(C514&lt;&gt;"",C514,IF(C513&lt;&gt;"",C513,IF(C512&lt;&gt;"",C512,0))))</f>
        <v/>
      </c>
      <c r="E515" s="12"/>
      <c r="F515" s="12"/>
      <c r="G515" s="9" t="str">
        <f>IF(AND(E515="",F515=""),"",IF(OR(E515&gt;1,F515&gt;1),(F515-E515)/100,F515-E515))</f>
        <v/>
      </c>
      <c r="H515" s="12" t="str">
        <f>IF(G515="","",64*G515)</f>
        <v/>
      </c>
      <c r="I515" s="13"/>
      <c r="J515" s="13" t="str">
        <f>IFERROR(IF(OR(D515="",D515=0),"",I515/D515*100),"")</f>
        <v/>
      </c>
      <c r="K515" s="14"/>
      <c r="L515" s="13" t="str">
        <f>IF(I515="","",I515*K515)</f>
        <v/>
      </c>
      <c r="M515" s="13" t="str">
        <f>IF(B515="","",IFERROR(SUMPRODUCT(ISNUMBER(B$3:B515)*(MONTH(IF(ISNUMBER(B$3:B515),B$3:B515,1))=MONTH(B515))*(YEAR(IF(ISNUMBER(B$3:B515),B$3:B515,1))=YEAR(B515))*IF(ISNUMBER(L$3:L515),L$3:L515,0)),""))</f>
        <v/>
      </c>
      <c r="N515" s="6"/>
      <c r="O515" s="7" t="str">
        <f>IF(AND(B515="",ISNUMBER(B516)),CHOOSE(MONTH(B516),"GENNAIO","FEBBRAIO","MARZO","APRILE","MAGGIO","GIUGNO","LUGLIO","AGOSTO","SETTEMBRE","OTTOBRE","NOVEMBRE","DICEMBRE")&amp;" "&amp;YEAR(B516),"")</f>
        <v/>
      </c>
      <c r="P515" s="12" t="str">
        <f>IF(K515=0.2,"CASA","")</f>
        <v/>
      </c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" customHeight="1" x14ac:dyDescent="0.2">
      <c r="A516" s="5" t="str">
        <f>IF(AND(B516="",ISNUMBER(B517)),CHOOSE(MONTH(B517),"GENNAIO","FEBBRAIO","MARZO","APRILE","MAGGIO","GIUGNO","LUGLIO","AGOSTO","SETTEMBRE","OTTOBRE","NOVEMBRE","DICEMBRE")&amp;" "&amp;YEAR(B517),"")</f>
        <v/>
      </c>
      <c r="B516" s="11"/>
      <c r="C516" s="12"/>
      <c r="D516" s="12" t="str">
        <f>IF(C516="","",C516-IF(C515&lt;&gt;"",C515,IF(C514&lt;&gt;"",C514,IF(C513&lt;&gt;"",C513,0))))</f>
        <v/>
      </c>
      <c r="E516" s="12"/>
      <c r="F516" s="12"/>
      <c r="G516" s="9" t="str">
        <f>IF(AND(E516="",F516=""),"",IF(OR(E516&gt;1,F516&gt;1),(F516-E516)/100,F516-E516))</f>
        <v/>
      </c>
      <c r="H516" s="12" t="str">
        <f>IF(G516="","",64*G516)</f>
        <v/>
      </c>
      <c r="I516" s="13"/>
      <c r="J516" s="13" t="str">
        <f>IFERROR(IF(OR(D516="",D516=0),"",I516/D516*100),"")</f>
        <v/>
      </c>
      <c r="K516" s="14"/>
      <c r="L516" s="13" t="str">
        <f>IF(I516="","",I516*K516)</f>
        <v/>
      </c>
      <c r="M516" s="13" t="str">
        <f>IF(B516="","",IFERROR(SUMPRODUCT(ISNUMBER(B$3:B516)*(MONTH(IF(ISNUMBER(B$3:B516),B$3:B516,1))=MONTH(B516))*(YEAR(IF(ISNUMBER(B$3:B516),B$3:B516,1))=YEAR(B516))*IF(ISNUMBER(L$3:L516),L$3:L516,0)),""))</f>
        <v/>
      </c>
      <c r="N516" s="6"/>
      <c r="O516" s="7" t="str">
        <f>IF(AND(B516="",ISNUMBER(B517)),CHOOSE(MONTH(B517),"GENNAIO","FEBBRAIO","MARZO","APRILE","MAGGIO","GIUGNO","LUGLIO","AGOSTO","SETTEMBRE","OTTOBRE","NOVEMBRE","DICEMBRE")&amp;" "&amp;YEAR(B517),"")</f>
        <v/>
      </c>
      <c r="P516" s="12" t="str">
        <f>IF(K516=0.2,"CASA","")</f>
        <v/>
      </c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" customHeight="1" x14ac:dyDescent="0.2">
      <c r="A517" s="5" t="str">
        <f>IF(AND(B517="",ISNUMBER(B518)),CHOOSE(MONTH(B518),"GENNAIO","FEBBRAIO","MARZO","APRILE","MAGGIO","GIUGNO","LUGLIO","AGOSTO","SETTEMBRE","OTTOBRE","NOVEMBRE","DICEMBRE")&amp;" "&amp;YEAR(B518),"")</f>
        <v/>
      </c>
      <c r="B517" s="11"/>
      <c r="C517" s="12"/>
      <c r="D517" s="12" t="str">
        <f>IF(C517="","",C517-IF(C516&lt;&gt;"",C516,IF(C515&lt;&gt;"",C515,IF(C514&lt;&gt;"",C514,0))))</f>
        <v/>
      </c>
      <c r="E517" s="12"/>
      <c r="F517" s="12"/>
      <c r="G517" s="9" t="str">
        <f>IF(AND(E517="",F517=""),"",IF(OR(E517&gt;1,F517&gt;1),(F517-E517)/100,F517-E517))</f>
        <v/>
      </c>
      <c r="H517" s="12" t="str">
        <f>IF(G517="","",64*G517)</f>
        <v/>
      </c>
      <c r="I517" s="13"/>
      <c r="J517" s="13" t="str">
        <f>IFERROR(IF(OR(D517="",D517=0),"",I517/D517*100),"")</f>
        <v/>
      </c>
      <c r="K517" s="14"/>
      <c r="L517" s="13" t="str">
        <f>IF(I517="","",I517*K517)</f>
        <v/>
      </c>
      <c r="M517" s="13" t="str">
        <f>IF(B517="","",IFERROR(SUMPRODUCT(ISNUMBER(B$3:B517)*(MONTH(IF(ISNUMBER(B$3:B517),B$3:B517,1))=MONTH(B517))*(YEAR(IF(ISNUMBER(B$3:B517),B$3:B517,1))=YEAR(B517))*IF(ISNUMBER(L$3:L517),L$3:L517,0)),""))</f>
        <v/>
      </c>
      <c r="N517" s="6"/>
      <c r="O517" s="7" t="str">
        <f>IF(AND(B517="",ISNUMBER(B518)),CHOOSE(MONTH(B518),"GENNAIO","FEBBRAIO","MARZO","APRILE","MAGGIO","GIUGNO","LUGLIO","AGOSTO","SETTEMBRE","OTTOBRE","NOVEMBRE","DICEMBRE")&amp;" "&amp;YEAR(B518),"")</f>
        <v/>
      </c>
      <c r="P517" s="12" t="str">
        <f>IF(K517=0.2,"CASA","")</f>
        <v/>
      </c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" customHeight="1" x14ac:dyDescent="0.2">
      <c r="A518" s="5" t="str">
        <f>IF(AND(B518="",ISNUMBER(B519)),CHOOSE(MONTH(B519),"GENNAIO","FEBBRAIO","MARZO","APRILE","MAGGIO","GIUGNO","LUGLIO","AGOSTO","SETTEMBRE","OTTOBRE","NOVEMBRE","DICEMBRE")&amp;" "&amp;YEAR(B519),"")</f>
        <v/>
      </c>
      <c r="B518" s="11"/>
      <c r="C518" s="12"/>
      <c r="D518" s="12" t="str">
        <f>IF(C518="","",C518-IF(C517&lt;&gt;"",C517,IF(C516&lt;&gt;"",C516,IF(C515&lt;&gt;"",C515,0))))</f>
        <v/>
      </c>
      <c r="E518" s="12"/>
      <c r="F518" s="12"/>
      <c r="G518" s="9" t="str">
        <f>IF(AND(E518="",F518=""),"",IF(OR(E518&gt;1,F518&gt;1),(F518-E518)/100,F518-E518))</f>
        <v/>
      </c>
      <c r="H518" s="12" t="str">
        <f>IF(G518="","",64*G518)</f>
        <v/>
      </c>
      <c r="I518" s="13"/>
      <c r="J518" s="13" t="str">
        <f>IFERROR(IF(OR(D518="",D518=0),"",I518/D518*100),"")</f>
        <v/>
      </c>
      <c r="K518" s="14"/>
      <c r="L518" s="13" t="str">
        <f>IF(I518="","",I518*K518)</f>
        <v/>
      </c>
      <c r="M518" s="13" t="str">
        <f>IF(B518="","",IFERROR(SUMPRODUCT(ISNUMBER(B$3:B518)*(MONTH(IF(ISNUMBER(B$3:B518),B$3:B518,1))=MONTH(B518))*(YEAR(IF(ISNUMBER(B$3:B518),B$3:B518,1))=YEAR(B518))*IF(ISNUMBER(L$3:L518),L$3:L518,0)),""))</f>
        <v/>
      </c>
      <c r="N518" s="6"/>
      <c r="O518" s="7" t="str">
        <f>IF(AND(B518="",ISNUMBER(B519)),CHOOSE(MONTH(B519),"GENNAIO","FEBBRAIO","MARZO","APRILE","MAGGIO","GIUGNO","LUGLIO","AGOSTO","SETTEMBRE","OTTOBRE","NOVEMBRE","DICEMBRE")&amp;" "&amp;YEAR(B519),"")</f>
        <v/>
      </c>
      <c r="P518" s="12" t="str">
        <f>IF(K518=0.2,"CASA","")</f>
        <v/>
      </c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" customHeight="1" x14ac:dyDescent="0.2">
      <c r="A519" s="5" t="str">
        <f>IF(AND(B519="",ISNUMBER(B520)),CHOOSE(MONTH(B520),"GENNAIO","FEBBRAIO","MARZO","APRILE","MAGGIO","GIUGNO","LUGLIO","AGOSTO","SETTEMBRE","OTTOBRE","NOVEMBRE","DICEMBRE")&amp;" "&amp;YEAR(B520),"")</f>
        <v/>
      </c>
      <c r="B519" s="11"/>
      <c r="C519" s="12"/>
      <c r="D519" s="12" t="str">
        <f>IF(C519="","",C519-IF(C518&lt;&gt;"",C518,IF(C517&lt;&gt;"",C517,IF(C516&lt;&gt;"",C516,0))))</f>
        <v/>
      </c>
      <c r="E519" s="12"/>
      <c r="F519" s="12"/>
      <c r="G519" s="9" t="str">
        <f>IF(AND(E519="",F519=""),"",IF(OR(E519&gt;1,F519&gt;1),(F519-E519)/100,F519-E519))</f>
        <v/>
      </c>
      <c r="H519" s="12" t="str">
        <f>IF(G519="","",64*G519)</f>
        <v/>
      </c>
      <c r="I519" s="13"/>
      <c r="J519" s="13" t="str">
        <f>IFERROR(IF(OR(D519="",D519=0),"",I519/D519*100),"")</f>
        <v/>
      </c>
      <c r="K519" s="14"/>
      <c r="L519" s="13" t="str">
        <f>IF(I519="","",I519*K519)</f>
        <v/>
      </c>
      <c r="M519" s="13" t="str">
        <f>IF(B519="","",IFERROR(SUMPRODUCT(ISNUMBER(B$3:B519)*(MONTH(IF(ISNUMBER(B$3:B519),B$3:B519,1))=MONTH(B519))*(YEAR(IF(ISNUMBER(B$3:B519),B$3:B519,1))=YEAR(B519))*IF(ISNUMBER(L$3:L519),L$3:L519,0)),""))</f>
        <v/>
      </c>
      <c r="N519" s="6"/>
      <c r="O519" s="7" t="str">
        <f>IF(AND(B519="",ISNUMBER(B520)),CHOOSE(MONTH(B520),"GENNAIO","FEBBRAIO","MARZO","APRILE","MAGGIO","GIUGNO","LUGLIO","AGOSTO","SETTEMBRE","OTTOBRE","NOVEMBRE","DICEMBRE")&amp;" "&amp;YEAR(B520),"")</f>
        <v/>
      </c>
      <c r="P519" s="12" t="str">
        <f>IF(K519=0.2,"CASA","")</f>
        <v/>
      </c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" customHeight="1" x14ac:dyDescent="0.2">
      <c r="A520" s="5" t="str">
        <f>IF(AND(B520="",ISNUMBER(B521)),CHOOSE(MONTH(B521),"GENNAIO","FEBBRAIO","MARZO","APRILE","MAGGIO","GIUGNO","LUGLIO","AGOSTO","SETTEMBRE","OTTOBRE","NOVEMBRE","DICEMBRE")&amp;" "&amp;YEAR(B521),"")</f>
        <v/>
      </c>
      <c r="B520" s="11"/>
      <c r="C520" s="12"/>
      <c r="D520" s="12" t="str">
        <f>IF(C520="","",C520-IF(C519&lt;&gt;"",C519,IF(C518&lt;&gt;"",C518,IF(C517&lt;&gt;"",C517,0))))</f>
        <v/>
      </c>
      <c r="E520" s="12"/>
      <c r="F520" s="12"/>
      <c r="G520" s="9" t="str">
        <f>IF(AND(E520="",F520=""),"",IF(OR(E520&gt;1,F520&gt;1),(F520-E520)/100,F520-E520))</f>
        <v/>
      </c>
      <c r="H520" s="12" t="str">
        <f>IF(G520="","",64*G520)</f>
        <v/>
      </c>
      <c r="I520" s="13"/>
      <c r="J520" s="13" t="str">
        <f>IFERROR(IF(OR(D520="",D520=0),"",I520/D520*100),"")</f>
        <v/>
      </c>
      <c r="K520" s="14"/>
      <c r="L520" s="13" t="str">
        <f>IF(I520="","",I520*K520)</f>
        <v/>
      </c>
      <c r="M520" s="13" t="str">
        <f>IF(B520="","",IFERROR(SUMPRODUCT(ISNUMBER(B$3:B520)*(MONTH(IF(ISNUMBER(B$3:B520),B$3:B520,1))=MONTH(B520))*(YEAR(IF(ISNUMBER(B$3:B520),B$3:B520,1))=YEAR(B520))*IF(ISNUMBER(L$3:L520),L$3:L520,0)),""))</f>
        <v/>
      </c>
      <c r="N520" s="6"/>
      <c r="O520" s="7" t="str">
        <f>IF(AND(B520="",ISNUMBER(B521)),CHOOSE(MONTH(B521),"GENNAIO","FEBBRAIO","MARZO","APRILE","MAGGIO","GIUGNO","LUGLIO","AGOSTO","SETTEMBRE","OTTOBRE","NOVEMBRE","DICEMBRE")&amp;" "&amp;YEAR(B521),"")</f>
        <v/>
      </c>
      <c r="P520" s="12" t="str">
        <f>IF(K520=0.2,"CASA","")</f>
        <v/>
      </c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" customHeight="1" x14ac:dyDescent="0.2">
      <c r="A521" s="5" t="str">
        <f>IF(AND(B521="",ISNUMBER(B522)),CHOOSE(MONTH(B522),"GENNAIO","FEBBRAIO","MARZO","APRILE","MAGGIO","GIUGNO","LUGLIO","AGOSTO","SETTEMBRE","OTTOBRE","NOVEMBRE","DICEMBRE")&amp;" "&amp;YEAR(B522),"")</f>
        <v/>
      </c>
      <c r="B521" s="11"/>
      <c r="C521" s="12"/>
      <c r="D521" s="12" t="str">
        <f>IF(C521="","",C521-IF(C520&lt;&gt;"",C520,IF(C519&lt;&gt;"",C519,IF(C518&lt;&gt;"",C518,0))))</f>
        <v/>
      </c>
      <c r="E521" s="12"/>
      <c r="F521" s="12"/>
      <c r="G521" s="9" t="str">
        <f>IF(AND(E521="",F521=""),"",IF(OR(E521&gt;1,F521&gt;1),(F521-E521)/100,F521-E521))</f>
        <v/>
      </c>
      <c r="H521" s="12" t="str">
        <f>IF(G521="","",64*G521)</f>
        <v/>
      </c>
      <c r="I521" s="13"/>
      <c r="J521" s="13" t="str">
        <f>IFERROR(IF(OR(D521="",D521=0),"",I521/D521*100),"")</f>
        <v/>
      </c>
      <c r="K521" s="14"/>
      <c r="L521" s="13" t="str">
        <f>IF(I521="","",I521*K521)</f>
        <v/>
      </c>
      <c r="M521" s="13" t="str">
        <f>IF(B521="","",IFERROR(SUMPRODUCT(ISNUMBER(B$3:B521)*(MONTH(IF(ISNUMBER(B$3:B521),B$3:B521,1))=MONTH(B521))*(YEAR(IF(ISNUMBER(B$3:B521),B$3:B521,1))=YEAR(B521))*IF(ISNUMBER(L$3:L521),L$3:L521,0)),""))</f>
        <v/>
      </c>
      <c r="N521" s="6"/>
      <c r="O521" s="7" t="str">
        <f>IF(AND(B521="",ISNUMBER(B522)),CHOOSE(MONTH(B522),"GENNAIO","FEBBRAIO","MARZO","APRILE","MAGGIO","GIUGNO","LUGLIO","AGOSTO","SETTEMBRE","OTTOBRE","NOVEMBRE","DICEMBRE")&amp;" "&amp;YEAR(B522),"")</f>
        <v/>
      </c>
      <c r="P521" s="12" t="str">
        <f>IF(K521=0.2,"CASA","")</f>
        <v/>
      </c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" customHeight="1" x14ac:dyDescent="0.2">
      <c r="A522" s="5" t="str">
        <f>IF(AND(B522="",ISNUMBER(B523)),CHOOSE(MONTH(B523),"GENNAIO","FEBBRAIO","MARZO","APRILE","MAGGIO","GIUGNO","LUGLIO","AGOSTO","SETTEMBRE","OTTOBRE","NOVEMBRE","DICEMBRE")&amp;" "&amp;YEAR(B523),"")</f>
        <v/>
      </c>
      <c r="B522" s="11"/>
      <c r="C522" s="12"/>
      <c r="D522" s="12" t="str">
        <f>IF(C522="","",C522-IF(C521&lt;&gt;"",C521,IF(C520&lt;&gt;"",C520,IF(C519&lt;&gt;"",C519,0))))</f>
        <v/>
      </c>
      <c r="E522" s="12"/>
      <c r="F522" s="12"/>
      <c r="G522" s="9" t="str">
        <f>IF(AND(E522="",F522=""),"",IF(OR(E522&gt;1,F522&gt;1),(F522-E522)/100,F522-E522))</f>
        <v/>
      </c>
      <c r="H522" s="12" t="str">
        <f>IF(G522="","",64*G522)</f>
        <v/>
      </c>
      <c r="I522" s="13"/>
      <c r="J522" s="13" t="str">
        <f>IFERROR(IF(OR(D522="",D522=0),"",I522/D522*100),"")</f>
        <v/>
      </c>
      <c r="K522" s="14"/>
      <c r="L522" s="13" t="str">
        <f>IF(I522="","",I522*K522)</f>
        <v/>
      </c>
      <c r="M522" s="13" t="str">
        <f>IF(B522="","",IFERROR(SUMPRODUCT(ISNUMBER(B$3:B522)*(MONTH(IF(ISNUMBER(B$3:B522),B$3:B522,1))=MONTH(B522))*(YEAR(IF(ISNUMBER(B$3:B522),B$3:B522,1))=YEAR(B522))*IF(ISNUMBER(L$3:L522),L$3:L522,0)),""))</f>
        <v/>
      </c>
      <c r="N522" s="6"/>
      <c r="O522" s="7" t="str">
        <f>IF(AND(B522="",ISNUMBER(B523)),CHOOSE(MONTH(B523),"GENNAIO","FEBBRAIO","MARZO","APRILE","MAGGIO","GIUGNO","LUGLIO","AGOSTO","SETTEMBRE","OTTOBRE","NOVEMBRE","DICEMBRE")&amp;" "&amp;YEAR(B523),"")</f>
        <v/>
      </c>
      <c r="P522" s="12" t="str">
        <f>IF(K522=0.2,"CASA","")</f>
        <v/>
      </c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" customHeight="1" x14ac:dyDescent="0.2">
      <c r="A523" s="5" t="str">
        <f>IF(AND(B523="",ISNUMBER(B524)),CHOOSE(MONTH(B524),"GENNAIO","FEBBRAIO","MARZO","APRILE","MAGGIO","GIUGNO","LUGLIO","AGOSTO","SETTEMBRE","OTTOBRE","NOVEMBRE","DICEMBRE")&amp;" "&amp;YEAR(B524),"")</f>
        <v/>
      </c>
      <c r="B523" s="11"/>
      <c r="C523" s="12"/>
      <c r="D523" s="12" t="str">
        <f>IF(C523="","",C523-IF(C522&lt;&gt;"",C522,IF(C521&lt;&gt;"",C521,IF(C520&lt;&gt;"",C520,0))))</f>
        <v/>
      </c>
      <c r="E523" s="12"/>
      <c r="F523" s="12"/>
      <c r="G523" s="9" t="str">
        <f>IF(AND(E523="",F523=""),"",IF(OR(E523&gt;1,F523&gt;1),(F523-E523)/100,F523-E523))</f>
        <v/>
      </c>
      <c r="H523" s="12" t="str">
        <f>IF(G523="","",64*G523)</f>
        <v/>
      </c>
      <c r="I523" s="13"/>
      <c r="J523" s="13" t="str">
        <f>IFERROR(IF(OR(D523="",D523=0),"",I523/D523*100),"")</f>
        <v/>
      </c>
      <c r="K523" s="14"/>
      <c r="L523" s="13" t="str">
        <f>IF(I523="","",I523*K523)</f>
        <v/>
      </c>
      <c r="M523" s="13" t="str">
        <f>IF(B523="","",IFERROR(SUMPRODUCT(ISNUMBER(B$3:B523)*(MONTH(IF(ISNUMBER(B$3:B523),B$3:B523,1))=MONTH(B523))*(YEAR(IF(ISNUMBER(B$3:B523),B$3:B523,1))=YEAR(B523))*IF(ISNUMBER(L$3:L523),L$3:L523,0)),""))</f>
        <v/>
      </c>
      <c r="N523" s="6"/>
      <c r="O523" s="7" t="str">
        <f>IF(AND(B523="",ISNUMBER(B524)),CHOOSE(MONTH(B524),"GENNAIO","FEBBRAIO","MARZO","APRILE","MAGGIO","GIUGNO","LUGLIO","AGOSTO","SETTEMBRE","OTTOBRE","NOVEMBRE","DICEMBRE")&amp;" "&amp;YEAR(B524),"")</f>
        <v/>
      </c>
      <c r="P523" s="12" t="str">
        <f>IF(K523=0.2,"CASA","")</f>
        <v/>
      </c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" customHeight="1" x14ac:dyDescent="0.2">
      <c r="A524" s="5" t="str">
        <f>IF(AND(B524="",ISNUMBER(B525)),CHOOSE(MONTH(B525),"GENNAIO","FEBBRAIO","MARZO","APRILE","MAGGIO","GIUGNO","LUGLIO","AGOSTO","SETTEMBRE","OTTOBRE","NOVEMBRE","DICEMBRE")&amp;" "&amp;YEAR(B525),"")</f>
        <v/>
      </c>
      <c r="B524" s="11"/>
      <c r="C524" s="12"/>
      <c r="D524" s="12" t="str">
        <f>IF(C524="","",C524-IF(C523&lt;&gt;"",C523,IF(C522&lt;&gt;"",C522,IF(C521&lt;&gt;"",C521,0))))</f>
        <v/>
      </c>
      <c r="E524" s="12"/>
      <c r="F524" s="12"/>
      <c r="G524" s="9" t="str">
        <f>IF(AND(E524="",F524=""),"",IF(OR(E524&gt;1,F524&gt;1),(F524-E524)/100,F524-E524))</f>
        <v/>
      </c>
      <c r="H524" s="12" t="str">
        <f>IF(G524="","",64*G524)</f>
        <v/>
      </c>
      <c r="I524" s="13"/>
      <c r="J524" s="13" t="str">
        <f>IFERROR(IF(OR(D524="",D524=0),"",I524/D524*100),"")</f>
        <v/>
      </c>
      <c r="K524" s="14"/>
      <c r="L524" s="13" t="str">
        <f>IF(I524="","",I524*K524)</f>
        <v/>
      </c>
      <c r="M524" s="13" t="str">
        <f>IF(B524="","",IFERROR(SUMPRODUCT(ISNUMBER(B$3:B524)*(MONTH(IF(ISNUMBER(B$3:B524),B$3:B524,1))=MONTH(B524))*(YEAR(IF(ISNUMBER(B$3:B524),B$3:B524,1))=YEAR(B524))*IF(ISNUMBER(L$3:L524),L$3:L524,0)),""))</f>
        <v/>
      </c>
      <c r="N524" s="6"/>
      <c r="O524" s="7" t="str">
        <f>IF(AND(B524="",ISNUMBER(B525)),CHOOSE(MONTH(B525),"GENNAIO","FEBBRAIO","MARZO","APRILE","MAGGIO","GIUGNO","LUGLIO","AGOSTO","SETTEMBRE","OTTOBRE","NOVEMBRE","DICEMBRE")&amp;" "&amp;YEAR(B525),"")</f>
        <v/>
      </c>
      <c r="P524" s="12" t="str">
        <f>IF(K524=0.2,"CASA","")</f>
        <v/>
      </c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" customHeight="1" x14ac:dyDescent="0.2">
      <c r="A525" s="5" t="str">
        <f>IF(AND(B525="",ISNUMBER(B526)),CHOOSE(MONTH(B526),"GENNAIO","FEBBRAIO","MARZO","APRILE","MAGGIO","GIUGNO","LUGLIO","AGOSTO","SETTEMBRE","OTTOBRE","NOVEMBRE","DICEMBRE")&amp;" "&amp;YEAR(B526),"")</f>
        <v/>
      </c>
      <c r="B525" s="11"/>
      <c r="C525" s="12"/>
      <c r="D525" s="12" t="str">
        <f>IF(C525="","",C525-IF(C524&lt;&gt;"",C524,IF(C523&lt;&gt;"",C523,IF(C522&lt;&gt;"",C522,0))))</f>
        <v/>
      </c>
      <c r="E525" s="12"/>
      <c r="F525" s="12"/>
      <c r="G525" s="9" t="str">
        <f>IF(AND(E525="",F525=""),"",IF(OR(E525&gt;1,F525&gt;1),(F525-E525)/100,F525-E525))</f>
        <v/>
      </c>
      <c r="H525" s="12" t="str">
        <f>IF(G525="","",64*G525)</f>
        <v/>
      </c>
      <c r="I525" s="13"/>
      <c r="J525" s="13" t="str">
        <f>IFERROR(IF(OR(D525="",D525=0),"",I525/D525*100),"")</f>
        <v/>
      </c>
      <c r="K525" s="14"/>
      <c r="L525" s="13" t="str">
        <f>IF(I525="","",I525*K525)</f>
        <v/>
      </c>
      <c r="M525" s="13" t="str">
        <f>IF(B525="","",IFERROR(SUMPRODUCT(ISNUMBER(B$3:B525)*(MONTH(IF(ISNUMBER(B$3:B525),B$3:B525,1))=MONTH(B525))*(YEAR(IF(ISNUMBER(B$3:B525),B$3:B525,1))=YEAR(B525))*IF(ISNUMBER(L$3:L525),L$3:L525,0)),""))</f>
        <v/>
      </c>
      <c r="N525" s="6"/>
      <c r="O525" s="7" t="str">
        <f>IF(AND(B525="",ISNUMBER(B526)),CHOOSE(MONTH(B526),"GENNAIO","FEBBRAIO","MARZO","APRILE","MAGGIO","GIUGNO","LUGLIO","AGOSTO","SETTEMBRE","OTTOBRE","NOVEMBRE","DICEMBRE")&amp;" "&amp;YEAR(B526),"")</f>
        <v/>
      </c>
      <c r="P525" s="12" t="str">
        <f>IF(K525=0.2,"CASA","")</f>
        <v/>
      </c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" customHeight="1" x14ac:dyDescent="0.2">
      <c r="A526" s="5" t="str">
        <f>IF(AND(B526="",ISNUMBER(B527)),CHOOSE(MONTH(B527),"GENNAIO","FEBBRAIO","MARZO","APRILE","MAGGIO","GIUGNO","LUGLIO","AGOSTO","SETTEMBRE","OTTOBRE","NOVEMBRE","DICEMBRE")&amp;" "&amp;YEAR(B527),"")</f>
        <v/>
      </c>
      <c r="B526" s="11"/>
      <c r="C526" s="12"/>
      <c r="D526" s="12" t="str">
        <f>IF(C526="","",C526-IF(C525&lt;&gt;"",C525,IF(C524&lt;&gt;"",C524,IF(C523&lt;&gt;"",C523,0))))</f>
        <v/>
      </c>
      <c r="E526" s="12"/>
      <c r="F526" s="12"/>
      <c r="G526" s="9" t="str">
        <f>IF(AND(E526="",F526=""),"",IF(OR(E526&gt;1,F526&gt;1),(F526-E526)/100,F526-E526))</f>
        <v/>
      </c>
      <c r="H526" s="12" t="str">
        <f>IF(G526="","",64*G526)</f>
        <v/>
      </c>
      <c r="I526" s="13"/>
      <c r="J526" s="13" t="str">
        <f>IFERROR(IF(OR(D526="",D526=0),"",I526/D526*100),"")</f>
        <v/>
      </c>
      <c r="K526" s="14"/>
      <c r="L526" s="13" t="str">
        <f>IF(I526="","",I526*K526)</f>
        <v/>
      </c>
      <c r="M526" s="13" t="str">
        <f>IF(B526="","",IFERROR(SUMPRODUCT(ISNUMBER(B$3:B526)*(MONTH(IF(ISNUMBER(B$3:B526),B$3:B526,1))=MONTH(B526))*(YEAR(IF(ISNUMBER(B$3:B526),B$3:B526,1))=YEAR(B526))*IF(ISNUMBER(L$3:L526),L$3:L526,0)),""))</f>
        <v/>
      </c>
      <c r="N526" s="6"/>
      <c r="O526" s="7" t="str">
        <f>IF(AND(B526="",ISNUMBER(B527)),CHOOSE(MONTH(B527),"GENNAIO","FEBBRAIO","MARZO","APRILE","MAGGIO","GIUGNO","LUGLIO","AGOSTO","SETTEMBRE","OTTOBRE","NOVEMBRE","DICEMBRE")&amp;" "&amp;YEAR(B527),"")</f>
        <v/>
      </c>
      <c r="P526" s="12" t="str">
        <f>IF(K526=0.2,"CASA","")</f>
        <v/>
      </c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" customHeight="1" x14ac:dyDescent="0.2">
      <c r="A527" s="5" t="str">
        <f>IF(AND(B527="",ISNUMBER(B528)),CHOOSE(MONTH(B528),"GENNAIO","FEBBRAIO","MARZO","APRILE","MAGGIO","GIUGNO","LUGLIO","AGOSTO","SETTEMBRE","OTTOBRE","NOVEMBRE","DICEMBRE")&amp;" "&amp;YEAR(B528),"")</f>
        <v/>
      </c>
      <c r="B527" s="11"/>
      <c r="C527" s="12"/>
      <c r="D527" s="12" t="str">
        <f>IF(C527="","",C527-IF(C526&lt;&gt;"",C526,IF(C525&lt;&gt;"",C525,IF(C524&lt;&gt;"",C524,0))))</f>
        <v/>
      </c>
      <c r="E527" s="12"/>
      <c r="F527" s="12"/>
      <c r="G527" s="9" t="str">
        <f>IF(AND(E527="",F527=""),"",IF(OR(E527&gt;1,F527&gt;1),(F527-E527)/100,F527-E527))</f>
        <v/>
      </c>
      <c r="H527" s="12" t="str">
        <f>IF(G527="","",64*G527)</f>
        <v/>
      </c>
      <c r="I527" s="13"/>
      <c r="J527" s="13" t="str">
        <f>IFERROR(IF(OR(D527="",D527=0),"",I527/D527*100),"")</f>
        <v/>
      </c>
      <c r="K527" s="14"/>
      <c r="L527" s="13" t="str">
        <f>IF(I527="","",I527*K527)</f>
        <v/>
      </c>
      <c r="M527" s="13" t="str">
        <f>IF(B527="","",IFERROR(SUMPRODUCT(ISNUMBER(B$3:B527)*(MONTH(IF(ISNUMBER(B$3:B527),B$3:B527,1))=MONTH(B527))*(YEAR(IF(ISNUMBER(B$3:B527),B$3:B527,1))=YEAR(B527))*IF(ISNUMBER(L$3:L527),L$3:L527,0)),""))</f>
        <v/>
      </c>
      <c r="N527" s="6"/>
      <c r="O527" s="7" t="str">
        <f>IF(AND(B527="",ISNUMBER(B528)),CHOOSE(MONTH(B528),"GENNAIO","FEBBRAIO","MARZO","APRILE","MAGGIO","GIUGNO","LUGLIO","AGOSTO","SETTEMBRE","OTTOBRE","NOVEMBRE","DICEMBRE")&amp;" "&amp;YEAR(B528),"")</f>
        <v/>
      </c>
      <c r="P527" s="12" t="str">
        <f>IF(K527=0.2,"CASA","")</f>
        <v/>
      </c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" customHeight="1" x14ac:dyDescent="0.2">
      <c r="A528" s="5" t="str">
        <f>IF(AND(B528="",ISNUMBER(B529)),CHOOSE(MONTH(B529),"GENNAIO","FEBBRAIO","MARZO","APRILE","MAGGIO","GIUGNO","LUGLIO","AGOSTO","SETTEMBRE","OTTOBRE","NOVEMBRE","DICEMBRE")&amp;" "&amp;YEAR(B529),"")</f>
        <v/>
      </c>
      <c r="B528" s="11"/>
      <c r="C528" s="12"/>
      <c r="D528" s="12" t="str">
        <f>IF(C528="","",C528-IF(C527&lt;&gt;"",C527,IF(C526&lt;&gt;"",C526,IF(C525&lt;&gt;"",C525,0))))</f>
        <v/>
      </c>
      <c r="E528" s="12"/>
      <c r="F528" s="12"/>
      <c r="G528" s="9" t="str">
        <f>IF(AND(E528="",F528=""),"",IF(OR(E528&gt;1,F528&gt;1),(F528-E528)/100,F528-E528))</f>
        <v/>
      </c>
      <c r="H528" s="12" t="str">
        <f>IF(G528="","",64*G528)</f>
        <v/>
      </c>
      <c r="I528" s="13"/>
      <c r="J528" s="13" t="str">
        <f>IFERROR(IF(OR(D528="",D528=0),"",I528/D528*100),"")</f>
        <v/>
      </c>
      <c r="K528" s="14"/>
      <c r="L528" s="13" t="str">
        <f>IF(I528="","",I528*K528)</f>
        <v/>
      </c>
      <c r="M528" s="13" t="str">
        <f>IF(B528="","",IFERROR(SUMPRODUCT(ISNUMBER(B$3:B528)*(MONTH(IF(ISNUMBER(B$3:B528),B$3:B528,1))=MONTH(B528))*(YEAR(IF(ISNUMBER(B$3:B528),B$3:B528,1))=YEAR(B528))*IF(ISNUMBER(L$3:L528),L$3:L528,0)),""))</f>
        <v/>
      </c>
      <c r="N528" s="6"/>
      <c r="O528" s="7" t="str">
        <f>IF(AND(B528="",ISNUMBER(B529)),CHOOSE(MONTH(B529),"GENNAIO","FEBBRAIO","MARZO","APRILE","MAGGIO","GIUGNO","LUGLIO","AGOSTO","SETTEMBRE","OTTOBRE","NOVEMBRE","DICEMBRE")&amp;" "&amp;YEAR(B529),"")</f>
        <v/>
      </c>
      <c r="P528" s="12" t="str">
        <f>IF(K528=0.2,"CASA","")</f>
        <v/>
      </c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" customHeight="1" x14ac:dyDescent="0.2">
      <c r="A529" s="5" t="str">
        <f>IF(AND(B529="",ISNUMBER(B530)),CHOOSE(MONTH(B530),"GENNAIO","FEBBRAIO","MARZO","APRILE","MAGGIO","GIUGNO","LUGLIO","AGOSTO","SETTEMBRE","OTTOBRE","NOVEMBRE","DICEMBRE")&amp;" "&amp;YEAR(B530),"")</f>
        <v/>
      </c>
      <c r="B529" s="11"/>
      <c r="C529" s="12"/>
      <c r="D529" s="12" t="str">
        <f>IF(C529="","",C529-IF(C528&lt;&gt;"",C528,IF(C527&lt;&gt;"",C527,IF(C526&lt;&gt;"",C526,0))))</f>
        <v/>
      </c>
      <c r="E529" s="12"/>
      <c r="F529" s="12"/>
      <c r="G529" s="9" t="str">
        <f>IF(AND(E529="",F529=""),"",IF(OR(E529&gt;1,F529&gt;1),(F529-E529)/100,F529-E529))</f>
        <v/>
      </c>
      <c r="H529" s="12" t="str">
        <f>IF(G529="","",64*G529)</f>
        <v/>
      </c>
      <c r="I529" s="13"/>
      <c r="J529" s="13" t="str">
        <f>IFERROR(IF(OR(D529="",D529=0),"",I529/D529*100),"")</f>
        <v/>
      </c>
      <c r="K529" s="14"/>
      <c r="L529" s="13" t="str">
        <f>IF(I529="","",I529*K529)</f>
        <v/>
      </c>
      <c r="M529" s="13" t="str">
        <f>IF(B529="","",IFERROR(SUMPRODUCT(ISNUMBER(B$3:B529)*(MONTH(IF(ISNUMBER(B$3:B529),B$3:B529,1))=MONTH(B529))*(YEAR(IF(ISNUMBER(B$3:B529),B$3:B529,1))=YEAR(B529))*IF(ISNUMBER(L$3:L529),L$3:L529,0)),""))</f>
        <v/>
      </c>
      <c r="N529" s="6"/>
      <c r="O529" s="7" t="str">
        <f>IF(AND(B529="",ISNUMBER(B530)),CHOOSE(MONTH(B530),"GENNAIO","FEBBRAIO","MARZO","APRILE","MAGGIO","GIUGNO","LUGLIO","AGOSTO","SETTEMBRE","OTTOBRE","NOVEMBRE","DICEMBRE")&amp;" "&amp;YEAR(B530),"")</f>
        <v/>
      </c>
      <c r="P529" s="12" t="str">
        <f>IF(K529=0.2,"CASA","")</f>
        <v/>
      </c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" customHeight="1" x14ac:dyDescent="0.2">
      <c r="A530" s="5" t="str">
        <f>IF(AND(B530="",ISNUMBER(B531)),CHOOSE(MONTH(B531),"GENNAIO","FEBBRAIO","MARZO","APRILE","MAGGIO","GIUGNO","LUGLIO","AGOSTO","SETTEMBRE","OTTOBRE","NOVEMBRE","DICEMBRE")&amp;" "&amp;YEAR(B531),"")</f>
        <v/>
      </c>
      <c r="B530" s="11"/>
      <c r="C530" s="12"/>
      <c r="D530" s="12" t="str">
        <f>IF(C530="","",C530-IF(C529&lt;&gt;"",C529,IF(C528&lt;&gt;"",C528,IF(C527&lt;&gt;"",C527,0))))</f>
        <v/>
      </c>
      <c r="E530" s="12"/>
      <c r="F530" s="12"/>
      <c r="G530" s="9" t="str">
        <f>IF(AND(E530="",F530=""),"",IF(OR(E530&gt;1,F530&gt;1),(F530-E530)/100,F530-E530))</f>
        <v/>
      </c>
      <c r="H530" s="12" t="str">
        <f>IF(G530="","",64*G530)</f>
        <v/>
      </c>
      <c r="I530" s="13"/>
      <c r="J530" s="13" t="str">
        <f>IFERROR(IF(OR(D530="",D530=0),"",I530/D530*100),"")</f>
        <v/>
      </c>
      <c r="K530" s="14"/>
      <c r="L530" s="13" t="str">
        <f>IF(I530="","",I530*K530)</f>
        <v/>
      </c>
      <c r="M530" s="13" t="str">
        <f>IF(B530="","",IFERROR(SUMPRODUCT(ISNUMBER(B$3:B530)*(MONTH(IF(ISNUMBER(B$3:B530),B$3:B530,1))=MONTH(B530))*(YEAR(IF(ISNUMBER(B$3:B530),B$3:B530,1))=YEAR(B530))*IF(ISNUMBER(L$3:L530),L$3:L530,0)),""))</f>
        <v/>
      </c>
      <c r="N530" s="6"/>
      <c r="O530" s="7" t="str">
        <f>IF(AND(B530="",ISNUMBER(B531)),CHOOSE(MONTH(B531),"GENNAIO","FEBBRAIO","MARZO","APRILE","MAGGIO","GIUGNO","LUGLIO","AGOSTO","SETTEMBRE","OTTOBRE","NOVEMBRE","DICEMBRE")&amp;" "&amp;YEAR(B531),"")</f>
        <v/>
      </c>
      <c r="P530" s="12" t="str">
        <f>IF(K530=0.2,"CASA","")</f>
        <v/>
      </c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" customHeight="1" x14ac:dyDescent="0.2">
      <c r="A531" s="5" t="str">
        <f>IF(AND(B531="",ISNUMBER(B532)),CHOOSE(MONTH(B532),"GENNAIO","FEBBRAIO","MARZO","APRILE","MAGGIO","GIUGNO","LUGLIO","AGOSTO","SETTEMBRE","OTTOBRE","NOVEMBRE","DICEMBRE")&amp;" "&amp;YEAR(B532),"")</f>
        <v/>
      </c>
      <c r="B531" s="11"/>
      <c r="C531" s="12"/>
      <c r="D531" s="12" t="str">
        <f>IF(C531="","",C531-IF(C530&lt;&gt;"",C530,IF(C529&lt;&gt;"",C529,IF(C528&lt;&gt;"",C528,0))))</f>
        <v/>
      </c>
      <c r="E531" s="12"/>
      <c r="F531" s="12"/>
      <c r="G531" s="9" t="str">
        <f>IF(AND(E531="",F531=""),"",IF(OR(E531&gt;1,F531&gt;1),(F531-E531)/100,F531-E531))</f>
        <v/>
      </c>
      <c r="H531" s="12" t="str">
        <f>IF(G531="","",64*G531)</f>
        <v/>
      </c>
      <c r="I531" s="13"/>
      <c r="J531" s="13" t="str">
        <f>IFERROR(IF(OR(D531="",D531=0),"",I531/D531*100),"")</f>
        <v/>
      </c>
      <c r="K531" s="14"/>
      <c r="L531" s="13" t="str">
        <f>IF(I531="","",I531*K531)</f>
        <v/>
      </c>
      <c r="M531" s="13" t="str">
        <f>IF(B531="","",IFERROR(SUMPRODUCT(ISNUMBER(B$3:B531)*(MONTH(IF(ISNUMBER(B$3:B531),B$3:B531,1))=MONTH(B531))*(YEAR(IF(ISNUMBER(B$3:B531),B$3:B531,1))=YEAR(B531))*IF(ISNUMBER(L$3:L531),L$3:L531,0)),""))</f>
        <v/>
      </c>
      <c r="N531" s="6"/>
      <c r="O531" s="7" t="str">
        <f>IF(AND(B531="",ISNUMBER(B532)),CHOOSE(MONTH(B532),"GENNAIO","FEBBRAIO","MARZO","APRILE","MAGGIO","GIUGNO","LUGLIO","AGOSTO","SETTEMBRE","OTTOBRE","NOVEMBRE","DICEMBRE")&amp;" "&amp;YEAR(B532),"")</f>
        <v/>
      </c>
      <c r="P531" s="12" t="str">
        <f>IF(K531=0.2,"CASA","")</f>
        <v/>
      </c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" customHeight="1" x14ac:dyDescent="0.2">
      <c r="A532" s="5" t="str">
        <f>IF(AND(B532="",ISNUMBER(B533)),CHOOSE(MONTH(B533),"GENNAIO","FEBBRAIO","MARZO","APRILE","MAGGIO","GIUGNO","LUGLIO","AGOSTO","SETTEMBRE","OTTOBRE","NOVEMBRE","DICEMBRE")&amp;" "&amp;YEAR(B533),"")</f>
        <v/>
      </c>
      <c r="B532" s="11"/>
      <c r="C532" s="12"/>
      <c r="D532" s="12" t="str">
        <f>IF(C532="","",C532-IF(C531&lt;&gt;"",C531,IF(C530&lt;&gt;"",C530,IF(C529&lt;&gt;"",C529,0))))</f>
        <v/>
      </c>
      <c r="E532" s="12"/>
      <c r="F532" s="12"/>
      <c r="G532" s="9" t="str">
        <f>IF(AND(E532="",F532=""),"",IF(OR(E532&gt;1,F532&gt;1),(F532-E532)/100,F532-E532))</f>
        <v/>
      </c>
      <c r="H532" s="12" t="str">
        <f>IF(G532="","",64*G532)</f>
        <v/>
      </c>
      <c r="I532" s="13"/>
      <c r="J532" s="13" t="str">
        <f>IFERROR(IF(OR(D532="",D532=0),"",I532/D532*100),"")</f>
        <v/>
      </c>
      <c r="K532" s="14"/>
      <c r="L532" s="13" t="str">
        <f>IF(I532="","",I532*K532)</f>
        <v/>
      </c>
      <c r="M532" s="13" t="str">
        <f>IF(B532="","",IFERROR(SUMPRODUCT(ISNUMBER(B$3:B532)*(MONTH(IF(ISNUMBER(B$3:B532),B$3:B532,1))=MONTH(B532))*(YEAR(IF(ISNUMBER(B$3:B532),B$3:B532,1))=YEAR(B532))*IF(ISNUMBER(L$3:L532),L$3:L532,0)),""))</f>
        <v/>
      </c>
      <c r="N532" s="6"/>
      <c r="O532" s="7" t="str">
        <f>IF(AND(B532="",ISNUMBER(B533)),CHOOSE(MONTH(B533),"GENNAIO","FEBBRAIO","MARZO","APRILE","MAGGIO","GIUGNO","LUGLIO","AGOSTO","SETTEMBRE","OTTOBRE","NOVEMBRE","DICEMBRE")&amp;" "&amp;YEAR(B533),"")</f>
        <v/>
      </c>
      <c r="P532" s="12" t="str">
        <f>IF(K532=0.2,"CASA","")</f>
        <v/>
      </c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" customHeight="1" x14ac:dyDescent="0.2">
      <c r="A533" s="5" t="str">
        <f>IF(AND(B533="",ISNUMBER(B534)),CHOOSE(MONTH(B534),"GENNAIO","FEBBRAIO","MARZO","APRILE","MAGGIO","GIUGNO","LUGLIO","AGOSTO","SETTEMBRE","OTTOBRE","NOVEMBRE","DICEMBRE")&amp;" "&amp;YEAR(B534),"")</f>
        <v/>
      </c>
      <c r="B533" s="11"/>
      <c r="C533" s="12"/>
      <c r="D533" s="12" t="str">
        <f>IF(C533="","",C533-IF(C532&lt;&gt;"",C532,IF(C531&lt;&gt;"",C531,IF(C530&lt;&gt;"",C530,0))))</f>
        <v/>
      </c>
      <c r="E533" s="12"/>
      <c r="F533" s="12"/>
      <c r="G533" s="9" t="str">
        <f>IF(AND(E533="",F533=""),"",IF(OR(E533&gt;1,F533&gt;1),(F533-E533)/100,F533-E533))</f>
        <v/>
      </c>
      <c r="H533" s="12" t="str">
        <f>IF(G533="","",64*G533)</f>
        <v/>
      </c>
      <c r="I533" s="13"/>
      <c r="J533" s="13" t="str">
        <f>IFERROR(IF(OR(D533="",D533=0),"",I533/D533*100),"")</f>
        <v/>
      </c>
      <c r="K533" s="14"/>
      <c r="L533" s="13" t="str">
        <f>IF(I533="","",I533*K533)</f>
        <v/>
      </c>
      <c r="M533" s="13" t="str">
        <f>IF(B533="","",IFERROR(SUMPRODUCT(ISNUMBER(B$3:B533)*(MONTH(IF(ISNUMBER(B$3:B533),B$3:B533,1))=MONTH(B533))*(YEAR(IF(ISNUMBER(B$3:B533),B$3:B533,1))=YEAR(B533))*IF(ISNUMBER(L$3:L533),L$3:L533,0)),""))</f>
        <v/>
      </c>
      <c r="N533" s="6"/>
      <c r="O533" s="7" t="str">
        <f>IF(AND(B533="",ISNUMBER(B534)),CHOOSE(MONTH(B534),"GENNAIO","FEBBRAIO","MARZO","APRILE","MAGGIO","GIUGNO","LUGLIO","AGOSTO","SETTEMBRE","OTTOBRE","NOVEMBRE","DICEMBRE")&amp;" "&amp;YEAR(B534),"")</f>
        <v/>
      </c>
      <c r="P533" s="12" t="str">
        <f>IF(K533=0.2,"CASA","")</f>
        <v/>
      </c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" customHeight="1" x14ac:dyDescent="0.2">
      <c r="A534" s="5" t="str">
        <f>IF(AND(B534="",ISNUMBER(B535)),CHOOSE(MONTH(B535),"GENNAIO","FEBBRAIO","MARZO","APRILE","MAGGIO","GIUGNO","LUGLIO","AGOSTO","SETTEMBRE","OTTOBRE","NOVEMBRE","DICEMBRE")&amp;" "&amp;YEAR(B535),"")</f>
        <v/>
      </c>
      <c r="B534" s="11"/>
      <c r="C534" s="12"/>
      <c r="D534" s="12" t="str">
        <f>IF(C534="","",C534-IF(C533&lt;&gt;"",C533,IF(C532&lt;&gt;"",C532,IF(C531&lt;&gt;"",C531,0))))</f>
        <v/>
      </c>
      <c r="E534" s="12"/>
      <c r="F534" s="12"/>
      <c r="G534" s="9" t="str">
        <f>IF(AND(E534="",F534=""),"",IF(OR(E534&gt;1,F534&gt;1),(F534-E534)/100,F534-E534))</f>
        <v/>
      </c>
      <c r="H534" s="12" t="str">
        <f>IF(G534="","",64*G534)</f>
        <v/>
      </c>
      <c r="I534" s="13"/>
      <c r="J534" s="13" t="str">
        <f>IFERROR(IF(OR(D534="",D534=0),"",I534/D534*100),"")</f>
        <v/>
      </c>
      <c r="K534" s="14"/>
      <c r="L534" s="13" t="str">
        <f>IF(I534="","",I534*K534)</f>
        <v/>
      </c>
      <c r="M534" s="13" t="str">
        <f>IF(B534="","",IFERROR(SUMPRODUCT(ISNUMBER(B$3:B534)*(MONTH(IF(ISNUMBER(B$3:B534),B$3:B534,1))=MONTH(B534))*(YEAR(IF(ISNUMBER(B$3:B534),B$3:B534,1))=YEAR(B534))*IF(ISNUMBER(L$3:L534),L$3:L534,0)),""))</f>
        <v/>
      </c>
      <c r="N534" s="6"/>
      <c r="O534" s="7" t="str">
        <f>IF(AND(B534="",ISNUMBER(B535)),CHOOSE(MONTH(B535),"GENNAIO","FEBBRAIO","MARZO","APRILE","MAGGIO","GIUGNO","LUGLIO","AGOSTO","SETTEMBRE","OTTOBRE","NOVEMBRE","DICEMBRE")&amp;" "&amp;YEAR(B535),"")</f>
        <v/>
      </c>
      <c r="P534" s="12" t="str">
        <f>IF(K534=0.2,"CASA","")</f>
        <v/>
      </c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" customHeight="1" x14ac:dyDescent="0.2">
      <c r="A535" s="5" t="str">
        <f>IF(AND(B535="",ISNUMBER(B536)),CHOOSE(MONTH(B536),"GENNAIO","FEBBRAIO","MARZO","APRILE","MAGGIO","GIUGNO","LUGLIO","AGOSTO","SETTEMBRE","OTTOBRE","NOVEMBRE","DICEMBRE")&amp;" "&amp;YEAR(B536),"")</f>
        <v/>
      </c>
      <c r="B535" s="11"/>
      <c r="C535" s="12"/>
      <c r="D535" s="12" t="str">
        <f>IF(C535="","",C535-IF(C534&lt;&gt;"",C534,IF(C533&lt;&gt;"",C533,IF(C532&lt;&gt;"",C532,0))))</f>
        <v/>
      </c>
      <c r="E535" s="12"/>
      <c r="F535" s="12"/>
      <c r="G535" s="9" t="str">
        <f>IF(AND(E535="",F535=""),"",IF(OR(E535&gt;1,F535&gt;1),(F535-E535)/100,F535-E535))</f>
        <v/>
      </c>
      <c r="H535" s="12" t="str">
        <f>IF(G535="","",64*G535)</f>
        <v/>
      </c>
      <c r="I535" s="13"/>
      <c r="J535" s="13" t="str">
        <f>IFERROR(IF(OR(D535="",D535=0),"",I535/D535*100),"")</f>
        <v/>
      </c>
      <c r="K535" s="14"/>
      <c r="L535" s="13" t="str">
        <f>IF(I535="","",I535*K535)</f>
        <v/>
      </c>
      <c r="M535" s="13" t="str">
        <f>IF(B535="","",IFERROR(SUMPRODUCT(ISNUMBER(B$3:B535)*(MONTH(IF(ISNUMBER(B$3:B535),B$3:B535,1))=MONTH(B535))*(YEAR(IF(ISNUMBER(B$3:B535),B$3:B535,1))=YEAR(B535))*IF(ISNUMBER(L$3:L535),L$3:L535,0)),""))</f>
        <v/>
      </c>
      <c r="N535" s="6"/>
      <c r="O535" s="7" t="str">
        <f>IF(AND(B535="",ISNUMBER(B536)),CHOOSE(MONTH(B536),"GENNAIO","FEBBRAIO","MARZO","APRILE","MAGGIO","GIUGNO","LUGLIO","AGOSTO","SETTEMBRE","OTTOBRE","NOVEMBRE","DICEMBRE")&amp;" "&amp;YEAR(B536),"")</f>
        <v/>
      </c>
      <c r="P535" s="12" t="str">
        <f>IF(K535=0.2,"CASA","")</f>
        <v/>
      </c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" customHeight="1" x14ac:dyDescent="0.2">
      <c r="A536" s="5" t="str">
        <f>IF(AND(B536="",ISNUMBER(B537)),CHOOSE(MONTH(B537),"GENNAIO","FEBBRAIO","MARZO","APRILE","MAGGIO","GIUGNO","LUGLIO","AGOSTO","SETTEMBRE","OTTOBRE","NOVEMBRE","DICEMBRE")&amp;" "&amp;YEAR(B537),"")</f>
        <v/>
      </c>
      <c r="B536" s="11"/>
      <c r="C536" s="12"/>
      <c r="D536" s="12" t="str">
        <f>IF(C536="","",C536-IF(C535&lt;&gt;"",C535,IF(C534&lt;&gt;"",C534,IF(C533&lt;&gt;"",C533,0))))</f>
        <v/>
      </c>
      <c r="E536" s="12"/>
      <c r="F536" s="12"/>
      <c r="G536" s="9" t="str">
        <f>IF(AND(E536="",F536=""),"",IF(OR(E536&gt;1,F536&gt;1),(F536-E536)/100,F536-E536))</f>
        <v/>
      </c>
      <c r="H536" s="12" t="str">
        <f>IF(G536="","",64*G536)</f>
        <v/>
      </c>
      <c r="I536" s="13"/>
      <c r="J536" s="13" t="str">
        <f>IFERROR(IF(OR(D536="",D536=0),"",I536/D536*100),"")</f>
        <v/>
      </c>
      <c r="K536" s="14"/>
      <c r="L536" s="13" t="str">
        <f>IF(I536="","",I536*K536)</f>
        <v/>
      </c>
      <c r="M536" s="13" t="str">
        <f>IF(B536="","",IFERROR(SUMPRODUCT(ISNUMBER(B$3:B536)*(MONTH(IF(ISNUMBER(B$3:B536),B$3:B536,1))=MONTH(B536))*(YEAR(IF(ISNUMBER(B$3:B536),B$3:B536,1))=YEAR(B536))*IF(ISNUMBER(L$3:L536),L$3:L536,0)),""))</f>
        <v/>
      </c>
      <c r="N536" s="6"/>
      <c r="O536" s="7" t="str">
        <f>IF(AND(B536="",ISNUMBER(B537)),CHOOSE(MONTH(B537),"GENNAIO","FEBBRAIO","MARZO","APRILE","MAGGIO","GIUGNO","LUGLIO","AGOSTO","SETTEMBRE","OTTOBRE","NOVEMBRE","DICEMBRE")&amp;" "&amp;YEAR(B537),"")</f>
        <v/>
      </c>
      <c r="P536" s="12" t="str">
        <f>IF(K536=0.2,"CASA","")</f>
        <v/>
      </c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" customHeight="1" x14ac:dyDescent="0.2">
      <c r="A537" s="5" t="str">
        <f>IF(AND(B537="",ISNUMBER(B538)),CHOOSE(MONTH(B538),"GENNAIO","FEBBRAIO","MARZO","APRILE","MAGGIO","GIUGNO","LUGLIO","AGOSTO","SETTEMBRE","OTTOBRE","NOVEMBRE","DICEMBRE")&amp;" "&amp;YEAR(B538),"")</f>
        <v/>
      </c>
      <c r="B537" s="11"/>
      <c r="C537" s="12"/>
      <c r="D537" s="12" t="str">
        <f>IF(C537="","",C537-IF(C536&lt;&gt;"",C536,IF(C535&lt;&gt;"",C535,IF(C534&lt;&gt;"",C534,0))))</f>
        <v/>
      </c>
      <c r="E537" s="12"/>
      <c r="F537" s="12"/>
      <c r="G537" s="9" t="str">
        <f>IF(AND(E537="",F537=""),"",IF(OR(E537&gt;1,F537&gt;1),(F537-E537)/100,F537-E537))</f>
        <v/>
      </c>
      <c r="H537" s="12" t="str">
        <f>IF(G537="","",64*G537)</f>
        <v/>
      </c>
      <c r="I537" s="13"/>
      <c r="J537" s="13" t="str">
        <f>IFERROR(IF(OR(D537="",D537=0),"",I537/D537*100),"")</f>
        <v/>
      </c>
      <c r="K537" s="14"/>
      <c r="L537" s="13" t="str">
        <f>IF(I537="","",I537*K537)</f>
        <v/>
      </c>
      <c r="M537" s="13" t="str">
        <f>IF(B537="","",IFERROR(SUMPRODUCT(ISNUMBER(B$3:B537)*(MONTH(IF(ISNUMBER(B$3:B537),B$3:B537,1))=MONTH(B537))*(YEAR(IF(ISNUMBER(B$3:B537),B$3:B537,1))=YEAR(B537))*IF(ISNUMBER(L$3:L537),L$3:L537,0)),""))</f>
        <v/>
      </c>
      <c r="N537" s="6"/>
      <c r="O537" s="7" t="str">
        <f>IF(AND(B537="",ISNUMBER(B538)),CHOOSE(MONTH(B538),"GENNAIO","FEBBRAIO","MARZO","APRILE","MAGGIO","GIUGNO","LUGLIO","AGOSTO","SETTEMBRE","OTTOBRE","NOVEMBRE","DICEMBRE")&amp;" "&amp;YEAR(B538),"")</f>
        <v/>
      </c>
      <c r="P537" s="12" t="str">
        <f>IF(K537=0.2,"CASA","")</f>
        <v/>
      </c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" customHeight="1" x14ac:dyDescent="0.2">
      <c r="A538" s="5" t="str">
        <f>IF(AND(B538="",ISNUMBER(B539)),CHOOSE(MONTH(B539),"GENNAIO","FEBBRAIO","MARZO","APRILE","MAGGIO","GIUGNO","LUGLIO","AGOSTO","SETTEMBRE","OTTOBRE","NOVEMBRE","DICEMBRE")&amp;" "&amp;YEAR(B539),"")</f>
        <v/>
      </c>
      <c r="B538" s="11"/>
      <c r="C538" s="12"/>
      <c r="D538" s="12" t="str">
        <f>IF(C538="","",C538-IF(C537&lt;&gt;"",C537,IF(C536&lt;&gt;"",C536,IF(C535&lt;&gt;"",C535,0))))</f>
        <v/>
      </c>
      <c r="E538" s="12"/>
      <c r="F538" s="12"/>
      <c r="G538" s="9" t="str">
        <f>IF(AND(E538="",F538=""),"",IF(OR(E538&gt;1,F538&gt;1),(F538-E538)/100,F538-E538))</f>
        <v/>
      </c>
      <c r="H538" s="12" t="str">
        <f>IF(G538="","",64*G538)</f>
        <v/>
      </c>
      <c r="I538" s="13"/>
      <c r="J538" s="13" t="str">
        <f>IFERROR(IF(OR(D538="",D538=0),"",I538/D538*100),"")</f>
        <v/>
      </c>
      <c r="K538" s="14"/>
      <c r="L538" s="13" t="str">
        <f>IF(I538="","",I538*K538)</f>
        <v/>
      </c>
      <c r="M538" s="13" t="str">
        <f>IF(B538="","",IFERROR(SUMPRODUCT(ISNUMBER(B$3:B538)*(MONTH(IF(ISNUMBER(B$3:B538),B$3:B538,1))=MONTH(B538))*(YEAR(IF(ISNUMBER(B$3:B538),B$3:B538,1))=YEAR(B538))*IF(ISNUMBER(L$3:L538),L$3:L538,0)),""))</f>
        <v/>
      </c>
      <c r="N538" s="6"/>
      <c r="O538" s="7" t="str">
        <f>IF(AND(B538="",ISNUMBER(B539)),CHOOSE(MONTH(B539),"GENNAIO","FEBBRAIO","MARZO","APRILE","MAGGIO","GIUGNO","LUGLIO","AGOSTO","SETTEMBRE","OTTOBRE","NOVEMBRE","DICEMBRE")&amp;" "&amp;YEAR(B539),"")</f>
        <v/>
      </c>
      <c r="P538" s="12" t="str">
        <f>IF(K538=0.2,"CASA","")</f>
        <v/>
      </c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" customHeight="1" x14ac:dyDescent="0.2">
      <c r="A539" s="5" t="str">
        <f>IF(AND(B539="",ISNUMBER(B540)),CHOOSE(MONTH(B540),"GENNAIO","FEBBRAIO","MARZO","APRILE","MAGGIO","GIUGNO","LUGLIO","AGOSTO","SETTEMBRE","OTTOBRE","NOVEMBRE","DICEMBRE")&amp;" "&amp;YEAR(B540),"")</f>
        <v/>
      </c>
      <c r="B539" s="11"/>
      <c r="C539" s="12"/>
      <c r="D539" s="12" t="str">
        <f>IF(C539="","",C539-IF(C538&lt;&gt;"",C538,IF(C537&lt;&gt;"",C537,IF(C536&lt;&gt;"",C536,0))))</f>
        <v/>
      </c>
      <c r="E539" s="12"/>
      <c r="F539" s="12"/>
      <c r="G539" s="9" t="str">
        <f>IF(AND(E539="",F539=""),"",IF(OR(E539&gt;1,F539&gt;1),(F539-E539)/100,F539-E539))</f>
        <v/>
      </c>
      <c r="H539" s="12" t="str">
        <f>IF(G539="","",64*G539)</f>
        <v/>
      </c>
      <c r="I539" s="13"/>
      <c r="J539" s="13" t="str">
        <f>IFERROR(IF(OR(D539="",D539=0),"",I539/D539*100),"")</f>
        <v/>
      </c>
      <c r="K539" s="14"/>
      <c r="L539" s="13" t="str">
        <f>IF(I539="","",I539*K539)</f>
        <v/>
      </c>
      <c r="M539" s="13" t="str">
        <f>IF(B539="","",IFERROR(SUMPRODUCT(ISNUMBER(B$3:B539)*(MONTH(IF(ISNUMBER(B$3:B539),B$3:B539,1))=MONTH(B539))*(YEAR(IF(ISNUMBER(B$3:B539),B$3:B539,1))=YEAR(B539))*IF(ISNUMBER(L$3:L539),L$3:L539,0)),""))</f>
        <v/>
      </c>
      <c r="N539" s="6"/>
      <c r="O539" s="7" t="str">
        <f>IF(AND(B539="",ISNUMBER(B540)),CHOOSE(MONTH(B540),"GENNAIO","FEBBRAIO","MARZO","APRILE","MAGGIO","GIUGNO","LUGLIO","AGOSTO","SETTEMBRE","OTTOBRE","NOVEMBRE","DICEMBRE")&amp;" "&amp;YEAR(B540),"")</f>
        <v/>
      </c>
      <c r="P539" s="12" t="str">
        <f>IF(K539=0.2,"CASA","")</f>
        <v/>
      </c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" customHeight="1" x14ac:dyDescent="0.2">
      <c r="A540" s="5" t="str">
        <f>IF(AND(B540="",ISNUMBER(B541)),CHOOSE(MONTH(B541),"GENNAIO","FEBBRAIO","MARZO","APRILE","MAGGIO","GIUGNO","LUGLIO","AGOSTO","SETTEMBRE","OTTOBRE","NOVEMBRE","DICEMBRE")&amp;" "&amp;YEAR(B541),"")</f>
        <v/>
      </c>
      <c r="B540" s="11"/>
      <c r="C540" s="12"/>
      <c r="D540" s="12" t="str">
        <f>IF(C540="","",C540-IF(C539&lt;&gt;"",C539,IF(C538&lt;&gt;"",C538,IF(C537&lt;&gt;"",C537,0))))</f>
        <v/>
      </c>
      <c r="E540" s="12"/>
      <c r="F540" s="12"/>
      <c r="G540" s="9" t="str">
        <f>IF(AND(E540="",F540=""),"",IF(OR(E540&gt;1,F540&gt;1),(F540-E540)/100,F540-E540))</f>
        <v/>
      </c>
      <c r="H540" s="12" t="str">
        <f>IF(G540="","",64*G540)</f>
        <v/>
      </c>
      <c r="I540" s="13"/>
      <c r="J540" s="13" t="str">
        <f>IFERROR(IF(OR(D540="",D540=0),"",I540/D540*100),"")</f>
        <v/>
      </c>
      <c r="K540" s="14"/>
      <c r="L540" s="13" t="str">
        <f>IF(I540="","",I540*K540)</f>
        <v/>
      </c>
      <c r="M540" s="13" t="str">
        <f>IF(B540="","",IFERROR(SUMPRODUCT(ISNUMBER(B$3:B540)*(MONTH(IF(ISNUMBER(B$3:B540),B$3:B540,1))=MONTH(B540))*(YEAR(IF(ISNUMBER(B$3:B540),B$3:B540,1))=YEAR(B540))*IF(ISNUMBER(L$3:L540),L$3:L540,0)),""))</f>
        <v/>
      </c>
      <c r="N540" s="6"/>
      <c r="O540" s="7" t="str">
        <f>IF(AND(B540="",ISNUMBER(B541)),CHOOSE(MONTH(B541),"GENNAIO","FEBBRAIO","MARZO","APRILE","MAGGIO","GIUGNO","LUGLIO","AGOSTO","SETTEMBRE","OTTOBRE","NOVEMBRE","DICEMBRE")&amp;" "&amp;YEAR(B541),"")</f>
        <v/>
      </c>
      <c r="P540" s="12" t="str">
        <f>IF(K540=0.2,"CASA","")</f>
        <v/>
      </c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" customHeight="1" x14ac:dyDescent="0.2">
      <c r="A541" s="5" t="str">
        <f>IF(AND(B541="",ISNUMBER(B542)),CHOOSE(MONTH(B542),"GENNAIO","FEBBRAIO","MARZO","APRILE","MAGGIO","GIUGNO","LUGLIO","AGOSTO","SETTEMBRE","OTTOBRE","NOVEMBRE","DICEMBRE")&amp;" "&amp;YEAR(B542),"")</f>
        <v/>
      </c>
      <c r="B541" s="11"/>
      <c r="C541" s="12"/>
      <c r="D541" s="12" t="str">
        <f>IF(C541="","",C541-IF(C540&lt;&gt;"",C540,IF(C539&lt;&gt;"",C539,IF(C538&lt;&gt;"",C538,0))))</f>
        <v/>
      </c>
      <c r="E541" s="12"/>
      <c r="F541" s="12"/>
      <c r="G541" s="9" t="str">
        <f>IF(AND(E541="",F541=""),"",IF(OR(E541&gt;1,F541&gt;1),(F541-E541)/100,F541-E541))</f>
        <v/>
      </c>
      <c r="H541" s="12" t="str">
        <f>IF(G541="","",64*G541)</f>
        <v/>
      </c>
      <c r="I541" s="13"/>
      <c r="J541" s="13" t="str">
        <f>IFERROR(IF(OR(D541="",D541=0),"",I541/D541*100),"")</f>
        <v/>
      </c>
      <c r="K541" s="14"/>
      <c r="L541" s="13" t="str">
        <f>IF(I541="","",I541*K541)</f>
        <v/>
      </c>
      <c r="M541" s="13" t="str">
        <f>IF(B541="","",IFERROR(SUMPRODUCT(ISNUMBER(B$3:B541)*(MONTH(IF(ISNUMBER(B$3:B541),B$3:B541,1))=MONTH(B541))*(YEAR(IF(ISNUMBER(B$3:B541),B$3:B541,1))=YEAR(B541))*IF(ISNUMBER(L$3:L541),L$3:L541,0)),""))</f>
        <v/>
      </c>
      <c r="N541" s="6"/>
      <c r="O541" s="7" t="str">
        <f>IF(AND(B541="",ISNUMBER(B542)),CHOOSE(MONTH(B542),"GENNAIO","FEBBRAIO","MARZO","APRILE","MAGGIO","GIUGNO","LUGLIO","AGOSTO","SETTEMBRE","OTTOBRE","NOVEMBRE","DICEMBRE")&amp;" "&amp;YEAR(B542),"")</f>
        <v/>
      </c>
      <c r="P541" s="12" t="str">
        <f>IF(K541=0.2,"CASA","")</f>
        <v/>
      </c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" customHeight="1" x14ac:dyDescent="0.2">
      <c r="A542" s="5" t="str">
        <f>IF(AND(B542="",ISNUMBER(B543)),CHOOSE(MONTH(B543),"GENNAIO","FEBBRAIO","MARZO","APRILE","MAGGIO","GIUGNO","LUGLIO","AGOSTO","SETTEMBRE","OTTOBRE","NOVEMBRE","DICEMBRE")&amp;" "&amp;YEAR(B543),"")</f>
        <v/>
      </c>
      <c r="B542" s="11"/>
      <c r="C542" s="12"/>
      <c r="D542" s="12" t="str">
        <f>IF(C542="","",C542-IF(C541&lt;&gt;"",C541,IF(C540&lt;&gt;"",C540,IF(C539&lt;&gt;"",C539,0))))</f>
        <v/>
      </c>
      <c r="E542" s="12"/>
      <c r="F542" s="12"/>
      <c r="G542" s="9" t="str">
        <f>IF(AND(E542="",F542=""),"",IF(OR(E542&gt;1,F542&gt;1),(F542-E542)/100,F542-E542))</f>
        <v/>
      </c>
      <c r="H542" s="12" t="str">
        <f>IF(G542="","",64*G542)</f>
        <v/>
      </c>
      <c r="I542" s="13"/>
      <c r="J542" s="13" t="str">
        <f>IFERROR(IF(OR(D542="",D542=0),"",I542/D542*100),"")</f>
        <v/>
      </c>
      <c r="K542" s="14"/>
      <c r="L542" s="13" t="str">
        <f>IF(I542="","",I542*K542)</f>
        <v/>
      </c>
      <c r="M542" s="13" t="str">
        <f>IF(B542="","",IFERROR(SUMPRODUCT(ISNUMBER(B$3:B542)*(MONTH(IF(ISNUMBER(B$3:B542),B$3:B542,1))=MONTH(B542))*(YEAR(IF(ISNUMBER(B$3:B542),B$3:B542,1))=YEAR(B542))*IF(ISNUMBER(L$3:L542),L$3:L542,0)),""))</f>
        <v/>
      </c>
      <c r="N542" s="6"/>
      <c r="O542" s="7" t="str">
        <f>IF(AND(B542="",ISNUMBER(B543)),CHOOSE(MONTH(B543),"GENNAIO","FEBBRAIO","MARZO","APRILE","MAGGIO","GIUGNO","LUGLIO","AGOSTO","SETTEMBRE","OTTOBRE","NOVEMBRE","DICEMBRE")&amp;" "&amp;YEAR(B543),"")</f>
        <v/>
      </c>
      <c r="P542" s="12" t="str">
        <f>IF(K542=0.2,"CASA","")</f>
        <v/>
      </c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" customHeight="1" x14ac:dyDescent="0.2">
      <c r="A543" s="5" t="str">
        <f>IF(AND(B543="",ISNUMBER(B544)),CHOOSE(MONTH(B544),"GENNAIO","FEBBRAIO","MARZO","APRILE","MAGGIO","GIUGNO","LUGLIO","AGOSTO","SETTEMBRE","OTTOBRE","NOVEMBRE","DICEMBRE")&amp;" "&amp;YEAR(B544),"")</f>
        <v/>
      </c>
      <c r="B543" s="11"/>
      <c r="C543" s="12"/>
      <c r="D543" s="12" t="str">
        <f>IF(C543="","",C543-IF(C542&lt;&gt;"",C542,IF(C541&lt;&gt;"",C541,IF(C540&lt;&gt;"",C540,0))))</f>
        <v/>
      </c>
      <c r="E543" s="12"/>
      <c r="F543" s="12"/>
      <c r="G543" s="9" t="str">
        <f>IF(AND(E543="",F543=""),"",IF(OR(E543&gt;1,F543&gt;1),(F543-E543)/100,F543-E543))</f>
        <v/>
      </c>
      <c r="H543" s="12" t="str">
        <f>IF(G543="","",64*G543)</f>
        <v/>
      </c>
      <c r="I543" s="13"/>
      <c r="J543" s="13" t="str">
        <f>IFERROR(IF(OR(D543="",D543=0),"",I543/D543*100),"")</f>
        <v/>
      </c>
      <c r="K543" s="14"/>
      <c r="L543" s="13" t="str">
        <f>IF(I543="","",I543*K543)</f>
        <v/>
      </c>
      <c r="M543" s="13" t="str">
        <f>IF(B543="","",IFERROR(SUMPRODUCT(ISNUMBER(B$3:B543)*(MONTH(IF(ISNUMBER(B$3:B543),B$3:B543,1))=MONTH(B543))*(YEAR(IF(ISNUMBER(B$3:B543),B$3:B543,1))=YEAR(B543))*IF(ISNUMBER(L$3:L543),L$3:L543,0)),""))</f>
        <v/>
      </c>
      <c r="N543" s="6"/>
      <c r="O543" s="7" t="str">
        <f>IF(AND(B543="",ISNUMBER(B544)),CHOOSE(MONTH(B544),"GENNAIO","FEBBRAIO","MARZO","APRILE","MAGGIO","GIUGNO","LUGLIO","AGOSTO","SETTEMBRE","OTTOBRE","NOVEMBRE","DICEMBRE")&amp;" "&amp;YEAR(B544),"")</f>
        <v/>
      </c>
      <c r="P543" s="12" t="str">
        <f>IF(K543=0.2,"CASA","")</f>
        <v/>
      </c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" customHeight="1" x14ac:dyDescent="0.2">
      <c r="A544" s="5" t="str">
        <f>IF(AND(B544="",ISNUMBER(B545)),CHOOSE(MONTH(B545),"GENNAIO","FEBBRAIO","MARZO","APRILE","MAGGIO","GIUGNO","LUGLIO","AGOSTO","SETTEMBRE","OTTOBRE","NOVEMBRE","DICEMBRE")&amp;" "&amp;YEAR(B545),"")</f>
        <v/>
      </c>
      <c r="B544" s="11"/>
      <c r="C544" s="12"/>
      <c r="D544" s="12" t="str">
        <f>IF(C544="","",C544-IF(C543&lt;&gt;"",C543,IF(C542&lt;&gt;"",C542,IF(C541&lt;&gt;"",C541,0))))</f>
        <v/>
      </c>
      <c r="E544" s="12"/>
      <c r="F544" s="12"/>
      <c r="G544" s="9" t="str">
        <f>IF(AND(E544="",F544=""),"",IF(OR(E544&gt;1,F544&gt;1),(F544-E544)/100,F544-E544))</f>
        <v/>
      </c>
      <c r="H544" s="12" t="str">
        <f>IF(G544="","",64*G544)</f>
        <v/>
      </c>
      <c r="I544" s="13"/>
      <c r="J544" s="13" t="str">
        <f>IFERROR(IF(OR(D544="",D544=0),"",I544/D544*100),"")</f>
        <v/>
      </c>
      <c r="K544" s="14"/>
      <c r="L544" s="13" t="str">
        <f>IF(I544="","",I544*K544)</f>
        <v/>
      </c>
      <c r="M544" s="13" t="str">
        <f>IF(B544="","",IFERROR(SUMPRODUCT(ISNUMBER(B$3:B544)*(MONTH(IF(ISNUMBER(B$3:B544),B$3:B544,1))=MONTH(B544))*(YEAR(IF(ISNUMBER(B$3:B544),B$3:B544,1))=YEAR(B544))*IF(ISNUMBER(L$3:L544),L$3:L544,0)),""))</f>
        <v/>
      </c>
      <c r="N544" s="6"/>
      <c r="O544" s="7" t="str">
        <f>IF(AND(B544="",ISNUMBER(B545)),CHOOSE(MONTH(B545),"GENNAIO","FEBBRAIO","MARZO","APRILE","MAGGIO","GIUGNO","LUGLIO","AGOSTO","SETTEMBRE","OTTOBRE","NOVEMBRE","DICEMBRE")&amp;" "&amp;YEAR(B545),"")</f>
        <v/>
      </c>
      <c r="P544" s="12" t="str">
        <f>IF(K544=0.2,"CASA","")</f>
        <v/>
      </c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" customHeight="1" x14ac:dyDescent="0.2">
      <c r="A545" s="5" t="str">
        <f>IF(AND(B545="",ISNUMBER(B546)),CHOOSE(MONTH(B546),"GENNAIO","FEBBRAIO","MARZO","APRILE","MAGGIO","GIUGNO","LUGLIO","AGOSTO","SETTEMBRE","OTTOBRE","NOVEMBRE","DICEMBRE")&amp;" "&amp;YEAR(B546),"")</f>
        <v/>
      </c>
      <c r="B545" s="11"/>
      <c r="C545" s="12"/>
      <c r="D545" s="12" t="str">
        <f>IF(C545="","",C545-IF(C544&lt;&gt;"",C544,IF(C543&lt;&gt;"",C543,IF(C542&lt;&gt;"",C542,0))))</f>
        <v/>
      </c>
      <c r="E545" s="12"/>
      <c r="F545" s="12"/>
      <c r="G545" s="9" t="str">
        <f>IF(AND(E545="",F545=""),"",IF(OR(E545&gt;1,F545&gt;1),(F545-E545)/100,F545-E545))</f>
        <v/>
      </c>
      <c r="H545" s="12" t="str">
        <f>IF(G545="","",64*G545)</f>
        <v/>
      </c>
      <c r="I545" s="13"/>
      <c r="J545" s="13" t="str">
        <f>IFERROR(IF(OR(D545="",D545=0),"",I545/D545*100),"")</f>
        <v/>
      </c>
      <c r="K545" s="14"/>
      <c r="L545" s="13" t="str">
        <f>IF(I545="","",I545*K545)</f>
        <v/>
      </c>
      <c r="M545" s="13" t="str">
        <f>IF(B545="","",IFERROR(SUMPRODUCT(ISNUMBER(B$3:B545)*(MONTH(IF(ISNUMBER(B$3:B545),B$3:B545,1))=MONTH(B545))*(YEAR(IF(ISNUMBER(B$3:B545),B$3:B545,1))=YEAR(B545))*IF(ISNUMBER(L$3:L545),L$3:L545,0)),""))</f>
        <v/>
      </c>
      <c r="N545" s="6"/>
      <c r="O545" s="7" t="str">
        <f>IF(AND(B545="",ISNUMBER(B546)),CHOOSE(MONTH(B546),"GENNAIO","FEBBRAIO","MARZO","APRILE","MAGGIO","GIUGNO","LUGLIO","AGOSTO","SETTEMBRE","OTTOBRE","NOVEMBRE","DICEMBRE")&amp;" "&amp;YEAR(B546),"")</f>
        <v/>
      </c>
      <c r="P545" s="12" t="str">
        <f>IF(K545=0.2,"CASA","")</f>
        <v/>
      </c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" customHeight="1" x14ac:dyDescent="0.2">
      <c r="A546" s="5" t="str">
        <f>IF(AND(B546="",ISNUMBER(B547)),CHOOSE(MONTH(B547),"GENNAIO","FEBBRAIO","MARZO","APRILE","MAGGIO","GIUGNO","LUGLIO","AGOSTO","SETTEMBRE","OTTOBRE","NOVEMBRE","DICEMBRE")&amp;" "&amp;YEAR(B547),"")</f>
        <v/>
      </c>
      <c r="B546" s="11"/>
      <c r="C546" s="12"/>
      <c r="D546" s="12" t="str">
        <f>IF(C546="","",C546-IF(C545&lt;&gt;"",C545,IF(C544&lt;&gt;"",C544,IF(C543&lt;&gt;"",C543,0))))</f>
        <v/>
      </c>
      <c r="E546" s="12"/>
      <c r="F546" s="12"/>
      <c r="G546" s="9" t="str">
        <f>IF(AND(E546="",F546=""),"",IF(OR(E546&gt;1,F546&gt;1),(F546-E546)/100,F546-E546))</f>
        <v/>
      </c>
      <c r="H546" s="12" t="str">
        <f>IF(G546="","",64*G546)</f>
        <v/>
      </c>
      <c r="I546" s="13"/>
      <c r="J546" s="13" t="str">
        <f>IFERROR(IF(OR(D546="",D546=0),"",I546/D546*100),"")</f>
        <v/>
      </c>
      <c r="K546" s="14"/>
      <c r="L546" s="13" t="str">
        <f>IF(I546="","",I546*K546)</f>
        <v/>
      </c>
      <c r="M546" s="13" t="str">
        <f>IF(B546="","",IFERROR(SUMPRODUCT(ISNUMBER(B$3:B546)*(MONTH(IF(ISNUMBER(B$3:B546),B$3:B546,1))=MONTH(B546))*(YEAR(IF(ISNUMBER(B$3:B546),B$3:B546,1))=YEAR(B546))*IF(ISNUMBER(L$3:L546),L$3:L546,0)),""))</f>
        <v/>
      </c>
      <c r="N546" s="6"/>
      <c r="O546" s="7" t="str">
        <f>IF(AND(B546="",ISNUMBER(B547)),CHOOSE(MONTH(B547),"GENNAIO","FEBBRAIO","MARZO","APRILE","MAGGIO","GIUGNO","LUGLIO","AGOSTO","SETTEMBRE","OTTOBRE","NOVEMBRE","DICEMBRE")&amp;" "&amp;YEAR(B547),"")</f>
        <v/>
      </c>
      <c r="P546" s="12" t="str">
        <f>IF(K546=0.2,"CASA","")</f>
        <v/>
      </c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" customHeight="1" x14ac:dyDescent="0.2">
      <c r="A547" s="5" t="str">
        <f>IF(AND(B547="",ISNUMBER(B548)),CHOOSE(MONTH(B548),"GENNAIO","FEBBRAIO","MARZO","APRILE","MAGGIO","GIUGNO","LUGLIO","AGOSTO","SETTEMBRE","OTTOBRE","NOVEMBRE","DICEMBRE")&amp;" "&amp;YEAR(B548),"")</f>
        <v/>
      </c>
      <c r="B547" s="11"/>
      <c r="C547" s="12"/>
      <c r="D547" s="12" t="str">
        <f>IF(C547="","",C547-IF(C546&lt;&gt;"",C546,IF(C545&lt;&gt;"",C545,IF(C544&lt;&gt;"",C544,0))))</f>
        <v/>
      </c>
      <c r="E547" s="12"/>
      <c r="F547" s="12"/>
      <c r="G547" s="9" t="str">
        <f>IF(AND(E547="",F547=""),"",IF(OR(E547&gt;1,F547&gt;1),(F547-E547)/100,F547-E547))</f>
        <v/>
      </c>
      <c r="H547" s="12" t="str">
        <f>IF(G547="","",64*G547)</f>
        <v/>
      </c>
      <c r="I547" s="13"/>
      <c r="J547" s="13" t="str">
        <f>IFERROR(IF(OR(D547="",D547=0),"",I547/D547*100),"")</f>
        <v/>
      </c>
      <c r="K547" s="14"/>
      <c r="L547" s="13" t="str">
        <f>IF(I547="","",I547*K547)</f>
        <v/>
      </c>
      <c r="M547" s="13" t="str">
        <f>IF(B547="","",IFERROR(SUMPRODUCT(ISNUMBER(B$3:B547)*(MONTH(IF(ISNUMBER(B$3:B547),B$3:B547,1))=MONTH(B547))*(YEAR(IF(ISNUMBER(B$3:B547),B$3:B547,1))=YEAR(B547))*IF(ISNUMBER(L$3:L547),L$3:L547,0)),""))</f>
        <v/>
      </c>
      <c r="N547" s="6"/>
      <c r="O547" s="7" t="str">
        <f>IF(AND(B547="",ISNUMBER(B548)),CHOOSE(MONTH(B548),"GENNAIO","FEBBRAIO","MARZO","APRILE","MAGGIO","GIUGNO","LUGLIO","AGOSTO","SETTEMBRE","OTTOBRE","NOVEMBRE","DICEMBRE")&amp;" "&amp;YEAR(B548),"")</f>
        <v/>
      </c>
      <c r="P547" s="12" t="str">
        <f>IF(K547=0.2,"CASA","")</f>
        <v/>
      </c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" customHeight="1" x14ac:dyDescent="0.2">
      <c r="A548" s="5" t="str">
        <f>IF(AND(B548="",ISNUMBER(B549)),CHOOSE(MONTH(B549),"GENNAIO","FEBBRAIO","MARZO","APRILE","MAGGIO","GIUGNO","LUGLIO","AGOSTO","SETTEMBRE","OTTOBRE","NOVEMBRE","DICEMBRE")&amp;" "&amp;YEAR(B549),"")</f>
        <v/>
      </c>
      <c r="B548" s="11"/>
      <c r="C548" s="12"/>
      <c r="D548" s="12" t="str">
        <f>IF(C548="","",C548-IF(C547&lt;&gt;"",C547,IF(C546&lt;&gt;"",C546,IF(C545&lt;&gt;"",C545,0))))</f>
        <v/>
      </c>
      <c r="E548" s="12"/>
      <c r="F548" s="12"/>
      <c r="G548" s="9" t="str">
        <f>IF(AND(E548="",F548=""),"",IF(OR(E548&gt;1,F548&gt;1),(F548-E548)/100,F548-E548))</f>
        <v/>
      </c>
      <c r="H548" s="12" t="str">
        <f>IF(G548="","",64*G548)</f>
        <v/>
      </c>
      <c r="I548" s="13"/>
      <c r="J548" s="13" t="str">
        <f>IFERROR(IF(OR(D548="",D548=0),"",I548/D548*100),"")</f>
        <v/>
      </c>
      <c r="K548" s="14"/>
      <c r="L548" s="13" t="str">
        <f>IF(I548="","",I548*K548)</f>
        <v/>
      </c>
      <c r="M548" s="13" t="str">
        <f>IF(B548="","",IFERROR(SUMPRODUCT(ISNUMBER(B$3:B548)*(MONTH(IF(ISNUMBER(B$3:B548),B$3:B548,1))=MONTH(B548))*(YEAR(IF(ISNUMBER(B$3:B548),B$3:B548,1))=YEAR(B548))*IF(ISNUMBER(L$3:L548),L$3:L548,0)),""))</f>
        <v/>
      </c>
      <c r="N548" s="6"/>
      <c r="O548" s="7" t="str">
        <f>IF(AND(B548="",ISNUMBER(B549)),CHOOSE(MONTH(B549),"GENNAIO","FEBBRAIO","MARZO","APRILE","MAGGIO","GIUGNO","LUGLIO","AGOSTO","SETTEMBRE","OTTOBRE","NOVEMBRE","DICEMBRE")&amp;" "&amp;YEAR(B549),"")</f>
        <v/>
      </c>
      <c r="P548" s="12" t="str">
        <f>IF(K548=0.2,"CASA","")</f>
        <v/>
      </c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" customHeight="1" x14ac:dyDescent="0.2">
      <c r="A549" s="5" t="str">
        <f>IF(AND(B549="",ISNUMBER(B550)),CHOOSE(MONTH(B550),"GENNAIO","FEBBRAIO","MARZO","APRILE","MAGGIO","GIUGNO","LUGLIO","AGOSTO","SETTEMBRE","OTTOBRE","NOVEMBRE","DICEMBRE")&amp;" "&amp;YEAR(B550),"")</f>
        <v/>
      </c>
      <c r="B549" s="11"/>
      <c r="C549" s="12"/>
      <c r="D549" s="12" t="str">
        <f>IF(C549="","",C549-IF(C548&lt;&gt;"",C548,IF(C547&lt;&gt;"",C547,IF(C546&lt;&gt;"",C546,0))))</f>
        <v/>
      </c>
      <c r="E549" s="12"/>
      <c r="F549" s="12"/>
      <c r="G549" s="9" t="str">
        <f>IF(AND(E549="",F549=""),"",IF(OR(E549&gt;1,F549&gt;1),(F549-E549)/100,F549-E549))</f>
        <v/>
      </c>
      <c r="H549" s="12" t="str">
        <f>IF(G549="","",64*G549)</f>
        <v/>
      </c>
      <c r="I549" s="13"/>
      <c r="J549" s="13" t="str">
        <f>IFERROR(IF(OR(D549="",D549=0),"",I549/D549*100),"")</f>
        <v/>
      </c>
      <c r="K549" s="14"/>
      <c r="L549" s="13" t="str">
        <f>IF(I549="","",I549*K549)</f>
        <v/>
      </c>
      <c r="M549" s="13" t="str">
        <f>IF(B549="","",IFERROR(SUMPRODUCT(ISNUMBER(B$3:B549)*(MONTH(IF(ISNUMBER(B$3:B549),B$3:B549,1))=MONTH(B549))*(YEAR(IF(ISNUMBER(B$3:B549),B$3:B549,1))=YEAR(B549))*IF(ISNUMBER(L$3:L549),L$3:L549,0)),""))</f>
        <v/>
      </c>
      <c r="N549" s="6"/>
      <c r="O549" s="7" t="str">
        <f>IF(AND(B549="",ISNUMBER(B550)),CHOOSE(MONTH(B550),"GENNAIO","FEBBRAIO","MARZO","APRILE","MAGGIO","GIUGNO","LUGLIO","AGOSTO","SETTEMBRE","OTTOBRE","NOVEMBRE","DICEMBRE")&amp;" "&amp;YEAR(B550),"")</f>
        <v/>
      </c>
      <c r="P549" s="12" t="str">
        <f>IF(K549=0.2,"CASA","")</f>
        <v/>
      </c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" customHeight="1" x14ac:dyDescent="0.2">
      <c r="A550" s="5" t="str">
        <f>IF(AND(B550="",ISNUMBER(B551)),CHOOSE(MONTH(B551),"GENNAIO","FEBBRAIO","MARZO","APRILE","MAGGIO","GIUGNO","LUGLIO","AGOSTO","SETTEMBRE","OTTOBRE","NOVEMBRE","DICEMBRE")&amp;" "&amp;YEAR(B551),"")</f>
        <v/>
      </c>
      <c r="B550" s="11"/>
      <c r="C550" s="12"/>
      <c r="D550" s="12" t="str">
        <f>IF(C550="","",C550-IF(C549&lt;&gt;"",C549,IF(C548&lt;&gt;"",C548,IF(C547&lt;&gt;"",C547,0))))</f>
        <v/>
      </c>
      <c r="E550" s="12"/>
      <c r="F550" s="12"/>
      <c r="G550" s="9" t="str">
        <f>IF(AND(E550="",F550=""),"",IF(OR(E550&gt;1,F550&gt;1),(F550-E550)/100,F550-E550))</f>
        <v/>
      </c>
      <c r="H550" s="12" t="str">
        <f>IF(G550="","",64*G550)</f>
        <v/>
      </c>
      <c r="I550" s="13"/>
      <c r="J550" s="13" t="str">
        <f>IFERROR(IF(OR(D550="",D550=0),"",I550/D550*100),"")</f>
        <v/>
      </c>
      <c r="K550" s="14"/>
      <c r="L550" s="13" t="str">
        <f>IF(I550="","",I550*K550)</f>
        <v/>
      </c>
      <c r="M550" s="13" t="str">
        <f>IF(B550="","",IFERROR(SUMPRODUCT(ISNUMBER(B$3:B550)*(MONTH(IF(ISNUMBER(B$3:B550),B$3:B550,1))=MONTH(B550))*(YEAR(IF(ISNUMBER(B$3:B550),B$3:B550,1))=YEAR(B550))*IF(ISNUMBER(L$3:L550),L$3:L550,0)),""))</f>
        <v/>
      </c>
      <c r="N550" s="6"/>
      <c r="O550" s="7" t="str">
        <f>IF(AND(B550="",ISNUMBER(B551)),CHOOSE(MONTH(B551),"GENNAIO","FEBBRAIO","MARZO","APRILE","MAGGIO","GIUGNO","LUGLIO","AGOSTO","SETTEMBRE","OTTOBRE","NOVEMBRE","DICEMBRE")&amp;" "&amp;YEAR(B551),"")</f>
        <v/>
      </c>
      <c r="P550" s="12" t="str">
        <f>IF(K550=0.2,"CASA","")</f>
        <v/>
      </c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" customHeight="1" x14ac:dyDescent="0.2">
      <c r="A551" s="5" t="str">
        <f>IF(AND(B551="",ISNUMBER(B552)),CHOOSE(MONTH(B552),"GENNAIO","FEBBRAIO","MARZO","APRILE","MAGGIO","GIUGNO","LUGLIO","AGOSTO","SETTEMBRE","OTTOBRE","NOVEMBRE","DICEMBRE")&amp;" "&amp;YEAR(B552),"")</f>
        <v/>
      </c>
      <c r="B551" s="11"/>
      <c r="C551" s="12"/>
      <c r="D551" s="12" t="str">
        <f>IF(C551="","",C551-IF(C550&lt;&gt;"",C550,IF(C549&lt;&gt;"",C549,IF(C548&lt;&gt;"",C548,0))))</f>
        <v/>
      </c>
      <c r="E551" s="12"/>
      <c r="F551" s="12"/>
      <c r="G551" s="9" t="str">
        <f>IF(AND(E551="",F551=""),"",IF(OR(E551&gt;1,F551&gt;1),(F551-E551)/100,F551-E551))</f>
        <v/>
      </c>
      <c r="H551" s="12" t="str">
        <f>IF(G551="","",64*G551)</f>
        <v/>
      </c>
      <c r="I551" s="13"/>
      <c r="J551" s="13" t="str">
        <f>IFERROR(IF(OR(D551="",D551=0),"",I551/D551*100),"")</f>
        <v/>
      </c>
      <c r="K551" s="14"/>
      <c r="L551" s="13" t="str">
        <f>IF(I551="","",I551*K551)</f>
        <v/>
      </c>
      <c r="M551" s="13" t="str">
        <f>IF(B551="","",IFERROR(SUMPRODUCT(ISNUMBER(B$3:B551)*(MONTH(IF(ISNUMBER(B$3:B551),B$3:B551,1))=MONTH(B551))*(YEAR(IF(ISNUMBER(B$3:B551),B$3:B551,1))=YEAR(B551))*IF(ISNUMBER(L$3:L551),L$3:L551,0)),""))</f>
        <v/>
      </c>
      <c r="N551" s="6"/>
      <c r="O551" s="7" t="str">
        <f>IF(AND(B551="",ISNUMBER(B552)),CHOOSE(MONTH(B552),"GENNAIO","FEBBRAIO","MARZO","APRILE","MAGGIO","GIUGNO","LUGLIO","AGOSTO","SETTEMBRE","OTTOBRE","NOVEMBRE","DICEMBRE")&amp;" "&amp;YEAR(B552),"")</f>
        <v/>
      </c>
      <c r="P551" s="12" t="str">
        <f>IF(K551=0.2,"CASA","")</f>
        <v/>
      </c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" customHeight="1" x14ac:dyDescent="0.2">
      <c r="A552" s="5" t="str">
        <f>IF(AND(B552="",ISNUMBER(B553)),CHOOSE(MONTH(B553),"GENNAIO","FEBBRAIO","MARZO","APRILE","MAGGIO","GIUGNO","LUGLIO","AGOSTO","SETTEMBRE","OTTOBRE","NOVEMBRE","DICEMBRE")&amp;" "&amp;YEAR(B553),"")</f>
        <v/>
      </c>
      <c r="B552" s="11"/>
      <c r="C552" s="12"/>
      <c r="D552" s="12" t="str">
        <f>IF(C552="","",C552-IF(C551&lt;&gt;"",C551,IF(C550&lt;&gt;"",C550,IF(C549&lt;&gt;"",C549,0))))</f>
        <v/>
      </c>
      <c r="E552" s="12"/>
      <c r="F552" s="12"/>
      <c r="G552" s="9" t="str">
        <f>IF(AND(E552="",F552=""),"",IF(OR(E552&gt;1,F552&gt;1),(F552-E552)/100,F552-E552))</f>
        <v/>
      </c>
      <c r="H552" s="12" t="str">
        <f>IF(G552="","",64*G552)</f>
        <v/>
      </c>
      <c r="I552" s="13"/>
      <c r="J552" s="13" t="str">
        <f>IFERROR(IF(OR(D552="",D552=0),"",I552/D552*100),"")</f>
        <v/>
      </c>
      <c r="K552" s="14"/>
      <c r="L552" s="13" t="str">
        <f>IF(I552="","",I552*K552)</f>
        <v/>
      </c>
      <c r="M552" s="13" t="str">
        <f>IF(B552="","",IFERROR(SUMPRODUCT(ISNUMBER(B$3:B552)*(MONTH(IF(ISNUMBER(B$3:B552),B$3:B552,1))=MONTH(B552))*(YEAR(IF(ISNUMBER(B$3:B552),B$3:B552,1))=YEAR(B552))*IF(ISNUMBER(L$3:L552),L$3:L552,0)),""))</f>
        <v/>
      </c>
      <c r="N552" s="6"/>
      <c r="O552" s="7" t="str">
        <f>IF(AND(B552="",ISNUMBER(B553)),CHOOSE(MONTH(B553),"GENNAIO","FEBBRAIO","MARZO","APRILE","MAGGIO","GIUGNO","LUGLIO","AGOSTO","SETTEMBRE","OTTOBRE","NOVEMBRE","DICEMBRE")&amp;" "&amp;YEAR(B553),"")</f>
        <v/>
      </c>
      <c r="P552" s="12" t="str">
        <f>IF(K552=0.2,"CASA","")</f>
        <v/>
      </c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" customHeight="1" x14ac:dyDescent="0.2">
      <c r="A553" s="5" t="str">
        <f>IF(AND(B553="",ISNUMBER(B554)),CHOOSE(MONTH(B554),"GENNAIO","FEBBRAIO","MARZO","APRILE","MAGGIO","GIUGNO","LUGLIO","AGOSTO","SETTEMBRE","OTTOBRE","NOVEMBRE","DICEMBRE")&amp;" "&amp;YEAR(B554),"")</f>
        <v/>
      </c>
      <c r="B553" s="11"/>
      <c r="C553" s="12"/>
      <c r="D553" s="12" t="str">
        <f>IF(C553="","",C553-IF(C552&lt;&gt;"",C552,IF(C551&lt;&gt;"",C551,IF(C550&lt;&gt;"",C550,0))))</f>
        <v/>
      </c>
      <c r="E553" s="12"/>
      <c r="F553" s="12"/>
      <c r="G553" s="9" t="str">
        <f>IF(AND(E553="",F553=""),"",IF(OR(E553&gt;1,F553&gt;1),(F553-E553)/100,F553-E553))</f>
        <v/>
      </c>
      <c r="H553" s="12" t="str">
        <f>IF(G553="","",64*G553)</f>
        <v/>
      </c>
      <c r="I553" s="13"/>
      <c r="J553" s="13" t="str">
        <f>IFERROR(IF(OR(D553="",D553=0),"",I553/D553*100),"")</f>
        <v/>
      </c>
      <c r="K553" s="14"/>
      <c r="L553" s="13" t="str">
        <f>IF(I553="","",I553*K553)</f>
        <v/>
      </c>
      <c r="M553" s="13" t="str">
        <f>IF(B553="","",IFERROR(SUMPRODUCT(ISNUMBER(B$3:B553)*(MONTH(IF(ISNUMBER(B$3:B553),B$3:B553,1))=MONTH(B553))*(YEAR(IF(ISNUMBER(B$3:B553),B$3:B553,1))=YEAR(B553))*IF(ISNUMBER(L$3:L553),L$3:L553,0)),""))</f>
        <v/>
      </c>
      <c r="N553" s="6"/>
      <c r="O553" s="7" t="str">
        <f>IF(AND(B553="",ISNUMBER(B554)),CHOOSE(MONTH(B554),"GENNAIO","FEBBRAIO","MARZO","APRILE","MAGGIO","GIUGNO","LUGLIO","AGOSTO","SETTEMBRE","OTTOBRE","NOVEMBRE","DICEMBRE")&amp;" "&amp;YEAR(B554),"")</f>
        <v/>
      </c>
      <c r="P553" s="12" t="str">
        <f>IF(K553=0.2,"CASA","")</f>
        <v/>
      </c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" customHeight="1" x14ac:dyDescent="0.2">
      <c r="A554" s="5" t="str">
        <f>IF(AND(B554="",ISNUMBER(B555)),CHOOSE(MONTH(B555),"GENNAIO","FEBBRAIO","MARZO","APRILE","MAGGIO","GIUGNO","LUGLIO","AGOSTO","SETTEMBRE","OTTOBRE","NOVEMBRE","DICEMBRE")&amp;" "&amp;YEAR(B555),"")</f>
        <v/>
      </c>
      <c r="B554" s="11"/>
      <c r="C554" s="12"/>
      <c r="D554" s="12" t="str">
        <f>IF(C554="","",C554-IF(C553&lt;&gt;"",C553,IF(C552&lt;&gt;"",C552,IF(C551&lt;&gt;"",C551,0))))</f>
        <v/>
      </c>
      <c r="E554" s="12"/>
      <c r="F554" s="12"/>
      <c r="G554" s="9" t="str">
        <f>IF(AND(E554="",F554=""),"",IF(OR(E554&gt;1,F554&gt;1),(F554-E554)/100,F554-E554))</f>
        <v/>
      </c>
      <c r="H554" s="12" t="str">
        <f>IF(G554="","",64*G554)</f>
        <v/>
      </c>
      <c r="I554" s="13"/>
      <c r="J554" s="13" t="str">
        <f>IFERROR(IF(OR(D554="",D554=0),"",I554/D554*100),"")</f>
        <v/>
      </c>
      <c r="K554" s="14"/>
      <c r="L554" s="13" t="str">
        <f>IF(I554="","",I554*K554)</f>
        <v/>
      </c>
      <c r="M554" s="13" t="str">
        <f>IF(B554="","",IFERROR(SUMPRODUCT(ISNUMBER(B$3:B554)*(MONTH(IF(ISNUMBER(B$3:B554),B$3:B554,1))=MONTH(B554))*(YEAR(IF(ISNUMBER(B$3:B554),B$3:B554,1))=YEAR(B554))*IF(ISNUMBER(L$3:L554),L$3:L554,0)),""))</f>
        <v/>
      </c>
      <c r="N554" s="6"/>
      <c r="O554" s="7" t="str">
        <f>IF(AND(B554="",ISNUMBER(B555)),CHOOSE(MONTH(B555),"GENNAIO","FEBBRAIO","MARZO","APRILE","MAGGIO","GIUGNO","LUGLIO","AGOSTO","SETTEMBRE","OTTOBRE","NOVEMBRE","DICEMBRE")&amp;" "&amp;YEAR(B555),"")</f>
        <v/>
      </c>
      <c r="P554" s="12" t="str">
        <f>IF(K554=0.2,"CASA","")</f>
        <v/>
      </c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" customHeight="1" x14ac:dyDescent="0.2">
      <c r="A555" s="5" t="str">
        <f>IF(AND(B555="",ISNUMBER(B556)),CHOOSE(MONTH(B556),"GENNAIO","FEBBRAIO","MARZO","APRILE","MAGGIO","GIUGNO","LUGLIO","AGOSTO","SETTEMBRE","OTTOBRE","NOVEMBRE","DICEMBRE")&amp;" "&amp;YEAR(B556),"")</f>
        <v/>
      </c>
      <c r="B555" s="11"/>
      <c r="C555" s="12"/>
      <c r="D555" s="12" t="str">
        <f>IF(C555="","",C555-IF(C554&lt;&gt;"",C554,IF(C553&lt;&gt;"",C553,IF(C552&lt;&gt;"",C552,0))))</f>
        <v/>
      </c>
      <c r="E555" s="12"/>
      <c r="F555" s="12"/>
      <c r="G555" s="9" t="str">
        <f>IF(AND(E555="",F555=""),"",IF(OR(E555&gt;1,F555&gt;1),(F555-E555)/100,F555-E555))</f>
        <v/>
      </c>
      <c r="H555" s="12" t="str">
        <f>IF(G555="","",64*G555)</f>
        <v/>
      </c>
      <c r="I555" s="13"/>
      <c r="J555" s="13" t="str">
        <f>IFERROR(IF(OR(D555="",D555=0),"",I555/D555*100),"")</f>
        <v/>
      </c>
      <c r="K555" s="14"/>
      <c r="L555" s="13" t="str">
        <f>IF(I555="","",I555*K555)</f>
        <v/>
      </c>
      <c r="M555" s="13" t="str">
        <f>IF(B555="","",IFERROR(SUMPRODUCT(ISNUMBER(B$3:B555)*(MONTH(IF(ISNUMBER(B$3:B555),B$3:B555,1))=MONTH(B555))*(YEAR(IF(ISNUMBER(B$3:B555),B$3:B555,1))=YEAR(B555))*IF(ISNUMBER(L$3:L555),L$3:L555,0)),""))</f>
        <v/>
      </c>
      <c r="N555" s="6"/>
      <c r="O555" s="7" t="str">
        <f>IF(AND(B555="",ISNUMBER(B556)),CHOOSE(MONTH(B556),"GENNAIO","FEBBRAIO","MARZO","APRILE","MAGGIO","GIUGNO","LUGLIO","AGOSTO","SETTEMBRE","OTTOBRE","NOVEMBRE","DICEMBRE")&amp;" "&amp;YEAR(B556),"")</f>
        <v/>
      </c>
      <c r="P555" s="12" t="str">
        <f>IF(K555=0.2,"CASA","")</f>
        <v/>
      </c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" customHeight="1" x14ac:dyDescent="0.2">
      <c r="A556" s="5" t="str">
        <f>IF(AND(B556="",ISNUMBER(B557)),CHOOSE(MONTH(B557),"GENNAIO","FEBBRAIO","MARZO","APRILE","MAGGIO","GIUGNO","LUGLIO","AGOSTO","SETTEMBRE","OTTOBRE","NOVEMBRE","DICEMBRE")&amp;" "&amp;YEAR(B557),"")</f>
        <v/>
      </c>
      <c r="B556" s="11"/>
      <c r="C556" s="12"/>
      <c r="D556" s="12" t="str">
        <f>IF(C556="","",C556-IF(C555&lt;&gt;"",C555,IF(C554&lt;&gt;"",C554,IF(C553&lt;&gt;"",C553,0))))</f>
        <v/>
      </c>
      <c r="E556" s="12"/>
      <c r="F556" s="12"/>
      <c r="G556" s="9" t="str">
        <f>IF(AND(E556="",F556=""),"",IF(OR(E556&gt;1,F556&gt;1),(F556-E556)/100,F556-E556))</f>
        <v/>
      </c>
      <c r="H556" s="12" t="str">
        <f>IF(G556="","",64*G556)</f>
        <v/>
      </c>
      <c r="I556" s="13"/>
      <c r="J556" s="13" t="str">
        <f>IFERROR(IF(OR(D556="",D556=0),"",I556/D556*100),"")</f>
        <v/>
      </c>
      <c r="K556" s="14"/>
      <c r="L556" s="13" t="str">
        <f>IF(I556="","",I556*K556)</f>
        <v/>
      </c>
      <c r="M556" s="13" t="str">
        <f>IF(B556="","",IFERROR(SUMPRODUCT(ISNUMBER(B$3:B556)*(MONTH(IF(ISNUMBER(B$3:B556),B$3:B556,1))=MONTH(B556))*(YEAR(IF(ISNUMBER(B$3:B556),B$3:B556,1))=YEAR(B556))*IF(ISNUMBER(L$3:L556),L$3:L556,0)),""))</f>
        <v/>
      </c>
      <c r="N556" s="6"/>
      <c r="O556" s="7" t="str">
        <f>IF(AND(B556="",ISNUMBER(B557)),CHOOSE(MONTH(B557),"GENNAIO","FEBBRAIO","MARZO","APRILE","MAGGIO","GIUGNO","LUGLIO","AGOSTO","SETTEMBRE","OTTOBRE","NOVEMBRE","DICEMBRE")&amp;" "&amp;YEAR(B557),"")</f>
        <v/>
      </c>
      <c r="P556" s="12" t="str">
        <f>IF(K556=0.2,"CASA","")</f>
        <v/>
      </c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" customHeight="1" x14ac:dyDescent="0.2">
      <c r="A557" s="5" t="str">
        <f>IF(AND(B557="",ISNUMBER(B558)),CHOOSE(MONTH(B558),"GENNAIO","FEBBRAIO","MARZO","APRILE","MAGGIO","GIUGNO","LUGLIO","AGOSTO","SETTEMBRE","OTTOBRE","NOVEMBRE","DICEMBRE")&amp;" "&amp;YEAR(B558),"")</f>
        <v/>
      </c>
      <c r="B557" s="11"/>
      <c r="C557" s="12"/>
      <c r="D557" s="12" t="str">
        <f>IF(C557="","",C557-IF(C556&lt;&gt;"",C556,IF(C555&lt;&gt;"",C555,IF(C554&lt;&gt;"",C554,0))))</f>
        <v/>
      </c>
      <c r="E557" s="12"/>
      <c r="F557" s="12"/>
      <c r="G557" s="9" t="str">
        <f>IF(AND(E557="",F557=""),"",IF(OR(E557&gt;1,F557&gt;1),(F557-E557)/100,F557-E557))</f>
        <v/>
      </c>
      <c r="H557" s="12" t="str">
        <f>IF(G557="","",64*G557)</f>
        <v/>
      </c>
      <c r="I557" s="13"/>
      <c r="J557" s="13" t="str">
        <f>IFERROR(IF(OR(D557="",D557=0),"",I557/D557*100),"")</f>
        <v/>
      </c>
      <c r="K557" s="14"/>
      <c r="L557" s="13" t="str">
        <f>IF(I557="","",I557*K557)</f>
        <v/>
      </c>
      <c r="M557" s="13" t="str">
        <f>IF(B557="","",IFERROR(SUMPRODUCT(ISNUMBER(B$3:B557)*(MONTH(IF(ISNUMBER(B$3:B557),B$3:B557,1))=MONTH(B557))*(YEAR(IF(ISNUMBER(B$3:B557),B$3:B557,1))=YEAR(B557))*IF(ISNUMBER(L$3:L557),L$3:L557,0)),""))</f>
        <v/>
      </c>
      <c r="N557" s="6"/>
      <c r="O557" s="7" t="str">
        <f>IF(AND(B557="",ISNUMBER(B558)),CHOOSE(MONTH(B558),"GENNAIO","FEBBRAIO","MARZO","APRILE","MAGGIO","GIUGNO","LUGLIO","AGOSTO","SETTEMBRE","OTTOBRE","NOVEMBRE","DICEMBRE")&amp;" "&amp;YEAR(B558),"")</f>
        <v/>
      </c>
      <c r="P557" s="12" t="str">
        <f>IF(K557=0.2,"CASA","")</f>
        <v/>
      </c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" customHeight="1" x14ac:dyDescent="0.2">
      <c r="A558" s="5" t="str">
        <f>IF(AND(B558="",ISNUMBER(B559)),CHOOSE(MONTH(B559),"GENNAIO","FEBBRAIO","MARZO","APRILE","MAGGIO","GIUGNO","LUGLIO","AGOSTO","SETTEMBRE","OTTOBRE","NOVEMBRE","DICEMBRE")&amp;" "&amp;YEAR(B559),"")</f>
        <v/>
      </c>
      <c r="B558" s="11"/>
      <c r="C558" s="12"/>
      <c r="D558" s="12" t="str">
        <f>IF(C558="","",C558-IF(C557&lt;&gt;"",C557,IF(C556&lt;&gt;"",C556,IF(C555&lt;&gt;"",C555,0))))</f>
        <v/>
      </c>
      <c r="E558" s="12"/>
      <c r="F558" s="12"/>
      <c r="G558" s="9" t="str">
        <f>IF(AND(E558="",F558=""),"",IF(OR(E558&gt;1,F558&gt;1),(F558-E558)/100,F558-E558))</f>
        <v/>
      </c>
      <c r="H558" s="12" t="str">
        <f>IF(G558="","",64*G558)</f>
        <v/>
      </c>
      <c r="I558" s="13"/>
      <c r="J558" s="13" t="str">
        <f>IFERROR(IF(OR(D558="",D558=0),"",I558/D558*100),"")</f>
        <v/>
      </c>
      <c r="K558" s="14"/>
      <c r="L558" s="13" t="str">
        <f>IF(I558="","",I558*K558)</f>
        <v/>
      </c>
      <c r="M558" s="13" t="str">
        <f>IF(B558="","",IFERROR(SUMPRODUCT(ISNUMBER(B$3:B558)*(MONTH(IF(ISNUMBER(B$3:B558),B$3:B558,1))=MONTH(B558))*(YEAR(IF(ISNUMBER(B$3:B558),B$3:B558,1))=YEAR(B558))*IF(ISNUMBER(L$3:L558),L$3:L558,0)),""))</f>
        <v/>
      </c>
      <c r="N558" s="6"/>
      <c r="O558" s="7" t="str">
        <f>IF(AND(B558="",ISNUMBER(B559)),CHOOSE(MONTH(B559),"GENNAIO","FEBBRAIO","MARZO","APRILE","MAGGIO","GIUGNO","LUGLIO","AGOSTO","SETTEMBRE","OTTOBRE","NOVEMBRE","DICEMBRE")&amp;" "&amp;YEAR(B559),"")</f>
        <v/>
      </c>
      <c r="P558" s="12" t="str">
        <f>IF(K558=0.2,"CASA","")</f>
        <v/>
      </c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 x14ac:dyDescent="0.2">
      <c r="A559" s="5" t="str">
        <f>IF(AND(B559="",ISNUMBER(B560)),CHOOSE(MONTH(B560),"GENNAIO","FEBBRAIO","MARZO","APRILE","MAGGIO","GIUGNO","LUGLIO","AGOSTO","SETTEMBRE","OTTOBRE","NOVEMBRE","DICEMBRE")&amp;" "&amp;YEAR(B560),"")</f>
        <v/>
      </c>
      <c r="B559" s="11"/>
      <c r="C559" s="12"/>
      <c r="D559" s="12" t="str">
        <f>IF(C559="","",C559-IF(C558&lt;&gt;"",C558,IF(C557&lt;&gt;"",C557,IF(C556&lt;&gt;"",C556,0))))</f>
        <v/>
      </c>
      <c r="E559" s="12"/>
      <c r="F559" s="12"/>
      <c r="G559" s="9" t="str">
        <f>IF(AND(E559="",F559=""),"",IF(OR(E559&gt;1,F559&gt;1),(F559-E559)/100,F559-E559))</f>
        <v/>
      </c>
      <c r="H559" s="12" t="str">
        <f>IF(G559="","",64*G559)</f>
        <v/>
      </c>
      <c r="I559" s="13"/>
      <c r="J559" s="13" t="str">
        <f>IFERROR(IF(OR(D559="",D559=0),"",I559/D559*100),"")</f>
        <v/>
      </c>
      <c r="K559" s="14"/>
      <c r="L559" s="13" t="str">
        <f>IF(I559="","",I559*K559)</f>
        <v/>
      </c>
      <c r="M559" s="13" t="str">
        <f>IF(B559="","",IFERROR(SUMPRODUCT(ISNUMBER(B$3:B559)*(MONTH(IF(ISNUMBER(B$3:B559),B$3:B559,1))=MONTH(B559))*(YEAR(IF(ISNUMBER(B$3:B559),B$3:B559,1))=YEAR(B559))*IF(ISNUMBER(L$3:L559),L$3:L559,0)),""))</f>
        <v/>
      </c>
      <c r="N559" s="6"/>
      <c r="O559" s="7" t="str">
        <f>IF(AND(B559="",ISNUMBER(B560)),CHOOSE(MONTH(B560),"GENNAIO","FEBBRAIO","MARZO","APRILE","MAGGIO","GIUGNO","LUGLIO","AGOSTO","SETTEMBRE","OTTOBRE","NOVEMBRE","DICEMBRE")&amp;" "&amp;YEAR(B560),"")</f>
        <v/>
      </c>
      <c r="P559" s="12" t="str">
        <f>IF(K559=0.2,"CASA","")</f>
        <v/>
      </c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" customHeight="1" x14ac:dyDescent="0.2">
      <c r="A560" s="5" t="str">
        <f>IF(AND(B560="",ISNUMBER(B561)),CHOOSE(MONTH(B561),"GENNAIO","FEBBRAIO","MARZO","APRILE","MAGGIO","GIUGNO","LUGLIO","AGOSTO","SETTEMBRE","OTTOBRE","NOVEMBRE","DICEMBRE")&amp;" "&amp;YEAR(B561),"")</f>
        <v/>
      </c>
      <c r="B560" s="11"/>
      <c r="C560" s="12"/>
      <c r="D560" s="12" t="str">
        <f>IF(C560="","",C560-IF(C559&lt;&gt;"",C559,IF(C558&lt;&gt;"",C558,IF(C557&lt;&gt;"",C557,0))))</f>
        <v/>
      </c>
      <c r="E560" s="12"/>
      <c r="F560" s="12"/>
      <c r="G560" s="9" t="str">
        <f>IF(AND(E560="",F560=""),"",IF(OR(E560&gt;1,F560&gt;1),(F560-E560)/100,F560-E560))</f>
        <v/>
      </c>
      <c r="H560" s="12" t="str">
        <f>IF(G560="","",64*G560)</f>
        <v/>
      </c>
      <c r="I560" s="13"/>
      <c r="J560" s="13" t="str">
        <f>IFERROR(IF(OR(D560="",D560=0),"",I560/D560*100),"")</f>
        <v/>
      </c>
      <c r="K560" s="14"/>
      <c r="L560" s="13" t="str">
        <f>IF(I560="","",I560*K560)</f>
        <v/>
      </c>
      <c r="M560" s="13" t="str">
        <f>IF(B560="","",IFERROR(SUMPRODUCT(ISNUMBER(B$3:B560)*(MONTH(IF(ISNUMBER(B$3:B560),B$3:B560,1))=MONTH(B560))*(YEAR(IF(ISNUMBER(B$3:B560),B$3:B560,1))=YEAR(B560))*IF(ISNUMBER(L$3:L560),L$3:L560,0)),""))</f>
        <v/>
      </c>
      <c r="N560" s="6"/>
      <c r="O560" s="7" t="str">
        <f>IF(AND(B560="",ISNUMBER(B561)),CHOOSE(MONTH(B561),"GENNAIO","FEBBRAIO","MARZO","APRILE","MAGGIO","GIUGNO","LUGLIO","AGOSTO","SETTEMBRE","OTTOBRE","NOVEMBRE","DICEMBRE")&amp;" "&amp;YEAR(B561),"")</f>
        <v/>
      </c>
      <c r="P560" s="12" t="str">
        <f>IF(K560=0.2,"CASA","")</f>
        <v/>
      </c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" customHeight="1" x14ac:dyDescent="0.2">
      <c r="A561" s="5" t="str">
        <f>IF(AND(B561="",ISNUMBER(B562)),CHOOSE(MONTH(B562),"GENNAIO","FEBBRAIO","MARZO","APRILE","MAGGIO","GIUGNO","LUGLIO","AGOSTO","SETTEMBRE","OTTOBRE","NOVEMBRE","DICEMBRE")&amp;" "&amp;YEAR(B562),"")</f>
        <v/>
      </c>
      <c r="B561" s="11"/>
      <c r="C561" s="12"/>
      <c r="D561" s="12" t="str">
        <f>IF(C561="","",C561-IF(C560&lt;&gt;"",C560,IF(C559&lt;&gt;"",C559,IF(C558&lt;&gt;"",C558,0))))</f>
        <v/>
      </c>
      <c r="E561" s="12"/>
      <c r="F561" s="12"/>
      <c r="G561" s="9" t="str">
        <f>IF(AND(E561="",F561=""),"",IF(OR(E561&gt;1,F561&gt;1),(F561-E561)/100,F561-E561))</f>
        <v/>
      </c>
      <c r="H561" s="12" t="str">
        <f>IF(G561="","",64*G561)</f>
        <v/>
      </c>
      <c r="I561" s="13"/>
      <c r="J561" s="13" t="str">
        <f>IFERROR(IF(OR(D561="",D561=0),"",I561/D561*100),"")</f>
        <v/>
      </c>
      <c r="K561" s="14"/>
      <c r="L561" s="13" t="str">
        <f>IF(I561="","",I561*K561)</f>
        <v/>
      </c>
      <c r="M561" s="13" t="str">
        <f>IF(B561="","",IFERROR(SUMPRODUCT(ISNUMBER(B$3:B561)*(MONTH(IF(ISNUMBER(B$3:B561),B$3:B561,1))=MONTH(B561))*(YEAR(IF(ISNUMBER(B$3:B561),B$3:B561,1))=YEAR(B561))*IF(ISNUMBER(L$3:L561),L$3:L561,0)),""))</f>
        <v/>
      </c>
      <c r="N561" s="6"/>
      <c r="O561" s="7" t="str">
        <f>IF(AND(B561="",ISNUMBER(B562)),CHOOSE(MONTH(B562),"GENNAIO","FEBBRAIO","MARZO","APRILE","MAGGIO","GIUGNO","LUGLIO","AGOSTO","SETTEMBRE","OTTOBRE","NOVEMBRE","DICEMBRE")&amp;" "&amp;YEAR(B562),"")</f>
        <v/>
      </c>
      <c r="P561" s="12" t="str">
        <f>IF(K561=0.2,"CASA","")</f>
        <v/>
      </c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" customHeight="1" x14ac:dyDescent="0.2">
      <c r="A562" s="5" t="str">
        <f>IF(AND(B562="",ISNUMBER(B563)),CHOOSE(MONTH(B563),"GENNAIO","FEBBRAIO","MARZO","APRILE","MAGGIO","GIUGNO","LUGLIO","AGOSTO","SETTEMBRE","OTTOBRE","NOVEMBRE","DICEMBRE")&amp;" "&amp;YEAR(B563),"")</f>
        <v/>
      </c>
      <c r="B562" s="11"/>
      <c r="C562" s="12"/>
      <c r="D562" s="12" t="str">
        <f>IF(C562="","",C562-IF(C561&lt;&gt;"",C561,IF(C560&lt;&gt;"",C560,IF(C559&lt;&gt;"",C559,0))))</f>
        <v/>
      </c>
      <c r="E562" s="12"/>
      <c r="F562" s="12"/>
      <c r="G562" s="9" t="str">
        <f>IF(AND(E562="",F562=""),"",IF(OR(E562&gt;1,F562&gt;1),(F562-E562)/100,F562-E562))</f>
        <v/>
      </c>
      <c r="H562" s="12" t="str">
        <f>IF(G562="","",64*G562)</f>
        <v/>
      </c>
      <c r="I562" s="13"/>
      <c r="J562" s="13" t="str">
        <f>IFERROR(IF(OR(D562="",D562=0),"",I562/D562*100),"")</f>
        <v/>
      </c>
      <c r="K562" s="14"/>
      <c r="L562" s="13" t="str">
        <f>IF(I562="","",I562*K562)</f>
        <v/>
      </c>
      <c r="M562" s="13" t="str">
        <f>IF(B562="","",IFERROR(SUMPRODUCT(ISNUMBER(B$3:B562)*(MONTH(IF(ISNUMBER(B$3:B562),B$3:B562,1))=MONTH(B562))*(YEAR(IF(ISNUMBER(B$3:B562),B$3:B562,1))=YEAR(B562))*IF(ISNUMBER(L$3:L562),L$3:L562,0)),""))</f>
        <v/>
      </c>
      <c r="N562" s="6"/>
      <c r="O562" s="7" t="str">
        <f>IF(AND(B562="",ISNUMBER(B563)),CHOOSE(MONTH(B563),"GENNAIO","FEBBRAIO","MARZO","APRILE","MAGGIO","GIUGNO","LUGLIO","AGOSTO","SETTEMBRE","OTTOBRE","NOVEMBRE","DICEMBRE")&amp;" "&amp;YEAR(B563),"")</f>
        <v/>
      </c>
      <c r="P562" s="12" t="str">
        <f>IF(K562=0.2,"CASA","")</f>
        <v/>
      </c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" customHeight="1" x14ac:dyDescent="0.2">
      <c r="A563" s="5" t="str">
        <f>IF(AND(B563="",ISNUMBER(B564)),CHOOSE(MONTH(B564),"GENNAIO","FEBBRAIO","MARZO","APRILE","MAGGIO","GIUGNO","LUGLIO","AGOSTO","SETTEMBRE","OTTOBRE","NOVEMBRE","DICEMBRE")&amp;" "&amp;YEAR(B564),"")</f>
        <v/>
      </c>
      <c r="B563" s="11"/>
      <c r="C563" s="12"/>
      <c r="D563" s="12" t="str">
        <f>IF(C563="","",C563-IF(C562&lt;&gt;"",C562,IF(C561&lt;&gt;"",C561,IF(C560&lt;&gt;"",C560,0))))</f>
        <v/>
      </c>
      <c r="E563" s="12"/>
      <c r="F563" s="12"/>
      <c r="G563" s="9" t="str">
        <f>IF(AND(E563="",F563=""),"",IF(OR(E563&gt;1,F563&gt;1),(F563-E563)/100,F563-E563))</f>
        <v/>
      </c>
      <c r="H563" s="12" t="str">
        <f>IF(G563="","",64*G563)</f>
        <v/>
      </c>
      <c r="I563" s="13"/>
      <c r="J563" s="13" t="str">
        <f>IFERROR(IF(OR(D563="",D563=0),"",I563/D563*100),"")</f>
        <v/>
      </c>
      <c r="K563" s="14"/>
      <c r="L563" s="13" t="str">
        <f>IF(I563="","",I563*K563)</f>
        <v/>
      </c>
      <c r="M563" s="13" t="str">
        <f>IF(B563="","",IFERROR(SUMPRODUCT(ISNUMBER(B$3:B563)*(MONTH(IF(ISNUMBER(B$3:B563),B$3:B563,1))=MONTH(B563))*(YEAR(IF(ISNUMBER(B$3:B563),B$3:B563,1))=YEAR(B563))*IF(ISNUMBER(L$3:L563),L$3:L563,0)),""))</f>
        <v/>
      </c>
      <c r="N563" s="6"/>
      <c r="O563" s="7" t="str">
        <f>IF(AND(B563="",ISNUMBER(B564)),CHOOSE(MONTH(B564),"GENNAIO","FEBBRAIO","MARZO","APRILE","MAGGIO","GIUGNO","LUGLIO","AGOSTO","SETTEMBRE","OTTOBRE","NOVEMBRE","DICEMBRE")&amp;" "&amp;YEAR(B564),"")</f>
        <v/>
      </c>
      <c r="P563" s="12" t="str">
        <f>IF(K563=0.2,"CASA","")</f>
        <v/>
      </c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" customHeight="1" x14ac:dyDescent="0.2">
      <c r="A564" s="5" t="str">
        <f>IF(AND(B564="",ISNUMBER(B565)),CHOOSE(MONTH(B565),"GENNAIO","FEBBRAIO","MARZO","APRILE","MAGGIO","GIUGNO","LUGLIO","AGOSTO","SETTEMBRE","OTTOBRE","NOVEMBRE","DICEMBRE")&amp;" "&amp;YEAR(B565),"")</f>
        <v/>
      </c>
      <c r="B564" s="11"/>
      <c r="C564" s="12"/>
      <c r="D564" s="12" t="str">
        <f>IF(C564="","",C564-IF(C563&lt;&gt;"",C563,IF(C562&lt;&gt;"",C562,IF(C561&lt;&gt;"",C561,0))))</f>
        <v/>
      </c>
      <c r="E564" s="12"/>
      <c r="F564" s="12"/>
      <c r="G564" s="9" t="str">
        <f>IF(AND(E564="",F564=""),"",IF(OR(E564&gt;1,F564&gt;1),(F564-E564)/100,F564-E564))</f>
        <v/>
      </c>
      <c r="H564" s="12" t="str">
        <f>IF(G564="","",64*G564)</f>
        <v/>
      </c>
      <c r="I564" s="13"/>
      <c r="J564" s="13" t="str">
        <f>IFERROR(IF(OR(D564="",D564=0),"",I564/D564*100),"")</f>
        <v/>
      </c>
      <c r="K564" s="14"/>
      <c r="L564" s="13" t="str">
        <f>IF(I564="","",I564*K564)</f>
        <v/>
      </c>
      <c r="M564" s="13" t="str">
        <f>IF(B564="","",IFERROR(SUMPRODUCT(ISNUMBER(B$3:B564)*(MONTH(IF(ISNUMBER(B$3:B564),B$3:B564,1))=MONTH(B564))*(YEAR(IF(ISNUMBER(B$3:B564),B$3:B564,1))=YEAR(B564))*IF(ISNUMBER(L$3:L564),L$3:L564,0)),""))</f>
        <v/>
      </c>
      <c r="N564" s="6"/>
      <c r="O564" s="7" t="str">
        <f>IF(AND(B564="",ISNUMBER(B565)),CHOOSE(MONTH(B565),"GENNAIO","FEBBRAIO","MARZO","APRILE","MAGGIO","GIUGNO","LUGLIO","AGOSTO","SETTEMBRE","OTTOBRE","NOVEMBRE","DICEMBRE")&amp;" "&amp;YEAR(B565),"")</f>
        <v/>
      </c>
      <c r="P564" s="12" t="str">
        <f>IF(K564=0.2,"CASA","")</f>
        <v/>
      </c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" customHeight="1" x14ac:dyDescent="0.2">
      <c r="A565" s="5" t="str">
        <f>IF(AND(B565="",ISNUMBER(B566)),CHOOSE(MONTH(B566),"GENNAIO","FEBBRAIO","MARZO","APRILE","MAGGIO","GIUGNO","LUGLIO","AGOSTO","SETTEMBRE","OTTOBRE","NOVEMBRE","DICEMBRE")&amp;" "&amp;YEAR(B566),"")</f>
        <v/>
      </c>
      <c r="B565" s="11"/>
      <c r="C565" s="12"/>
      <c r="D565" s="12" t="str">
        <f>IF(C565="","",C565-IF(C564&lt;&gt;"",C564,IF(C563&lt;&gt;"",C563,IF(C562&lt;&gt;"",C562,0))))</f>
        <v/>
      </c>
      <c r="E565" s="12"/>
      <c r="F565" s="12"/>
      <c r="G565" s="9" t="str">
        <f>IF(AND(E565="",F565=""),"",IF(OR(E565&gt;1,F565&gt;1),(F565-E565)/100,F565-E565))</f>
        <v/>
      </c>
      <c r="H565" s="12" t="str">
        <f>IF(G565="","",64*G565)</f>
        <v/>
      </c>
      <c r="I565" s="13"/>
      <c r="J565" s="13" t="str">
        <f>IFERROR(IF(OR(D565="",D565=0),"",I565/D565*100),"")</f>
        <v/>
      </c>
      <c r="K565" s="14"/>
      <c r="L565" s="13" t="str">
        <f>IF(I565="","",I565*K565)</f>
        <v/>
      </c>
      <c r="M565" s="13" t="str">
        <f>IF(B565="","",IFERROR(SUMPRODUCT(ISNUMBER(B$3:B565)*(MONTH(IF(ISNUMBER(B$3:B565),B$3:B565,1))=MONTH(B565))*(YEAR(IF(ISNUMBER(B$3:B565),B$3:B565,1))=YEAR(B565))*IF(ISNUMBER(L$3:L565),L$3:L565,0)),""))</f>
        <v/>
      </c>
      <c r="N565" s="6"/>
      <c r="O565" s="7" t="str">
        <f>IF(AND(B565="",ISNUMBER(B566)),CHOOSE(MONTH(B566),"GENNAIO","FEBBRAIO","MARZO","APRILE","MAGGIO","GIUGNO","LUGLIO","AGOSTO","SETTEMBRE","OTTOBRE","NOVEMBRE","DICEMBRE")&amp;" "&amp;YEAR(B566),"")</f>
        <v/>
      </c>
      <c r="P565" s="12" t="str">
        <f>IF(K565=0.2,"CASA","")</f>
        <v/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" customHeight="1" x14ac:dyDescent="0.2">
      <c r="A566" s="5" t="str">
        <f>IF(AND(B566="",ISNUMBER(B567)),CHOOSE(MONTH(B567),"GENNAIO","FEBBRAIO","MARZO","APRILE","MAGGIO","GIUGNO","LUGLIO","AGOSTO","SETTEMBRE","OTTOBRE","NOVEMBRE","DICEMBRE")&amp;" "&amp;YEAR(B567),"")</f>
        <v/>
      </c>
      <c r="B566" s="11"/>
      <c r="C566" s="12"/>
      <c r="D566" s="12" t="str">
        <f>IF(C566="","",C566-IF(C565&lt;&gt;"",C565,IF(C564&lt;&gt;"",C564,IF(C563&lt;&gt;"",C563,0))))</f>
        <v/>
      </c>
      <c r="E566" s="12"/>
      <c r="F566" s="12"/>
      <c r="G566" s="9" t="str">
        <f>IF(AND(E566="",F566=""),"",IF(OR(E566&gt;1,F566&gt;1),(F566-E566)/100,F566-E566))</f>
        <v/>
      </c>
      <c r="H566" s="12" t="str">
        <f>IF(G566="","",64*G566)</f>
        <v/>
      </c>
      <c r="I566" s="13"/>
      <c r="J566" s="13" t="str">
        <f>IFERROR(IF(OR(D566="",D566=0),"",I566/D566*100),"")</f>
        <v/>
      </c>
      <c r="K566" s="14"/>
      <c r="L566" s="13" t="str">
        <f>IF(I566="","",I566*K566)</f>
        <v/>
      </c>
      <c r="M566" s="13" t="str">
        <f>IF(B566="","",IFERROR(SUMPRODUCT(ISNUMBER(B$3:B566)*(MONTH(IF(ISNUMBER(B$3:B566),B$3:B566,1))=MONTH(B566))*(YEAR(IF(ISNUMBER(B$3:B566),B$3:B566,1))=YEAR(B566))*IF(ISNUMBER(L$3:L566),L$3:L566,0)),""))</f>
        <v/>
      </c>
      <c r="N566" s="6"/>
      <c r="O566" s="7" t="str">
        <f>IF(AND(B566="",ISNUMBER(B567)),CHOOSE(MONTH(B567),"GENNAIO","FEBBRAIO","MARZO","APRILE","MAGGIO","GIUGNO","LUGLIO","AGOSTO","SETTEMBRE","OTTOBRE","NOVEMBRE","DICEMBRE")&amp;" "&amp;YEAR(B567),"")</f>
        <v/>
      </c>
      <c r="P566" s="12" t="str">
        <f>IF(K566=0.2,"CASA","")</f>
        <v/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" customHeight="1" x14ac:dyDescent="0.2">
      <c r="A567" s="5" t="str">
        <f>IF(AND(B567="",ISNUMBER(B568)),CHOOSE(MONTH(B568),"GENNAIO","FEBBRAIO","MARZO","APRILE","MAGGIO","GIUGNO","LUGLIO","AGOSTO","SETTEMBRE","OTTOBRE","NOVEMBRE","DICEMBRE")&amp;" "&amp;YEAR(B568),"")</f>
        <v/>
      </c>
      <c r="B567" s="11"/>
      <c r="C567" s="12"/>
      <c r="D567" s="12" t="str">
        <f>IF(C567="","",C567-IF(C566&lt;&gt;"",C566,IF(C565&lt;&gt;"",C565,IF(C564&lt;&gt;"",C564,0))))</f>
        <v/>
      </c>
      <c r="E567" s="12"/>
      <c r="F567" s="12"/>
      <c r="G567" s="9" t="str">
        <f>IF(AND(E567="",F567=""),"",IF(OR(E567&gt;1,F567&gt;1),(F567-E567)/100,F567-E567))</f>
        <v/>
      </c>
      <c r="H567" s="12" t="str">
        <f>IF(G567="","",64*G567)</f>
        <v/>
      </c>
      <c r="I567" s="13"/>
      <c r="J567" s="13" t="str">
        <f>IFERROR(IF(OR(D567="",D567=0),"",I567/D567*100),"")</f>
        <v/>
      </c>
      <c r="K567" s="14"/>
      <c r="L567" s="13" t="str">
        <f>IF(I567="","",I567*K567)</f>
        <v/>
      </c>
      <c r="M567" s="13" t="str">
        <f>IF(B567="","",IFERROR(SUMPRODUCT(ISNUMBER(B$3:B567)*(MONTH(IF(ISNUMBER(B$3:B567),B$3:B567,1))=MONTH(B567))*(YEAR(IF(ISNUMBER(B$3:B567),B$3:B567,1))=YEAR(B567))*IF(ISNUMBER(L$3:L567),L$3:L567,0)),""))</f>
        <v/>
      </c>
      <c r="N567" s="6"/>
      <c r="O567" s="7" t="str">
        <f>IF(AND(B567="",ISNUMBER(B568)),CHOOSE(MONTH(B568),"GENNAIO","FEBBRAIO","MARZO","APRILE","MAGGIO","GIUGNO","LUGLIO","AGOSTO","SETTEMBRE","OTTOBRE","NOVEMBRE","DICEMBRE")&amp;" "&amp;YEAR(B568),"")</f>
        <v/>
      </c>
      <c r="P567" s="12" t="str">
        <f>IF(K567=0.2,"CASA","")</f>
        <v/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" customHeight="1" x14ac:dyDescent="0.2">
      <c r="A568" s="5" t="str">
        <f>IF(AND(B568="",ISNUMBER(B569)),CHOOSE(MONTH(B569),"GENNAIO","FEBBRAIO","MARZO","APRILE","MAGGIO","GIUGNO","LUGLIO","AGOSTO","SETTEMBRE","OTTOBRE","NOVEMBRE","DICEMBRE")&amp;" "&amp;YEAR(B569),"")</f>
        <v/>
      </c>
      <c r="B568" s="11"/>
      <c r="C568" s="12"/>
      <c r="D568" s="12" t="str">
        <f>IF(C568="","",C568-IF(C567&lt;&gt;"",C567,IF(C566&lt;&gt;"",C566,IF(C565&lt;&gt;"",C565,0))))</f>
        <v/>
      </c>
      <c r="E568" s="12"/>
      <c r="F568" s="12"/>
      <c r="G568" s="9" t="str">
        <f>IF(AND(E568="",F568=""),"",IF(OR(E568&gt;1,F568&gt;1),(F568-E568)/100,F568-E568))</f>
        <v/>
      </c>
      <c r="H568" s="12" t="str">
        <f>IF(G568="","",64*G568)</f>
        <v/>
      </c>
      <c r="I568" s="13"/>
      <c r="J568" s="13" t="str">
        <f>IFERROR(IF(OR(D568="",D568=0),"",I568/D568*100),"")</f>
        <v/>
      </c>
      <c r="K568" s="14"/>
      <c r="L568" s="13" t="str">
        <f>IF(I568="","",I568*K568)</f>
        <v/>
      </c>
      <c r="M568" s="13" t="str">
        <f>IF(B568="","",IFERROR(SUMPRODUCT(ISNUMBER(B$3:B568)*(MONTH(IF(ISNUMBER(B$3:B568),B$3:B568,1))=MONTH(B568))*(YEAR(IF(ISNUMBER(B$3:B568),B$3:B568,1))=YEAR(B568))*IF(ISNUMBER(L$3:L568),L$3:L568,0)),""))</f>
        <v/>
      </c>
      <c r="N568" s="6"/>
      <c r="O568" s="7" t="str">
        <f>IF(AND(B568="",ISNUMBER(B569)),CHOOSE(MONTH(B569),"GENNAIO","FEBBRAIO","MARZO","APRILE","MAGGIO","GIUGNO","LUGLIO","AGOSTO","SETTEMBRE","OTTOBRE","NOVEMBRE","DICEMBRE")&amp;" "&amp;YEAR(B569),"")</f>
        <v/>
      </c>
      <c r="P568" s="12" t="str">
        <f>IF(K568=0.2,"CASA","")</f>
        <v/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" customHeight="1" x14ac:dyDescent="0.2">
      <c r="A569" s="5" t="str">
        <f>IF(AND(B569="",ISNUMBER(B570)),CHOOSE(MONTH(B570),"GENNAIO","FEBBRAIO","MARZO","APRILE","MAGGIO","GIUGNO","LUGLIO","AGOSTO","SETTEMBRE","OTTOBRE","NOVEMBRE","DICEMBRE")&amp;" "&amp;YEAR(B570),"")</f>
        <v/>
      </c>
      <c r="B569" s="11"/>
      <c r="C569" s="12"/>
      <c r="D569" s="12" t="str">
        <f>IF(C569="","",C569-IF(C568&lt;&gt;"",C568,IF(C567&lt;&gt;"",C567,IF(C566&lt;&gt;"",C566,0))))</f>
        <v/>
      </c>
      <c r="E569" s="12"/>
      <c r="F569" s="12"/>
      <c r="G569" s="9" t="str">
        <f>IF(AND(E569="",F569=""),"",IF(OR(E569&gt;1,F569&gt;1),(F569-E569)/100,F569-E569))</f>
        <v/>
      </c>
      <c r="H569" s="12" t="str">
        <f>IF(G569="","",64*G569)</f>
        <v/>
      </c>
      <c r="I569" s="13"/>
      <c r="J569" s="13" t="str">
        <f>IFERROR(IF(OR(D569="",D569=0),"",I569/D569*100),"")</f>
        <v/>
      </c>
      <c r="K569" s="14"/>
      <c r="L569" s="13" t="str">
        <f>IF(I569="","",I569*K569)</f>
        <v/>
      </c>
      <c r="M569" s="13" t="str">
        <f>IF(B569="","",IFERROR(SUMPRODUCT(ISNUMBER(B$3:B569)*(MONTH(IF(ISNUMBER(B$3:B569),B$3:B569,1))=MONTH(B569))*(YEAR(IF(ISNUMBER(B$3:B569),B$3:B569,1))=YEAR(B569))*IF(ISNUMBER(L$3:L569),L$3:L569,0)),""))</f>
        <v/>
      </c>
      <c r="N569" s="6"/>
      <c r="O569" s="7" t="str">
        <f>IF(AND(B569="",ISNUMBER(B570)),CHOOSE(MONTH(B570),"GENNAIO","FEBBRAIO","MARZO","APRILE","MAGGIO","GIUGNO","LUGLIO","AGOSTO","SETTEMBRE","OTTOBRE","NOVEMBRE","DICEMBRE")&amp;" "&amp;YEAR(B570),"")</f>
        <v/>
      </c>
      <c r="P569" s="12" t="str">
        <f>IF(K569=0.2,"CASA","")</f>
        <v/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" customHeight="1" x14ac:dyDescent="0.2">
      <c r="A570" s="5" t="str">
        <f>IF(AND(B570="",ISNUMBER(B571)),CHOOSE(MONTH(B571),"GENNAIO","FEBBRAIO","MARZO","APRILE","MAGGIO","GIUGNO","LUGLIO","AGOSTO","SETTEMBRE","OTTOBRE","NOVEMBRE","DICEMBRE")&amp;" "&amp;YEAR(B571),"")</f>
        <v/>
      </c>
      <c r="B570" s="11"/>
      <c r="C570" s="12"/>
      <c r="D570" s="12" t="str">
        <f>IF(C570="","",C570-IF(C569&lt;&gt;"",C569,IF(C568&lt;&gt;"",C568,IF(C567&lt;&gt;"",C567,0))))</f>
        <v/>
      </c>
      <c r="E570" s="12"/>
      <c r="F570" s="12"/>
      <c r="G570" s="9" t="str">
        <f>IF(AND(E570="",F570=""),"",IF(OR(E570&gt;1,F570&gt;1),(F570-E570)/100,F570-E570))</f>
        <v/>
      </c>
      <c r="H570" s="12" t="str">
        <f>IF(G570="","",64*G570)</f>
        <v/>
      </c>
      <c r="I570" s="13"/>
      <c r="J570" s="13" t="str">
        <f>IFERROR(IF(OR(D570="",D570=0),"",I570/D570*100),"")</f>
        <v/>
      </c>
      <c r="K570" s="14"/>
      <c r="L570" s="13" t="str">
        <f>IF(I570="","",I570*K570)</f>
        <v/>
      </c>
      <c r="M570" s="13" t="str">
        <f>IF(B570="","",IFERROR(SUMPRODUCT(ISNUMBER(B$3:B570)*(MONTH(IF(ISNUMBER(B$3:B570),B$3:B570,1))=MONTH(B570))*(YEAR(IF(ISNUMBER(B$3:B570),B$3:B570,1))=YEAR(B570))*IF(ISNUMBER(L$3:L570),L$3:L570,0)),""))</f>
        <v/>
      </c>
      <c r="N570" s="6"/>
      <c r="O570" s="7" t="str">
        <f>IF(AND(B570="",ISNUMBER(B571)),CHOOSE(MONTH(B571),"GENNAIO","FEBBRAIO","MARZO","APRILE","MAGGIO","GIUGNO","LUGLIO","AGOSTO","SETTEMBRE","OTTOBRE","NOVEMBRE","DICEMBRE")&amp;" "&amp;YEAR(B571),"")</f>
        <v/>
      </c>
      <c r="P570" s="12" t="str">
        <f>IF(K570=0.2,"CASA","")</f>
        <v/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" customHeight="1" x14ac:dyDescent="0.2">
      <c r="A571" s="5" t="str">
        <f>IF(AND(B571="",ISNUMBER(B572)),CHOOSE(MONTH(B572),"GENNAIO","FEBBRAIO","MARZO","APRILE","MAGGIO","GIUGNO","LUGLIO","AGOSTO","SETTEMBRE","OTTOBRE","NOVEMBRE","DICEMBRE")&amp;" "&amp;YEAR(B572),"")</f>
        <v/>
      </c>
      <c r="B571" s="11"/>
      <c r="C571" s="12"/>
      <c r="D571" s="12" t="str">
        <f>IF(C571="","",C571-IF(C570&lt;&gt;"",C570,IF(C569&lt;&gt;"",C569,IF(C568&lt;&gt;"",C568,0))))</f>
        <v/>
      </c>
      <c r="E571" s="12"/>
      <c r="F571" s="12"/>
      <c r="G571" s="9" t="str">
        <f>IF(AND(E571="",F571=""),"",IF(OR(E571&gt;1,F571&gt;1),(F571-E571)/100,F571-E571))</f>
        <v/>
      </c>
      <c r="H571" s="12" t="str">
        <f>IF(G571="","",64*G571)</f>
        <v/>
      </c>
      <c r="I571" s="13"/>
      <c r="J571" s="13" t="str">
        <f>IFERROR(IF(OR(D571="",D571=0),"",I571/D571*100),"")</f>
        <v/>
      </c>
      <c r="K571" s="14"/>
      <c r="L571" s="13" t="str">
        <f>IF(I571="","",I571*K571)</f>
        <v/>
      </c>
      <c r="M571" s="13" t="str">
        <f>IF(B571="","",IFERROR(SUMPRODUCT(ISNUMBER(B$3:B571)*(MONTH(IF(ISNUMBER(B$3:B571),B$3:B571,1))=MONTH(B571))*(YEAR(IF(ISNUMBER(B$3:B571),B$3:B571,1))=YEAR(B571))*IF(ISNUMBER(L$3:L571),L$3:L571,0)),""))</f>
        <v/>
      </c>
      <c r="N571" s="6"/>
      <c r="O571" s="7" t="str">
        <f>IF(AND(B571="",ISNUMBER(B572)),CHOOSE(MONTH(B572),"GENNAIO","FEBBRAIO","MARZO","APRILE","MAGGIO","GIUGNO","LUGLIO","AGOSTO","SETTEMBRE","OTTOBRE","NOVEMBRE","DICEMBRE")&amp;" "&amp;YEAR(B572),"")</f>
        <v/>
      </c>
      <c r="P571" s="12" t="str">
        <f>IF(K571=0.2,"CASA","")</f>
        <v/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" customHeight="1" x14ac:dyDescent="0.2">
      <c r="A572" s="5" t="str">
        <f>IF(AND(B572="",ISNUMBER(B573)),CHOOSE(MONTH(B573),"GENNAIO","FEBBRAIO","MARZO","APRILE","MAGGIO","GIUGNO","LUGLIO","AGOSTO","SETTEMBRE","OTTOBRE","NOVEMBRE","DICEMBRE")&amp;" "&amp;YEAR(B573),"")</f>
        <v/>
      </c>
      <c r="B572" s="11"/>
      <c r="C572" s="12"/>
      <c r="D572" s="12" t="str">
        <f>IF(C572="","",C572-IF(C571&lt;&gt;"",C571,IF(C570&lt;&gt;"",C570,IF(C569&lt;&gt;"",C569,0))))</f>
        <v/>
      </c>
      <c r="E572" s="12"/>
      <c r="F572" s="12"/>
      <c r="G572" s="9" t="str">
        <f>IF(AND(E572="",F572=""),"",IF(OR(E572&gt;1,F572&gt;1),(F572-E572)/100,F572-E572))</f>
        <v/>
      </c>
      <c r="H572" s="12" t="str">
        <f>IF(G572="","",64*G572)</f>
        <v/>
      </c>
      <c r="I572" s="13"/>
      <c r="J572" s="13" t="str">
        <f>IFERROR(IF(OR(D572="",D572=0),"",I572/D572*100),"")</f>
        <v/>
      </c>
      <c r="K572" s="14"/>
      <c r="L572" s="13" t="str">
        <f>IF(I572="","",I572*K572)</f>
        <v/>
      </c>
      <c r="M572" s="13" t="str">
        <f>IF(B572="","",IFERROR(SUMPRODUCT(ISNUMBER(B$3:B572)*(MONTH(IF(ISNUMBER(B$3:B572),B$3:B572,1))=MONTH(B572))*(YEAR(IF(ISNUMBER(B$3:B572),B$3:B572,1))=YEAR(B572))*IF(ISNUMBER(L$3:L572),L$3:L572,0)),""))</f>
        <v/>
      </c>
      <c r="N572" s="6"/>
      <c r="O572" s="7" t="str">
        <f>IF(AND(B572="",ISNUMBER(B573)),CHOOSE(MONTH(B573),"GENNAIO","FEBBRAIO","MARZO","APRILE","MAGGIO","GIUGNO","LUGLIO","AGOSTO","SETTEMBRE","OTTOBRE","NOVEMBRE","DICEMBRE")&amp;" "&amp;YEAR(B573),"")</f>
        <v/>
      </c>
      <c r="P572" s="12" t="str">
        <f>IF(K572=0.2,"CASA","")</f>
        <v/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" customHeight="1" x14ac:dyDescent="0.2">
      <c r="A573" s="5" t="str">
        <f>IF(AND(B573="",ISNUMBER(B574)),CHOOSE(MONTH(B574),"GENNAIO","FEBBRAIO","MARZO","APRILE","MAGGIO","GIUGNO","LUGLIO","AGOSTO","SETTEMBRE","OTTOBRE","NOVEMBRE","DICEMBRE")&amp;" "&amp;YEAR(B574),"")</f>
        <v/>
      </c>
      <c r="B573" s="11"/>
      <c r="C573" s="12"/>
      <c r="D573" s="12" t="str">
        <f>IF(C573="","",C573-IF(C572&lt;&gt;"",C572,IF(C571&lt;&gt;"",C571,IF(C570&lt;&gt;"",C570,0))))</f>
        <v/>
      </c>
      <c r="E573" s="12"/>
      <c r="F573" s="12"/>
      <c r="G573" s="9" t="str">
        <f>IF(AND(E573="",F573=""),"",IF(OR(E573&gt;1,F573&gt;1),(F573-E573)/100,F573-E573))</f>
        <v/>
      </c>
      <c r="H573" s="12" t="str">
        <f>IF(G573="","",64*G573)</f>
        <v/>
      </c>
      <c r="I573" s="13"/>
      <c r="J573" s="13" t="str">
        <f>IFERROR(IF(OR(D573="",D573=0),"",I573/D573*100),"")</f>
        <v/>
      </c>
      <c r="K573" s="14"/>
      <c r="L573" s="13" t="str">
        <f>IF(I573="","",I573*K573)</f>
        <v/>
      </c>
      <c r="M573" s="13" t="str">
        <f>IF(B573="","",IFERROR(SUMPRODUCT(ISNUMBER(B$3:B573)*(MONTH(IF(ISNUMBER(B$3:B573),B$3:B573,1))=MONTH(B573))*(YEAR(IF(ISNUMBER(B$3:B573),B$3:B573,1))=YEAR(B573))*IF(ISNUMBER(L$3:L573),L$3:L573,0)),""))</f>
        <v/>
      </c>
      <c r="N573" s="6"/>
      <c r="O573" s="7" t="str">
        <f>IF(AND(B573="",ISNUMBER(B574)),CHOOSE(MONTH(B574),"GENNAIO","FEBBRAIO","MARZO","APRILE","MAGGIO","GIUGNO","LUGLIO","AGOSTO","SETTEMBRE","OTTOBRE","NOVEMBRE","DICEMBRE")&amp;" "&amp;YEAR(B574),"")</f>
        <v/>
      </c>
      <c r="P573" s="12" t="str">
        <f>IF(K573=0.2,"CASA","")</f>
        <v/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" customHeight="1" x14ac:dyDescent="0.2">
      <c r="A574" s="5" t="str">
        <f>IF(AND(B574="",ISNUMBER(B575)),CHOOSE(MONTH(B575),"GENNAIO","FEBBRAIO","MARZO","APRILE","MAGGIO","GIUGNO","LUGLIO","AGOSTO","SETTEMBRE","OTTOBRE","NOVEMBRE","DICEMBRE")&amp;" "&amp;YEAR(B575),"")</f>
        <v/>
      </c>
      <c r="B574" s="11"/>
      <c r="C574" s="12"/>
      <c r="D574" s="12" t="str">
        <f>IF(C574="","",C574-IF(C573&lt;&gt;"",C573,IF(C572&lt;&gt;"",C572,IF(C571&lt;&gt;"",C571,0))))</f>
        <v/>
      </c>
      <c r="E574" s="12"/>
      <c r="F574" s="12"/>
      <c r="G574" s="9" t="str">
        <f>IF(AND(E574="",F574=""),"",IF(OR(E574&gt;1,F574&gt;1),(F574-E574)/100,F574-E574))</f>
        <v/>
      </c>
      <c r="H574" s="12" t="str">
        <f>IF(G574="","",64*G574)</f>
        <v/>
      </c>
      <c r="I574" s="13"/>
      <c r="J574" s="13" t="str">
        <f>IFERROR(IF(OR(D574="",D574=0),"",I574/D574*100),"")</f>
        <v/>
      </c>
      <c r="K574" s="14"/>
      <c r="L574" s="13" t="str">
        <f>IF(I574="","",I574*K574)</f>
        <v/>
      </c>
      <c r="M574" s="13" t="str">
        <f>IF(B574="","",IFERROR(SUMPRODUCT(ISNUMBER(B$3:B574)*(MONTH(IF(ISNUMBER(B$3:B574),B$3:B574,1))=MONTH(B574))*(YEAR(IF(ISNUMBER(B$3:B574),B$3:B574,1))=YEAR(B574))*IF(ISNUMBER(L$3:L574),L$3:L574,0)),""))</f>
        <v/>
      </c>
      <c r="N574" s="6"/>
      <c r="O574" s="7" t="str">
        <f>IF(AND(B574="",ISNUMBER(B575)),CHOOSE(MONTH(B575),"GENNAIO","FEBBRAIO","MARZO","APRILE","MAGGIO","GIUGNO","LUGLIO","AGOSTO","SETTEMBRE","OTTOBRE","NOVEMBRE","DICEMBRE")&amp;" "&amp;YEAR(B575),"")</f>
        <v/>
      </c>
      <c r="P574" s="12" t="str">
        <f>IF(K574=0.2,"CASA","")</f>
        <v/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" customHeight="1" x14ac:dyDescent="0.2">
      <c r="A575" s="5" t="str">
        <f>IF(AND(B575="",ISNUMBER(B576)),CHOOSE(MONTH(B576),"GENNAIO","FEBBRAIO","MARZO","APRILE","MAGGIO","GIUGNO","LUGLIO","AGOSTO","SETTEMBRE","OTTOBRE","NOVEMBRE","DICEMBRE")&amp;" "&amp;YEAR(B576),"")</f>
        <v/>
      </c>
      <c r="B575" s="11"/>
      <c r="C575" s="12"/>
      <c r="D575" s="12" t="str">
        <f>IF(C575="","",C575-IF(C574&lt;&gt;"",C574,IF(C573&lt;&gt;"",C573,IF(C572&lt;&gt;"",C572,0))))</f>
        <v/>
      </c>
      <c r="E575" s="12"/>
      <c r="F575" s="12"/>
      <c r="G575" s="9" t="str">
        <f>IF(AND(E575="",F575=""),"",IF(OR(E575&gt;1,F575&gt;1),(F575-E575)/100,F575-E575))</f>
        <v/>
      </c>
      <c r="H575" s="12" t="str">
        <f>IF(G575="","",64*G575)</f>
        <v/>
      </c>
      <c r="I575" s="13"/>
      <c r="J575" s="13" t="str">
        <f>IFERROR(IF(OR(D575="",D575=0),"",I575/D575*100),"")</f>
        <v/>
      </c>
      <c r="K575" s="14"/>
      <c r="L575" s="13" t="str">
        <f>IF(I575="","",I575*K575)</f>
        <v/>
      </c>
      <c r="M575" s="13" t="str">
        <f>IF(B575="","",IFERROR(SUMPRODUCT(ISNUMBER(B$3:B575)*(MONTH(IF(ISNUMBER(B$3:B575),B$3:B575,1))=MONTH(B575))*(YEAR(IF(ISNUMBER(B$3:B575),B$3:B575,1))=YEAR(B575))*IF(ISNUMBER(L$3:L575),L$3:L575,0)),""))</f>
        <v/>
      </c>
      <c r="N575" s="6"/>
      <c r="O575" s="7" t="str">
        <f>IF(AND(B575="",ISNUMBER(B576)),CHOOSE(MONTH(B576),"GENNAIO","FEBBRAIO","MARZO","APRILE","MAGGIO","GIUGNO","LUGLIO","AGOSTO","SETTEMBRE","OTTOBRE","NOVEMBRE","DICEMBRE")&amp;" "&amp;YEAR(B576),"")</f>
        <v/>
      </c>
      <c r="P575" s="12" t="str">
        <f>IF(K575=0.2,"CASA","")</f>
        <v/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" customHeight="1" x14ac:dyDescent="0.2">
      <c r="A576" s="5" t="str">
        <f>IF(AND(B576="",ISNUMBER(B577)),CHOOSE(MONTH(B577),"GENNAIO","FEBBRAIO","MARZO","APRILE","MAGGIO","GIUGNO","LUGLIO","AGOSTO","SETTEMBRE","OTTOBRE","NOVEMBRE","DICEMBRE")&amp;" "&amp;YEAR(B577),"")</f>
        <v/>
      </c>
      <c r="B576" s="11"/>
      <c r="C576" s="12"/>
      <c r="D576" s="12" t="str">
        <f>IF(C576="","",C576-IF(C575&lt;&gt;"",C575,IF(C574&lt;&gt;"",C574,IF(C573&lt;&gt;"",C573,0))))</f>
        <v/>
      </c>
      <c r="E576" s="12"/>
      <c r="F576" s="12"/>
      <c r="G576" s="9" t="str">
        <f>IF(AND(E576="",F576=""),"",IF(OR(E576&gt;1,F576&gt;1),(F576-E576)/100,F576-E576))</f>
        <v/>
      </c>
      <c r="H576" s="12" t="str">
        <f>IF(G576="","",64*G576)</f>
        <v/>
      </c>
      <c r="I576" s="13"/>
      <c r="J576" s="13" t="str">
        <f>IFERROR(IF(OR(D576="",D576=0),"",I576/D576*100),"")</f>
        <v/>
      </c>
      <c r="K576" s="14"/>
      <c r="L576" s="13" t="str">
        <f>IF(I576="","",I576*K576)</f>
        <v/>
      </c>
      <c r="M576" s="13" t="str">
        <f>IF(B576="","",IFERROR(SUMPRODUCT(ISNUMBER(B$3:B576)*(MONTH(IF(ISNUMBER(B$3:B576),B$3:B576,1))=MONTH(B576))*(YEAR(IF(ISNUMBER(B$3:B576),B$3:B576,1))=YEAR(B576))*IF(ISNUMBER(L$3:L576),L$3:L576,0)),""))</f>
        <v/>
      </c>
      <c r="N576" s="6"/>
      <c r="O576" s="7" t="str">
        <f>IF(AND(B576="",ISNUMBER(B577)),CHOOSE(MONTH(B577),"GENNAIO","FEBBRAIO","MARZO","APRILE","MAGGIO","GIUGNO","LUGLIO","AGOSTO","SETTEMBRE","OTTOBRE","NOVEMBRE","DICEMBRE")&amp;" "&amp;YEAR(B577),"")</f>
        <v/>
      </c>
      <c r="P576" s="12" t="str">
        <f>IF(K576=0.2,"CASA","")</f>
        <v/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" customHeight="1" x14ac:dyDescent="0.2">
      <c r="A577" s="5" t="str">
        <f>IF(AND(B577="",ISNUMBER(B578)),CHOOSE(MONTH(B578),"GENNAIO","FEBBRAIO","MARZO","APRILE","MAGGIO","GIUGNO","LUGLIO","AGOSTO","SETTEMBRE","OTTOBRE","NOVEMBRE","DICEMBRE")&amp;" "&amp;YEAR(B578),"")</f>
        <v/>
      </c>
      <c r="B577" s="11"/>
      <c r="C577" s="12"/>
      <c r="D577" s="12" t="str">
        <f>IF(C577="","",C577-IF(C576&lt;&gt;"",C576,IF(C575&lt;&gt;"",C575,IF(C574&lt;&gt;"",C574,0))))</f>
        <v/>
      </c>
      <c r="E577" s="12"/>
      <c r="F577" s="12"/>
      <c r="G577" s="9" t="str">
        <f>IF(AND(E577="",F577=""),"",IF(OR(E577&gt;1,F577&gt;1),(F577-E577)/100,F577-E577))</f>
        <v/>
      </c>
      <c r="H577" s="12" t="str">
        <f>IF(G577="","",64*G577)</f>
        <v/>
      </c>
      <c r="I577" s="13"/>
      <c r="J577" s="13" t="str">
        <f>IFERROR(IF(OR(D577="",D577=0),"",I577/D577*100),"")</f>
        <v/>
      </c>
      <c r="K577" s="14"/>
      <c r="L577" s="13" t="str">
        <f>IF(I577="","",I577*K577)</f>
        <v/>
      </c>
      <c r="M577" s="13" t="str">
        <f>IF(B577="","",IFERROR(SUMPRODUCT(ISNUMBER(B$3:B577)*(MONTH(IF(ISNUMBER(B$3:B577),B$3:B577,1))=MONTH(B577))*(YEAR(IF(ISNUMBER(B$3:B577),B$3:B577,1))=YEAR(B577))*IF(ISNUMBER(L$3:L577),L$3:L577,0)),""))</f>
        <v/>
      </c>
      <c r="N577" s="6"/>
      <c r="O577" s="7" t="str">
        <f>IF(AND(B577="",ISNUMBER(B578)),CHOOSE(MONTH(B578),"GENNAIO","FEBBRAIO","MARZO","APRILE","MAGGIO","GIUGNO","LUGLIO","AGOSTO","SETTEMBRE","OTTOBRE","NOVEMBRE","DICEMBRE")&amp;" "&amp;YEAR(B578),"")</f>
        <v/>
      </c>
      <c r="P577" s="12" t="str">
        <f>IF(K577=0.2,"CASA","")</f>
        <v/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" customHeight="1" x14ac:dyDescent="0.2">
      <c r="A578" s="5" t="str">
        <f>IF(AND(B578="",ISNUMBER(B579)),CHOOSE(MONTH(B579),"GENNAIO","FEBBRAIO","MARZO","APRILE","MAGGIO","GIUGNO","LUGLIO","AGOSTO","SETTEMBRE","OTTOBRE","NOVEMBRE","DICEMBRE")&amp;" "&amp;YEAR(B579),"")</f>
        <v/>
      </c>
      <c r="B578" s="11"/>
      <c r="C578" s="12"/>
      <c r="D578" s="12" t="str">
        <f>IF(C578="","",C578-IF(C577&lt;&gt;"",C577,IF(C576&lt;&gt;"",C576,IF(C575&lt;&gt;"",C575,0))))</f>
        <v/>
      </c>
      <c r="E578" s="12"/>
      <c r="F578" s="12"/>
      <c r="G578" s="9" t="str">
        <f>IF(AND(E578="",F578=""),"",IF(OR(E578&gt;1,F578&gt;1),(F578-E578)/100,F578-E578))</f>
        <v/>
      </c>
      <c r="H578" s="12" t="str">
        <f>IF(G578="","",64*G578)</f>
        <v/>
      </c>
      <c r="I578" s="13"/>
      <c r="J578" s="13" t="str">
        <f>IFERROR(IF(OR(D578="",D578=0),"",I578/D578*100),"")</f>
        <v/>
      </c>
      <c r="K578" s="14"/>
      <c r="L578" s="13" t="str">
        <f>IF(I578="","",I578*K578)</f>
        <v/>
      </c>
      <c r="M578" s="13" t="str">
        <f>IF(B578="","",IFERROR(SUMPRODUCT(ISNUMBER(B$3:B578)*(MONTH(IF(ISNUMBER(B$3:B578),B$3:B578,1))=MONTH(B578))*(YEAR(IF(ISNUMBER(B$3:B578),B$3:B578,1))=YEAR(B578))*IF(ISNUMBER(L$3:L578),L$3:L578,0)),""))</f>
        <v/>
      </c>
      <c r="N578" s="6"/>
      <c r="O578" s="7" t="str">
        <f>IF(AND(B578="",ISNUMBER(B579)),CHOOSE(MONTH(B579),"GENNAIO","FEBBRAIO","MARZO","APRILE","MAGGIO","GIUGNO","LUGLIO","AGOSTO","SETTEMBRE","OTTOBRE","NOVEMBRE","DICEMBRE")&amp;" "&amp;YEAR(B579),"")</f>
        <v/>
      </c>
      <c r="P578" s="12" t="str">
        <f>IF(K578=0.2,"CASA","")</f>
        <v/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" customHeight="1" x14ac:dyDescent="0.2">
      <c r="A579" s="5" t="str">
        <f>IF(AND(B579="",ISNUMBER(B580)),CHOOSE(MONTH(B580),"GENNAIO","FEBBRAIO","MARZO","APRILE","MAGGIO","GIUGNO","LUGLIO","AGOSTO","SETTEMBRE","OTTOBRE","NOVEMBRE","DICEMBRE")&amp;" "&amp;YEAR(B580),"")</f>
        <v/>
      </c>
      <c r="B579" s="11"/>
      <c r="C579" s="12"/>
      <c r="D579" s="12" t="str">
        <f>IF(C579="","",C579-IF(C578&lt;&gt;"",C578,IF(C577&lt;&gt;"",C577,IF(C576&lt;&gt;"",C576,0))))</f>
        <v/>
      </c>
      <c r="E579" s="12"/>
      <c r="F579" s="12"/>
      <c r="G579" s="9" t="str">
        <f>IF(AND(E579="",F579=""),"",IF(OR(E579&gt;1,F579&gt;1),(F579-E579)/100,F579-E579))</f>
        <v/>
      </c>
      <c r="H579" s="12" t="str">
        <f>IF(G579="","",64*G579)</f>
        <v/>
      </c>
      <c r="I579" s="13"/>
      <c r="J579" s="13" t="str">
        <f>IFERROR(IF(OR(D579="",D579=0),"",I579/D579*100),"")</f>
        <v/>
      </c>
      <c r="K579" s="14"/>
      <c r="L579" s="13" t="str">
        <f>IF(I579="","",I579*K579)</f>
        <v/>
      </c>
      <c r="M579" s="13" t="str">
        <f>IF(B579="","",IFERROR(SUMPRODUCT(ISNUMBER(B$3:B579)*(MONTH(IF(ISNUMBER(B$3:B579),B$3:B579,1))=MONTH(B579))*(YEAR(IF(ISNUMBER(B$3:B579),B$3:B579,1))=YEAR(B579))*IF(ISNUMBER(L$3:L579),L$3:L579,0)),""))</f>
        <v/>
      </c>
      <c r="N579" s="6"/>
      <c r="O579" s="7" t="str">
        <f>IF(AND(B579="",ISNUMBER(B580)),CHOOSE(MONTH(B580),"GENNAIO","FEBBRAIO","MARZO","APRILE","MAGGIO","GIUGNO","LUGLIO","AGOSTO","SETTEMBRE","OTTOBRE","NOVEMBRE","DICEMBRE")&amp;" "&amp;YEAR(B580),"")</f>
        <v/>
      </c>
      <c r="P579" s="12" t="str">
        <f>IF(K579=0.2,"CASA","")</f>
        <v/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" customHeight="1" x14ac:dyDescent="0.2">
      <c r="A580" s="5" t="str">
        <f>IF(AND(B580="",ISNUMBER(B581)),CHOOSE(MONTH(B581),"GENNAIO","FEBBRAIO","MARZO","APRILE","MAGGIO","GIUGNO","LUGLIO","AGOSTO","SETTEMBRE","OTTOBRE","NOVEMBRE","DICEMBRE")&amp;" "&amp;YEAR(B581),"")</f>
        <v/>
      </c>
      <c r="B580" s="11"/>
      <c r="C580" s="12"/>
      <c r="D580" s="12" t="str">
        <f>IF(C580="","",C580-IF(C579&lt;&gt;"",C579,IF(C578&lt;&gt;"",C578,IF(C577&lt;&gt;"",C577,0))))</f>
        <v/>
      </c>
      <c r="E580" s="12"/>
      <c r="F580" s="12"/>
      <c r="G580" s="9" t="str">
        <f>IF(AND(E580="",F580=""),"",IF(OR(E580&gt;1,F580&gt;1),(F580-E580)/100,F580-E580))</f>
        <v/>
      </c>
      <c r="H580" s="12" t="str">
        <f>IF(G580="","",64*G580)</f>
        <v/>
      </c>
      <c r="I580" s="13"/>
      <c r="J580" s="13" t="str">
        <f>IFERROR(IF(OR(D580="",D580=0),"",I580/D580*100),"")</f>
        <v/>
      </c>
      <c r="K580" s="14"/>
      <c r="L580" s="13" t="str">
        <f>IF(I580="","",I580*K580)</f>
        <v/>
      </c>
      <c r="M580" s="13" t="str">
        <f>IF(B580="","",IFERROR(SUMPRODUCT(ISNUMBER(B$3:B580)*(MONTH(IF(ISNUMBER(B$3:B580),B$3:B580,1))=MONTH(B580))*(YEAR(IF(ISNUMBER(B$3:B580),B$3:B580,1))=YEAR(B580))*IF(ISNUMBER(L$3:L580),L$3:L580,0)),""))</f>
        <v/>
      </c>
      <c r="N580" s="6"/>
      <c r="O580" s="7" t="str">
        <f>IF(AND(B580="",ISNUMBER(B581)),CHOOSE(MONTH(B581),"GENNAIO","FEBBRAIO","MARZO","APRILE","MAGGIO","GIUGNO","LUGLIO","AGOSTO","SETTEMBRE","OTTOBRE","NOVEMBRE","DICEMBRE")&amp;" "&amp;YEAR(B581),"")</f>
        <v/>
      </c>
      <c r="P580" s="12" t="str">
        <f>IF(K580=0.2,"CASA","")</f>
        <v/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" customHeight="1" x14ac:dyDescent="0.2">
      <c r="A581" s="5" t="str">
        <f>IF(AND(B581="",ISNUMBER(B582)),CHOOSE(MONTH(B582),"GENNAIO","FEBBRAIO","MARZO","APRILE","MAGGIO","GIUGNO","LUGLIO","AGOSTO","SETTEMBRE","OTTOBRE","NOVEMBRE","DICEMBRE")&amp;" "&amp;YEAR(B582),"")</f>
        <v/>
      </c>
      <c r="B581" s="11"/>
      <c r="C581" s="12"/>
      <c r="D581" s="12" t="str">
        <f>IF(C581="","",C581-IF(C580&lt;&gt;"",C580,IF(C579&lt;&gt;"",C579,IF(C578&lt;&gt;"",C578,0))))</f>
        <v/>
      </c>
      <c r="E581" s="12"/>
      <c r="F581" s="12"/>
      <c r="G581" s="9" t="str">
        <f>IF(AND(E581="",F581=""),"",IF(OR(E581&gt;1,F581&gt;1),(F581-E581)/100,F581-E581))</f>
        <v/>
      </c>
      <c r="H581" s="12" t="str">
        <f>IF(G581="","",64*G581)</f>
        <v/>
      </c>
      <c r="I581" s="13"/>
      <c r="J581" s="13" t="str">
        <f>IFERROR(IF(OR(D581="",D581=0),"",I581/D581*100),"")</f>
        <v/>
      </c>
      <c r="K581" s="14"/>
      <c r="L581" s="13" t="str">
        <f>IF(I581="","",I581*K581)</f>
        <v/>
      </c>
      <c r="M581" s="13" t="str">
        <f>IF(B581="","",IFERROR(SUMPRODUCT(ISNUMBER(B$3:B581)*(MONTH(IF(ISNUMBER(B$3:B581),B$3:B581,1))=MONTH(B581))*(YEAR(IF(ISNUMBER(B$3:B581),B$3:B581,1))=YEAR(B581))*IF(ISNUMBER(L$3:L581),L$3:L581,0)),""))</f>
        <v/>
      </c>
      <c r="N581" s="6"/>
      <c r="O581" s="7" t="str">
        <f>IF(AND(B581="",ISNUMBER(B582)),CHOOSE(MONTH(B582),"GENNAIO","FEBBRAIO","MARZO","APRILE","MAGGIO","GIUGNO","LUGLIO","AGOSTO","SETTEMBRE","OTTOBRE","NOVEMBRE","DICEMBRE")&amp;" "&amp;YEAR(B582),"")</f>
        <v/>
      </c>
      <c r="P581" s="12" t="str">
        <f>IF(K581=0.2,"CASA","")</f>
        <v/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" customHeight="1" x14ac:dyDescent="0.2">
      <c r="A582" s="5" t="str">
        <f>IF(AND(B582="",ISNUMBER(B583)),CHOOSE(MONTH(B583),"GENNAIO","FEBBRAIO","MARZO","APRILE","MAGGIO","GIUGNO","LUGLIO","AGOSTO","SETTEMBRE","OTTOBRE","NOVEMBRE","DICEMBRE")&amp;" "&amp;YEAR(B583),"")</f>
        <v/>
      </c>
      <c r="B582" s="11"/>
      <c r="C582" s="12"/>
      <c r="D582" s="12" t="str">
        <f>IF(C582="","",C582-IF(C581&lt;&gt;"",C581,IF(C580&lt;&gt;"",C580,IF(C579&lt;&gt;"",C579,0))))</f>
        <v/>
      </c>
      <c r="E582" s="12"/>
      <c r="F582" s="12"/>
      <c r="G582" s="9" t="str">
        <f>IF(AND(E582="",F582=""),"",IF(OR(E582&gt;1,F582&gt;1),(F582-E582)/100,F582-E582))</f>
        <v/>
      </c>
      <c r="H582" s="12" t="str">
        <f>IF(G582="","",64*G582)</f>
        <v/>
      </c>
      <c r="I582" s="13"/>
      <c r="J582" s="13" t="str">
        <f>IFERROR(IF(OR(D582="",D582=0),"",I582/D582*100),"")</f>
        <v/>
      </c>
      <c r="K582" s="14"/>
      <c r="L582" s="13" t="str">
        <f>IF(I582="","",I582*K582)</f>
        <v/>
      </c>
      <c r="M582" s="13" t="str">
        <f>IF(B582="","",IFERROR(SUMPRODUCT(ISNUMBER(B$3:B582)*(MONTH(IF(ISNUMBER(B$3:B582),B$3:B582,1))=MONTH(B582))*(YEAR(IF(ISNUMBER(B$3:B582),B$3:B582,1))=YEAR(B582))*IF(ISNUMBER(L$3:L582),L$3:L582,0)),""))</f>
        <v/>
      </c>
      <c r="N582" s="6"/>
      <c r="O582" s="7" t="str">
        <f>IF(AND(B582="",ISNUMBER(B583)),CHOOSE(MONTH(B583),"GENNAIO","FEBBRAIO","MARZO","APRILE","MAGGIO","GIUGNO","LUGLIO","AGOSTO","SETTEMBRE","OTTOBRE","NOVEMBRE","DICEMBRE")&amp;" "&amp;YEAR(B583),"")</f>
        <v/>
      </c>
      <c r="P582" s="12" t="str">
        <f>IF(K582=0.2,"CASA","")</f>
        <v/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" customHeight="1" x14ac:dyDescent="0.2">
      <c r="A583" s="5" t="str">
        <f>IF(AND(B583="",ISNUMBER(B584)),CHOOSE(MONTH(B584),"GENNAIO","FEBBRAIO","MARZO","APRILE","MAGGIO","GIUGNO","LUGLIO","AGOSTO","SETTEMBRE","OTTOBRE","NOVEMBRE","DICEMBRE")&amp;" "&amp;YEAR(B584),"")</f>
        <v/>
      </c>
      <c r="B583" s="11"/>
      <c r="C583" s="12"/>
      <c r="D583" s="12" t="str">
        <f>IF(C583="","",C583-IF(C582&lt;&gt;"",C582,IF(C581&lt;&gt;"",C581,IF(C580&lt;&gt;"",C580,0))))</f>
        <v/>
      </c>
      <c r="E583" s="12"/>
      <c r="F583" s="12"/>
      <c r="G583" s="9" t="str">
        <f>IF(AND(E583="",F583=""),"",IF(OR(E583&gt;1,F583&gt;1),(F583-E583)/100,F583-E583))</f>
        <v/>
      </c>
      <c r="H583" s="12" t="str">
        <f>IF(G583="","",64*G583)</f>
        <v/>
      </c>
      <c r="I583" s="13"/>
      <c r="J583" s="13" t="str">
        <f>IFERROR(IF(OR(D583="",D583=0),"",I583/D583*100),"")</f>
        <v/>
      </c>
      <c r="K583" s="14"/>
      <c r="L583" s="13" t="str">
        <f>IF(I583="","",I583*K583)</f>
        <v/>
      </c>
      <c r="M583" s="13" t="str">
        <f>IF(B583="","",IFERROR(SUMPRODUCT(ISNUMBER(B$3:B583)*(MONTH(IF(ISNUMBER(B$3:B583),B$3:B583,1))=MONTH(B583))*(YEAR(IF(ISNUMBER(B$3:B583),B$3:B583,1))=YEAR(B583))*IF(ISNUMBER(L$3:L583),L$3:L583,0)),""))</f>
        <v/>
      </c>
      <c r="N583" s="6"/>
      <c r="O583" s="7" t="str">
        <f>IF(AND(B583="",ISNUMBER(B584)),CHOOSE(MONTH(B584),"GENNAIO","FEBBRAIO","MARZO","APRILE","MAGGIO","GIUGNO","LUGLIO","AGOSTO","SETTEMBRE","OTTOBRE","NOVEMBRE","DICEMBRE")&amp;" "&amp;YEAR(B584),"")</f>
        <v/>
      </c>
      <c r="P583" s="12" t="str">
        <f>IF(K583=0.2,"CASA","")</f>
        <v/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" customHeight="1" x14ac:dyDescent="0.2">
      <c r="A584" s="5" t="str">
        <f>IF(AND(B584="",ISNUMBER(B585)),CHOOSE(MONTH(B585),"GENNAIO","FEBBRAIO","MARZO","APRILE","MAGGIO","GIUGNO","LUGLIO","AGOSTO","SETTEMBRE","OTTOBRE","NOVEMBRE","DICEMBRE")&amp;" "&amp;YEAR(B585),"")</f>
        <v/>
      </c>
      <c r="B584" s="11"/>
      <c r="C584" s="12"/>
      <c r="D584" s="12" t="str">
        <f>IF(C584="","",C584-IF(C583&lt;&gt;"",C583,IF(C582&lt;&gt;"",C582,IF(C581&lt;&gt;"",C581,0))))</f>
        <v/>
      </c>
      <c r="E584" s="12"/>
      <c r="F584" s="12"/>
      <c r="G584" s="9" t="str">
        <f>IF(AND(E584="",F584=""),"",IF(OR(E584&gt;1,F584&gt;1),(F584-E584)/100,F584-E584))</f>
        <v/>
      </c>
      <c r="H584" s="12" t="str">
        <f>IF(G584="","",64*G584)</f>
        <v/>
      </c>
      <c r="I584" s="13"/>
      <c r="J584" s="13" t="str">
        <f>IFERROR(IF(OR(D584="",D584=0),"",I584/D584*100),"")</f>
        <v/>
      </c>
      <c r="K584" s="14"/>
      <c r="L584" s="13" t="str">
        <f>IF(I584="","",I584*K584)</f>
        <v/>
      </c>
      <c r="M584" s="13" t="str">
        <f>IF(B584="","",IFERROR(SUMPRODUCT(ISNUMBER(B$3:B584)*(MONTH(IF(ISNUMBER(B$3:B584),B$3:B584,1))=MONTH(B584))*(YEAR(IF(ISNUMBER(B$3:B584),B$3:B584,1))=YEAR(B584))*IF(ISNUMBER(L$3:L584),L$3:L584,0)),""))</f>
        <v/>
      </c>
      <c r="N584" s="6"/>
      <c r="O584" s="7" t="str">
        <f>IF(AND(B584="",ISNUMBER(B585)),CHOOSE(MONTH(B585),"GENNAIO","FEBBRAIO","MARZO","APRILE","MAGGIO","GIUGNO","LUGLIO","AGOSTO","SETTEMBRE","OTTOBRE","NOVEMBRE","DICEMBRE")&amp;" "&amp;YEAR(B585),"")</f>
        <v/>
      </c>
      <c r="P584" s="12" t="str">
        <f>IF(K584=0.2,"CASA","")</f>
        <v/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" customHeight="1" x14ac:dyDescent="0.2">
      <c r="A585" s="5" t="str">
        <f>IF(AND(B585="",ISNUMBER(B586)),CHOOSE(MONTH(B586),"GENNAIO","FEBBRAIO","MARZO","APRILE","MAGGIO","GIUGNO","LUGLIO","AGOSTO","SETTEMBRE","OTTOBRE","NOVEMBRE","DICEMBRE")&amp;" "&amp;YEAR(B586),"")</f>
        <v/>
      </c>
      <c r="B585" s="11"/>
      <c r="C585" s="12"/>
      <c r="D585" s="12" t="str">
        <f>IF(C585="","",C585-IF(C584&lt;&gt;"",C584,IF(C583&lt;&gt;"",C583,IF(C582&lt;&gt;"",C582,0))))</f>
        <v/>
      </c>
      <c r="E585" s="12"/>
      <c r="F585" s="12"/>
      <c r="G585" s="9" t="str">
        <f>IF(AND(E585="",F585=""),"",IF(OR(E585&gt;1,F585&gt;1),(F585-E585)/100,F585-E585))</f>
        <v/>
      </c>
      <c r="H585" s="12" t="str">
        <f>IF(G585="","",64*G585)</f>
        <v/>
      </c>
      <c r="I585" s="13"/>
      <c r="J585" s="13" t="str">
        <f>IFERROR(IF(OR(D585="",D585=0),"",I585/D585*100),"")</f>
        <v/>
      </c>
      <c r="K585" s="14"/>
      <c r="L585" s="13" t="str">
        <f>IF(I585="","",I585*K585)</f>
        <v/>
      </c>
      <c r="M585" s="13" t="str">
        <f>IF(B585="","",IFERROR(SUMPRODUCT(ISNUMBER(B$3:B585)*(MONTH(IF(ISNUMBER(B$3:B585),B$3:B585,1))=MONTH(B585))*(YEAR(IF(ISNUMBER(B$3:B585),B$3:B585,1))=YEAR(B585))*IF(ISNUMBER(L$3:L585),L$3:L585,0)),""))</f>
        <v/>
      </c>
      <c r="N585" s="6"/>
      <c r="O585" s="7" t="str">
        <f>IF(AND(B585="",ISNUMBER(B586)),CHOOSE(MONTH(B586),"GENNAIO","FEBBRAIO","MARZO","APRILE","MAGGIO","GIUGNO","LUGLIO","AGOSTO","SETTEMBRE","OTTOBRE","NOVEMBRE","DICEMBRE")&amp;" "&amp;YEAR(B586),"")</f>
        <v/>
      </c>
      <c r="P585" s="12" t="str">
        <f>IF(K585=0.2,"CASA","")</f>
        <v/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" customHeight="1" x14ac:dyDescent="0.2">
      <c r="A586" s="5" t="str">
        <f>IF(AND(B586="",ISNUMBER(B587)),CHOOSE(MONTH(B587),"GENNAIO","FEBBRAIO","MARZO","APRILE","MAGGIO","GIUGNO","LUGLIO","AGOSTO","SETTEMBRE","OTTOBRE","NOVEMBRE","DICEMBRE")&amp;" "&amp;YEAR(B587),"")</f>
        <v/>
      </c>
      <c r="B586" s="11"/>
      <c r="C586" s="12"/>
      <c r="D586" s="12" t="str">
        <f>IF(C586="","",C586-IF(C585&lt;&gt;"",C585,IF(C584&lt;&gt;"",C584,IF(C583&lt;&gt;"",C583,0))))</f>
        <v/>
      </c>
      <c r="E586" s="12"/>
      <c r="F586" s="12"/>
      <c r="G586" s="9" t="str">
        <f>IF(AND(E586="",F586=""),"",IF(OR(E586&gt;1,F586&gt;1),(F586-E586)/100,F586-E586))</f>
        <v/>
      </c>
      <c r="H586" s="12" t="str">
        <f>IF(G586="","",64*G586)</f>
        <v/>
      </c>
      <c r="I586" s="13"/>
      <c r="J586" s="13" t="str">
        <f>IFERROR(IF(OR(D586="",D586=0),"",I586/D586*100),"")</f>
        <v/>
      </c>
      <c r="K586" s="14"/>
      <c r="L586" s="13" t="str">
        <f>IF(I586="","",I586*K586)</f>
        <v/>
      </c>
      <c r="M586" s="13" t="str">
        <f>IF(B586="","",IFERROR(SUMPRODUCT(ISNUMBER(B$3:B586)*(MONTH(IF(ISNUMBER(B$3:B586),B$3:B586,1))=MONTH(B586))*(YEAR(IF(ISNUMBER(B$3:B586),B$3:B586,1))=YEAR(B586))*IF(ISNUMBER(L$3:L586),L$3:L586,0)),""))</f>
        <v/>
      </c>
      <c r="N586" s="6"/>
      <c r="O586" s="7" t="str">
        <f>IF(AND(B586="",ISNUMBER(B587)),CHOOSE(MONTH(B587),"GENNAIO","FEBBRAIO","MARZO","APRILE","MAGGIO","GIUGNO","LUGLIO","AGOSTO","SETTEMBRE","OTTOBRE","NOVEMBRE","DICEMBRE")&amp;" "&amp;YEAR(B587),"")</f>
        <v/>
      </c>
      <c r="P586" s="12" t="str">
        <f>IF(K586=0.2,"CASA","")</f>
        <v/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" customHeight="1" x14ac:dyDescent="0.2">
      <c r="A587" s="5" t="str">
        <f>IF(AND(B587="",ISNUMBER(B588)),CHOOSE(MONTH(B588),"GENNAIO","FEBBRAIO","MARZO","APRILE","MAGGIO","GIUGNO","LUGLIO","AGOSTO","SETTEMBRE","OTTOBRE","NOVEMBRE","DICEMBRE")&amp;" "&amp;YEAR(B588),"")</f>
        <v/>
      </c>
      <c r="B587" s="11"/>
      <c r="C587" s="12"/>
      <c r="D587" s="12" t="str">
        <f>IF(C587="","",C587-IF(C586&lt;&gt;"",C586,IF(C585&lt;&gt;"",C585,IF(C584&lt;&gt;"",C584,0))))</f>
        <v/>
      </c>
      <c r="E587" s="12"/>
      <c r="F587" s="12"/>
      <c r="G587" s="9" t="str">
        <f>IF(AND(E587="",F587=""),"",IF(OR(E587&gt;1,F587&gt;1),(F587-E587)/100,F587-E587))</f>
        <v/>
      </c>
      <c r="H587" s="12" t="str">
        <f>IF(G587="","",64*G587)</f>
        <v/>
      </c>
      <c r="I587" s="13"/>
      <c r="J587" s="13" t="str">
        <f>IFERROR(IF(OR(D587="",D587=0),"",I587/D587*100),"")</f>
        <v/>
      </c>
      <c r="K587" s="14"/>
      <c r="L587" s="13" t="str">
        <f>IF(I587="","",I587*K587)</f>
        <v/>
      </c>
      <c r="M587" s="13" t="str">
        <f>IF(B587="","",IFERROR(SUMPRODUCT(ISNUMBER(B$3:B587)*(MONTH(IF(ISNUMBER(B$3:B587),B$3:B587,1))=MONTH(B587))*(YEAR(IF(ISNUMBER(B$3:B587),B$3:B587,1))=YEAR(B587))*IF(ISNUMBER(L$3:L587),L$3:L587,0)),""))</f>
        <v/>
      </c>
      <c r="N587" s="6"/>
      <c r="O587" s="7" t="str">
        <f>IF(AND(B587="",ISNUMBER(B588)),CHOOSE(MONTH(B588),"GENNAIO","FEBBRAIO","MARZO","APRILE","MAGGIO","GIUGNO","LUGLIO","AGOSTO","SETTEMBRE","OTTOBRE","NOVEMBRE","DICEMBRE")&amp;" "&amp;YEAR(B588),"")</f>
        <v/>
      </c>
      <c r="P587" s="12" t="str">
        <f>IF(K587=0.2,"CASA","")</f>
        <v/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" customHeight="1" x14ac:dyDescent="0.2">
      <c r="A588" s="5" t="str">
        <f>IF(AND(B588="",ISNUMBER(B589)),CHOOSE(MONTH(B589),"GENNAIO","FEBBRAIO","MARZO","APRILE","MAGGIO","GIUGNO","LUGLIO","AGOSTO","SETTEMBRE","OTTOBRE","NOVEMBRE","DICEMBRE")&amp;" "&amp;YEAR(B589),"")</f>
        <v/>
      </c>
      <c r="B588" s="11"/>
      <c r="C588" s="12"/>
      <c r="D588" s="12" t="str">
        <f>IF(C588="","",C588-IF(C587&lt;&gt;"",C587,IF(C586&lt;&gt;"",C586,IF(C585&lt;&gt;"",C585,0))))</f>
        <v/>
      </c>
      <c r="E588" s="12"/>
      <c r="F588" s="12"/>
      <c r="G588" s="9" t="str">
        <f>IF(AND(E588="",F588=""),"",IF(OR(E588&gt;1,F588&gt;1),(F588-E588)/100,F588-E588))</f>
        <v/>
      </c>
      <c r="H588" s="12" t="str">
        <f>IF(G588="","",64*G588)</f>
        <v/>
      </c>
      <c r="I588" s="13"/>
      <c r="J588" s="13" t="str">
        <f>IFERROR(IF(OR(D588="",D588=0),"",I588/D588*100),"")</f>
        <v/>
      </c>
      <c r="K588" s="14"/>
      <c r="L588" s="13" t="str">
        <f>IF(I588="","",I588*K588)</f>
        <v/>
      </c>
      <c r="M588" s="13" t="str">
        <f>IF(B588="","",IFERROR(SUMPRODUCT(ISNUMBER(B$3:B588)*(MONTH(IF(ISNUMBER(B$3:B588),B$3:B588,1))=MONTH(B588))*(YEAR(IF(ISNUMBER(B$3:B588),B$3:B588,1))=YEAR(B588))*IF(ISNUMBER(L$3:L588),L$3:L588,0)),""))</f>
        <v/>
      </c>
      <c r="N588" s="6"/>
      <c r="O588" s="7" t="str">
        <f>IF(AND(B588="",ISNUMBER(B589)),CHOOSE(MONTH(B589),"GENNAIO","FEBBRAIO","MARZO","APRILE","MAGGIO","GIUGNO","LUGLIO","AGOSTO","SETTEMBRE","OTTOBRE","NOVEMBRE","DICEMBRE")&amp;" "&amp;YEAR(B589),"")</f>
        <v/>
      </c>
      <c r="P588" s="12" t="str">
        <f>IF(K588=0.2,"CASA","")</f>
        <v/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" customHeight="1" x14ac:dyDescent="0.2">
      <c r="A589" s="5" t="str">
        <f>IF(AND(B589="",ISNUMBER(B590)),CHOOSE(MONTH(B590),"GENNAIO","FEBBRAIO","MARZO","APRILE","MAGGIO","GIUGNO","LUGLIO","AGOSTO","SETTEMBRE","OTTOBRE","NOVEMBRE","DICEMBRE")&amp;" "&amp;YEAR(B590),"")</f>
        <v/>
      </c>
      <c r="B589" s="11"/>
      <c r="C589" s="12"/>
      <c r="D589" s="12" t="str">
        <f>IF(C589="","",C589-IF(C588&lt;&gt;"",C588,IF(C587&lt;&gt;"",C587,IF(C586&lt;&gt;"",C586,0))))</f>
        <v/>
      </c>
      <c r="E589" s="12"/>
      <c r="F589" s="12"/>
      <c r="G589" s="9" t="str">
        <f>IF(AND(E589="",F589=""),"",IF(OR(E589&gt;1,F589&gt;1),(F589-E589)/100,F589-E589))</f>
        <v/>
      </c>
      <c r="H589" s="12" t="str">
        <f>IF(G589="","",64*G589)</f>
        <v/>
      </c>
      <c r="I589" s="13"/>
      <c r="J589" s="13" t="str">
        <f>IFERROR(IF(OR(D589="",D589=0),"",I589/D589*100),"")</f>
        <v/>
      </c>
      <c r="K589" s="14"/>
      <c r="L589" s="13" t="str">
        <f>IF(I589="","",I589*K589)</f>
        <v/>
      </c>
      <c r="M589" s="13" t="str">
        <f>IF(B589="","",IFERROR(SUMPRODUCT(ISNUMBER(B$3:B589)*(MONTH(IF(ISNUMBER(B$3:B589),B$3:B589,1))=MONTH(B589))*(YEAR(IF(ISNUMBER(B$3:B589),B$3:B589,1))=YEAR(B589))*IF(ISNUMBER(L$3:L589),L$3:L589,0)),""))</f>
        <v/>
      </c>
      <c r="N589" s="6"/>
      <c r="O589" s="7" t="str">
        <f>IF(AND(B589="",ISNUMBER(B590)),CHOOSE(MONTH(B590),"GENNAIO","FEBBRAIO","MARZO","APRILE","MAGGIO","GIUGNO","LUGLIO","AGOSTO","SETTEMBRE","OTTOBRE","NOVEMBRE","DICEMBRE")&amp;" "&amp;YEAR(B590),"")</f>
        <v/>
      </c>
      <c r="P589" s="12" t="str">
        <f>IF(K589=0.2,"CASA","")</f>
        <v/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" customHeight="1" x14ac:dyDescent="0.2">
      <c r="A590" s="5" t="str">
        <f>IF(AND(B590="",ISNUMBER(B591)),CHOOSE(MONTH(B591),"GENNAIO","FEBBRAIO","MARZO","APRILE","MAGGIO","GIUGNO","LUGLIO","AGOSTO","SETTEMBRE","OTTOBRE","NOVEMBRE","DICEMBRE")&amp;" "&amp;YEAR(B591),"")</f>
        <v/>
      </c>
      <c r="B590" s="11"/>
      <c r="C590" s="12"/>
      <c r="D590" s="12" t="str">
        <f>IF(C590="","",C590-IF(C589&lt;&gt;"",C589,IF(C588&lt;&gt;"",C588,IF(C587&lt;&gt;"",C587,0))))</f>
        <v/>
      </c>
      <c r="E590" s="12"/>
      <c r="F590" s="12"/>
      <c r="G590" s="9" t="str">
        <f>IF(AND(E590="",F590=""),"",IF(OR(E590&gt;1,F590&gt;1),(F590-E590)/100,F590-E590))</f>
        <v/>
      </c>
      <c r="H590" s="12" t="str">
        <f>IF(G590="","",64*G590)</f>
        <v/>
      </c>
      <c r="I590" s="13"/>
      <c r="J590" s="13" t="str">
        <f>IFERROR(IF(OR(D590="",D590=0),"",I590/D590*100),"")</f>
        <v/>
      </c>
      <c r="K590" s="14"/>
      <c r="L590" s="13" t="str">
        <f>IF(I590="","",I590*K590)</f>
        <v/>
      </c>
      <c r="M590" s="13" t="str">
        <f>IF(B590="","",IFERROR(SUMPRODUCT(ISNUMBER(B$3:B590)*(MONTH(IF(ISNUMBER(B$3:B590),B$3:B590,1))=MONTH(B590))*(YEAR(IF(ISNUMBER(B$3:B590),B$3:B590,1))=YEAR(B590))*IF(ISNUMBER(L$3:L590),L$3:L590,0)),""))</f>
        <v/>
      </c>
      <c r="N590" s="6"/>
      <c r="O590" s="7" t="str">
        <f>IF(AND(B590="",ISNUMBER(B591)),CHOOSE(MONTH(B591),"GENNAIO","FEBBRAIO","MARZO","APRILE","MAGGIO","GIUGNO","LUGLIO","AGOSTO","SETTEMBRE","OTTOBRE","NOVEMBRE","DICEMBRE")&amp;" "&amp;YEAR(B591),"")</f>
        <v/>
      </c>
      <c r="P590" s="12" t="str">
        <f>IF(K590=0.2,"CASA","")</f>
        <v/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" customHeight="1" x14ac:dyDescent="0.2">
      <c r="A591" s="5" t="str">
        <f>IF(AND(B591="",ISNUMBER(B592)),CHOOSE(MONTH(B592),"GENNAIO","FEBBRAIO","MARZO","APRILE","MAGGIO","GIUGNO","LUGLIO","AGOSTO","SETTEMBRE","OTTOBRE","NOVEMBRE","DICEMBRE")&amp;" "&amp;YEAR(B592),"")</f>
        <v/>
      </c>
      <c r="B591" s="11"/>
      <c r="C591" s="12"/>
      <c r="D591" s="12" t="str">
        <f>IF(C591="","",C591-IF(C590&lt;&gt;"",C590,IF(C589&lt;&gt;"",C589,IF(C588&lt;&gt;"",C588,0))))</f>
        <v/>
      </c>
      <c r="E591" s="12"/>
      <c r="F591" s="12"/>
      <c r="G591" s="9" t="str">
        <f>IF(AND(E591="",F591=""),"",IF(OR(E591&gt;1,F591&gt;1),(F591-E591)/100,F591-E591))</f>
        <v/>
      </c>
      <c r="H591" s="12" t="str">
        <f>IF(G591="","",64*G591)</f>
        <v/>
      </c>
      <c r="I591" s="13"/>
      <c r="J591" s="13" t="str">
        <f>IFERROR(IF(OR(D591="",D591=0),"",I591/D591*100),"")</f>
        <v/>
      </c>
      <c r="K591" s="14"/>
      <c r="L591" s="13" t="str">
        <f>IF(I591="","",I591*K591)</f>
        <v/>
      </c>
      <c r="M591" s="13" t="str">
        <f>IF(B591="","",IFERROR(SUMPRODUCT(ISNUMBER(B$3:B591)*(MONTH(IF(ISNUMBER(B$3:B591),B$3:B591,1))=MONTH(B591))*(YEAR(IF(ISNUMBER(B$3:B591),B$3:B591,1))=YEAR(B591))*IF(ISNUMBER(L$3:L591),L$3:L591,0)),""))</f>
        <v/>
      </c>
      <c r="N591" s="6"/>
      <c r="O591" s="7" t="str">
        <f>IF(AND(B591="",ISNUMBER(B592)),CHOOSE(MONTH(B592),"GENNAIO","FEBBRAIO","MARZO","APRILE","MAGGIO","GIUGNO","LUGLIO","AGOSTO","SETTEMBRE","OTTOBRE","NOVEMBRE","DICEMBRE")&amp;" "&amp;YEAR(B592),"")</f>
        <v/>
      </c>
      <c r="P591" s="12" t="str">
        <f>IF(K591=0.2,"CASA","")</f>
        <v/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" customHeight="1" x14ac:dyDescent="0.2">
      <c r="A592" s="5" t="str">
        <f>IF(AND(B592="",ISNUMBER(B593)),CHOOSE(MONTH(B593),"GENNAIO","FEBBRAIO","MARZO","APRILE","MAGGIO","GIUGNO","LUGLIO","AGOSTO","SETTEMBRE","OTTOBRE","NOVEMBRE","DICEMBRE")&amp;" "&amp;YEAR(B593),"")</f>
        <v/>
      </c>
      <c r="B592" s="11"/>
      <c r="C592" s="12"/>
      <c r="D592" s="12" t="str">
        <f>IF(C592="","",C592-IF(C591&lt;&gt;"",C591,IF(C590&lt;&gt;"",C590,IF(C589&lt;&gt;"",C589,0))))</f>
        <v/>
      </c>
      <c r="E592" s="12"/>
      <c r="F592" s="12"/>
      <c r="G592" s="9" t="str">
        <f>IF(AND(E592="",F592=""),"",IF(OR(E592&gt;1,F592&gt;1),(F592-E592)/100,F592-E592))</f>
        <v/>
      </c>
      <c r="H592" s="12" t="str">
        <f>IF(G592="","",64*G592)</f>
        <v/>
      </c>
      <c r="I592" s="13"/>
      <c r="J592" s="13" t="str">
        <f>IFERROR(IF(OR(D592="",D592=0),"",I592/D592*100),"")</f>
        <v/>
      </c>
      <c r="K592" s="14"/>
      <c r="L592" s="13" t="str">
        <f>IF(I592="","",I592*K592)</f>
        <v/>
      </c>
      <c r="M592" s="13" t="str">
        <f>IF(B592="","",IFERROR(SUMPRODUCT(ISNUMBER(B$3:B592)*(MONTH(IF(ISNUMBER(B$3:B592),B$3:B592,1))=MONTH(B592))*(YEAR(IF(ISNUMBER(B$3:B592),B$3:B592,1))=YEAR(B592))*IF(ISNUMBER(L$3:L592),L$3:L592,0)),""))</f>
        <v/>
      </c>
      <c r="N592" s="6"/>
      <c r="O592" s="7" t="str">
        <f>IF(AND(B592="",ISNUMBER(B593)),CHOOSE(MONTH(B593),"GENNAIO","FEBBRAIO","MARZO","APRILE","MAGGIO","GIUGNO","LUGLIO","AGOSTO","SETTEMBRE","OTTOBRE","NOVEMBRE","DICEMBRE")&amp;" "&amp;YEAR(B593),"")</f>
        <v/>
      </c>
      <c r="P592" s="12" t="str">
        <f>IF(K592=0.2,"CASA","")</f>
        <v/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" customHeight="1" x14ac:dyDescent="0.2">
      <c r="A593" s="5" t="str">
        <f>IF(AND(B593="",ISNUMBER(B594)),CHOOSE(MONTH(B594),"GENNAIO","FEBBRAIO","MARZO","APRILE","MAGGIO","GIUGNO","LUGLIO","AGOSTO","SETTEMBRE","OTTOBRE","NOVEMBRE","DICEMBRE")&amp;" "&amp;YEAR(B594),"")</f>
        <v/>
      </c>
      <c r="B593" s="11"/>
      <c r="C593" s="12"/>
      <c r="D593" s="12" t="str">
        <f>IF(C593="","",C593-IF(C592&lt;&gt;"",C592,IF(C591&lt;&gt;"",C591,IF(C590&lt;&gt;"",C590,0))))</f>
        <v/>
      </c>
      <c r="E593" s="12"/>
      <c r="F593" s="12"/>
      <c r="G593" s="9" t="str">
        <f>IF(AND(E593="",F593=""),"",IF(OR(E593&gt;1,F593&gt;1),(F593-E593)/100,F593-E593))</f>
        <v/>
      </c>
      <c r="H593" s="12" t="str">
        <f>IF(G593="","",64*G593)</f>
        <v/>
      </c>
      <c r="I593" s="13"/>
      <c r="J593" s="13" t="str">
        <f>IFERROR(IF(OR(D593="",D593=0),"",I593/D593*100),"")</f>
        <v/>
      </c>
      <c r="K593" s="14"/>
      <c r="L593" s="13" t="str">
        <f>IF(I593="","",I593*K593)</f>
        <v/>
      </c>
      <c r="M593" s="13" t="str">
        <f>IF(B593="","",IFERROR(SUMPRODUCT(ISNUMBER(B$3:B593)*(MONTH(IF(ISNUMBER(B$3:B593),B$3:B593,1))=MONTH(B593))*(YEAR(IF(ISNUMBER(B$3:B593),B$3:B593,1))=YEAR(B593))*IF(ISNUMBER(L$3:L593),L$3:L593,0)),""))</f>
        <v/>
      </c>
      <c r="N593" s="6"/>
      <c r="O593" s="7" t="str">
        <f>IF(AND(B593="",ISNUMBER(B594)),CHOOSE(MONTH(B594),"GENNAIO","FEBBRAIO","MARZO","APRILE","MAGGIO","GIUGNO","LUGLIO","AGOSTO","SETTEMBRE","OTTOBRE","NOVEMBRE","DICEMBRE")&amp;" "&amp;YEAR(B594),"")</f>
        <v/>
      </c>
      <c r="P593" s="12" t="str">
        <f>IF(K593=0.2,"CASA","")</f>
        <v/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" customHeight="1" x14ac:dyDescent="0.2">
      <c r="A594" s="5" t="str">
        <f>IF(AND(B594="",ISNUMBER(B595)),CHOOSE(MONTH(B595),"GENNAIO","FEBBRAIO","MARZO","APRILE","MAGGIO","GIUGNO","LUGLIO","AGOSTO","SETTEMBRE","OTTOBRE","NOVEMBRE","DICEMBRE")&amp;" "&amp;YEAR(B595),"")</f>
        <v/>
      </c>
      <c r="B594" s="11"/>
      <c r="C594" s="12"/>
      <c r="D594" s="12" t="str">
        <f>IF(C594="","",C594-IF(C593&lt;&gt;"",C593,IF(C592&lt;&gt;"",C592,IF(C591&lt;&gt;"",C591,0))))</f>
        <v/>
      </c>
      <c r="E594" s="12"/>
      <c r="F594" s="12"/>
      <c r="G594" s="9" t="str">
        <f>IF(AND(E594="",F594=""),"",IF(OR(E594&gt;1,F594&gt;1),(F594-E594)/100,F594-E594))</f>
        <v/>
      </c>
      <c r="H594" s="12" t="str">
        <f>IF(G594="","",64*G594)</f>
        <v/>
      </c>
      <c r="I594" s="13"/>
      <c r="J594" s="13" t="str">
        <f>IFERROR(IF(OR(D594="",D594=0),"",I594/D594*100),"")</f>
        <v/>
      </c>
      <c r="K594" s="14"/>
      <c r="L594" s="13" t="str">
        <f>IF(I594="","",I594*K594)</f>
        <v/>
      </c>
      <c r="M594" s="13" t="str">
        <f>IF(B594="","",IFERROR(SUMPRODUCT(ISNUMBER(B$3:B594)*(MONTH(IF(ISNUMBER(B$3:B594),B$3:B594,1))=MONTH(B594))*(YEAR(IF(ISNUMBER(B$3:B594),B$3:B594,1))=YEAR(B594))*IF(ISNUMBER(L$3:L594),L$3:L594,0)),""))</f>
        <v/>
      </c>
      <c r="N594" s="6"/>
      <c r="O594" s="7" t="str">
        <f>IF(AND(B594="",ISNUMBER(B595)),CHOOSE(MONTH(B595),"GENNAIO","FEBBRAIO","MARZO","APRILE","MAGGIO","GIUGNO","LUGLIO","AGOSTO","SETTEMBRE","OTTOBRE","NOVEMBRE","DICEMBRE")&amp;" "&amp;YEAR(B595),"")</f>
        <v/>
      </c>
      <c r="P594" s="12" t="str">
        <f>IF(K594=0.2,"CASA","")</f>
        <v/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" customHeight="1" x14ac:dyDescent="0.2">
      <c r="A595" s="5" t="str">
        <f>IF(AND(B595="",ISNUMBER(B596)),CHOOSE(MONTH(B596),"GENNAIO","FEBBRAIO","MARZO","APRILE","MAGGIO","GIUGNO","LUGLIO","AGOSTO","SETTEMBRE","OTTOBRE","NOVEMBRE","DICEMBRE")&amp;" "&amp;YEAR(B596),"")</f>
        <v/>
      </c>
      <c r="B595" s="11"/>
      <c r="C595" s="12"/>
      <c r="D595" s="12" t="str">
        <f>IF(C595="","",C595-IF(C594&lt;&gt;"",C594,IF(C593&lt;&gt;"",C593,IF(C592&lt;&gt;"",C592,0))))</f>
        <v/>
      </c>
      <c r="E595" s="12"/>
      <c r="F595" s="12"/>
      <c r="G595" s="9" t="str">
        <f>IF(AND(E595="",F595=""),"",IF(OR(E595&gt;1,F595&gt;1),(F595-E595)/100,F595-E595))</f>
        <v/>
      </c>
      <c r="H595" s="12" t="str">
        <f>IF(G595="","",64*G595)</f>
        <v/>
      </c>
      <c r="I595" s="13"/>
      <c r="J595" s="13" t="str">
        <f>IFERROR(IF(OR(D595="",D595=0),"",I595/D595*100),"")</f>
        <v/>
      </c>
      <c r="K595" s="14"/>
      <c r="L595" s="13" t="str">
        <f>IF(I595="","",I595*K595)</f>
        <v/>
      </c>
      <c r="M595" s="13" t="str">
        <f>IF(B595="","",IFERROR(SUMPRODUCT(ISNUMBER(B$3:B595)*(MONTH(IF(ISNUMBER(B$3:B595),B$3:B595,1))=MONTH(B595))*(YEAR(IF(ISNUMBER(B$3:B595),B$3:B595,1))=YEAR(B595))*IF(ISNUMBER(L$3:L595),L$3:L595,0)),""))</f>
        <v/>
      </c>
      <c r="N595" s="6"/>
      <c r="O595" s="7" t="str">
        <f>IF(AND(B595="",ISNUMBER(B596)),CHOOSE(MONTH(B596),"GENNAIO","FEBBRAIO","MARZO","APRILE","MAGGIO","GIUGNO","LUGLIO","AGOSTO","SETTEMBRE","OTTOBRE","NOVEMBRE","DICEMBRE")&amp;" "&amp;YEAR(B596),"")</f>
        <v/>
      </c>
      <c r="P595" s="12" t="str">
        <f>IF(K595=0.2,"CASA","")</f>
        <v/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" customHeight="1" x14ac:dyDescent="0.2">
      <c r="A596" s="5" t="str">
        <f>IF(AND(B596="",ISNUMBER(B597)),CHOOSE(MONTH(B597),"GENNAIO","FEBBRAIO","MARZO","APRILE","MAGGIO","GIUGNO","LUGLIO","AGOSTO","SETTEMBRE","OTTOBRE","NOVEMBRE","DICEMBRE")&amp;" "&amp;YEAR(B597),"")</f>
        <v/>
      </c>
      <c r="B596" s="11"/>
      <c r="C596" s="12"/>
      <c r="D596" s="12" t="str">
        <f>IF(C596="","",C596-IF(C595&lt;&gt;"",C595,IF(C594&lt;&gt;"",C594,IF(C593&lt;&gt;"",C593,0))))</f>
        <v/>
      </c>
      <c r="E596" s="12"/>
      <c r="F596" s="12"/>
      <c r="G596" s="9" t="str">
        <f>IF(AND(E596="",F596=""),"",IF(OR(E596&gt;1,F596&gt;1),(F596-E596)/100,F596-E596))</f>
        <v/>
      </c>
      <c r="H596" s="12" t="str">
        <f>IF(G596="","",64*G596)</f>
        <v/>
      </c>
      <c r="I596" s="13"/>
      <c r="J596" s="13" t="str">
        <f>IFERROR(IF(OR(D596="",D596=0),"",I596/D596*100),"")</f>
        <v/>
      </c>
      <c r="K596" s="14"/>
      <c r="L596" s="13" t="str">
        <f>IF(I596="","",I596*K596)</f>
        <v/>
      </c>
      <c r="M596" s="13" t="str">
        <f>IF(B596="","",IFERROR(SUMPRODUCT(ISNUMBER(B$3:B596)*(MONTH(IF(ISNUMBER(B$3:B596),B$3:B596,1))=MONTH(B596))*(YEAR(IF(ISNUMBER(B$3:B596),B$3:B596,1))=YEAR(B596))*IF(ISNUMBER(L$3:L596),L$3:L596,0)),""))</f>
        <v/>
      </c>
      <c r="N596" s="6"/>
      <c r="O596" s="7" t="str">
        <f>IF(AND(B596="",ISNUMBER(B597)),CHOOSE(MONTH(B597),"GENNAIO","FEBBRAIO","MARZO","APRILE","MAGGIO","GIUGNO","LUGLIO","AGOSTO","SETTEMBRE","OTTOBRE","NOVEMBRE","DICEMBRE")&amp;" "&amp;YEAR(B597),"")</f>
        <v/>
      </c>
      <c r="P596" s="12" t="str">
        <f>IF(K596=0.2,"CASA","")</f>
        <v/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" customHeight="1" x14ac:dyDescent="0.2">
      <c r="A597" s="5" t="str">
        <f>IF(AND(B597="",ISNUMBER(B598)),CHOOSE(MONTH(B598),"GENNAIO","FEBBRAIO","MARZO","APRILE","MAGGIO","GIUGNO","LUGLIO","AGOSTO","SETTEMBRE","OTTOBRE","NOVEMBRE","DICEMBRE")&amp;" "&amp;YEAR(B598),"")</f>
        <v/>
      </c>
      <c r="B597" s="11"/>
      <c r="C597" s="12"/>
      <c r="D597" s="12" t="str">
        <f>IF(C597="","",C597-IF(C596&lt;&gt;"",C596,IF(C595&lt;&gt;"",C595,IF(C594&lt;&gt;"",C594,0))))</f>
        <v/>
      </c>
      <c r="E597" s="12"/>
      <c r="F597" s="12"/>
      <c r="G597" s="9" t="str">
        <f>IF(AND(E597="",F597=""),"",IF(OR(E597&gt;1,F597&gt;1),(F597-E597)/100,F597-E597))</f>
        <v/>
      </c>
      <c r="H597" s="12" t="str">
        <f>IF(G597="","",64*G597)</f>
        <v/>
      </c>
      <c r="I597" s="13"/>
      <c r="J597" s="13" t="str">
        <f>IFERROR(IF(OR(D597="",D597=0),"",I597/D597*100),"")</f>
        <v/>
      </c>
      <c r="K597" s="14"/>
      <c r="L597" s="13" t="str">
        <f>IF(I597="","",I597*K597)</f>
        <v/>
      </c>
      <c r="M597" s="13" t="str">
        <f>IF(B597="","",IFERROR(SUMPRODUCT(ISNUMBER(B$3:B597)*(MONTH(IF(ISNUMBER(B$3:B597),B$3:B597,1))=MONTH(B597))*(YEAR(IF(ISNUMBER(B$3:B597),B$3:B597,1))=YEAR(B597))*IF(ISNUMBER(L$3:L597),L$3:L597,0)),""))</f>
        <v/>
      </c>
      <c r="N597" s="6"/>
      <c r="O597" s="7" t="str">
        <f>IF(AND(B597="",ISNUMBER(B598)),CHOOSE(MONTH(B598),"GENNAIO","FEBBRAIO","MARZO","APRILE","MAGGIO","GIUGNO","LUGLIO","AGOSTO","SETTEMBRE","OTTOBRE","NOVEMBRE","DICEMBRE")&amp;" "&amp;YEAR(B598),"")</f>
        <v/>
      </c>
      <c r="P597" s="12" t="str">
        <f>IF(K597=0.2,"CASA","")</f>
        <v/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" customHeight="1" x14ac:dyDescent="0.2">
      <c r="A598" s="5" t="str">
        <f>IF(AND(B598="",ISNUMBER(B599)),CHOOSE(MONTH(B599),"GENNAIO","FEBBRAIO","MARZO","APRILE","MAGGIO","GIUGNO","LUGLIO","AGOSTO","SETTEMBRE","OTTOBRE","NOVEMBRE","DICEMBRE")&amp;" "&amp;YEAR(B599),"")</f>
        <v/>
      </c>
      <c r="B598" s="11"/>
      <c r="C598" s="12"/>
      <c r="D598" s="12" t="str">
        <f>IF(C598="","",C598-IF(C597&lt;&gt;"",C597,IF(C596&lt;&gt;"",C596,IF(C595&lt;&gt;"",C595,0))))</f>
        <v/>
      </c>
      <c r="E598" s="12"/>
      <c r="F598" s="12"/>
      <c r="G598" s="9" t="str">
        <f>IF(AND(E598="",F598=""),"",IF(OR(E598&gt;1,F598&gt;1),(F598-E598)/100,F598-E598))</f>
        <v/>
      </c>
      <c r="H598" s="12" t="str">
        <f>IF(G598="","",64*G598)</f>
        <v/>
      </c>
      <c r="I598" s="13"/>
      <c r="J598" s="13" t="str">
        <f>IFERROR(IF(OR(D598="",D598=0),"",I598/D598*100),"")</f>
        <v/>
      </c>
      <c r="K598" s="14"/>
      <c r="L598" s="13" t="str">
        <f>IF(I598="","",I598*K598)</f>
        <v/>
      </c>
      <c r="M598" s="13" t="str">
        <f>IF(B598="","",IFERROR(SUMPRODUCT(ISNUMBER(B$3:B598)*(MONTH(IF(ISNUMBER(B$3:B598),B$3:B598,1))=MONTH(B598))*(YEAR(IF(ISNUMBER(B$3:B598),B$3:B598,1))=YEAR(B598))*IF(ISNUMBER(L$3:L598),L$3:L598,0)),""))</f>
        <v/>
      </c>
      <c r="N598" s="6"/>
      <c r="O598" s="7" t="str">
        <f>IF(AND(B598="",ISNUMBER(B599)),CHOOSE(MONTH(B599),"GENNAIO","FEBBRAIO","MARZO","APRILE","MAGGIO","GIUGNO","LUGLIO","AGOSTO","SETTEMBRE","OTTOBRE","NOVEMBRE","DICEMBRE")&amp;" "&amp;YEAR(B599),"")</f>
        <v/>
      </c>
      <c r="P598" s="12" t="str">
        <f>IF(K598=0.2,"CASA","")</f>
        <v/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" customHeight="1" x14ac:dyDescent="0.2">
      <c r="A599" s="5" t="str">
        <f>IF(AND(B599="",ISNUMBER(B600)),CHOOSE(MONTH(B600),"GENNAIO","FEBBRAIO","MARZO","APRILE","MAGGIO","GIUGNO","LUGLIO","AGOSTO","SETTEMBRE","OTTOBRE","NOVEMBRE","DICEMBRE")&amp;" "&amp;YEAR(B600),"")</f>
        <v/>
      </c>
      <c r="B599" s="11"/>
      <c r="C599" s="12"/>
      <c r="D599" s="12" t="str">
        <f>IF(C599="","",C599-IF(C598&lt;&gt;"",C598,IF(C597&lt;&gt;"",C597,IF(C596&lt;&gt;"",C596,0))))</f>
        <v/>
      </c>
      <c r="E599" s="12"/>
      <c r="F599" s="12"/>
      <c r="G599" s="9" t="str">
        <f>IF(AND(E599="",F599=""),"",IF(OR(E599&gt;1,F599&gt;1),(F599-E599)/100,F599-E599))</f>
        <v/>
      </c>
      <c r="H599" s="12" t="str">
        <f>IF(G599="","",64*G599)</f>
        <v/>
      </c>
      <c r="I599" s="13"/>
      <c r="J599" s="13" t="str">
        <f>IFERROR(IF(OR(D599="",D599=0),"",I599/D599*100),"")</f>
        <v/>
      </c>
      <c r="K599" s="14"/>
      <c r="L599" s="13" t="str">
        <f>IF(I599="","",I599*K599)</f>
        <v/>
      </c>
      <c r="M599" s="13" t="str">
        <f>IF(B599="","",IFERROR(SUMPRODUCT(ISNUMBER(B$3:B599)*(MONTH(IF(ISNUMBER(B$3:B599),B$3:B599,1))=MONTH(B599))*(YEAR(IF(ISNUMBER(B$3:B599),B$3:B599,1))=YEAR(B599))*IF(ISNUMBER(L$3:L599),L$3:L599,0)),""))</f>
        <v/>
      </c>
      <c r="N599" s="6"/>
      <c r="O599" s="7" t="str">
        <f>IF(AND(B599="",ISNUMBER(B600)),CHOOSE(MONTH(B600),"GENNAIO","FEBBRAIO","MARZO","APRILE","MAGGIO","GIUGNO","LUGLIO","AGOSTO","SETTEMBRE","OTTOBRE","NOVEMBRE","DICEMBRE")&amp;" "&amp;YEAR(B600),"")</f>
        <v/>
      </c>
      <c r="P599" s="12" t="str">
        <f>IF(K599=0.2,"CASA","")</f>
        <v/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" customHeight="1" x14ac:dyDescent="0.2">
      <c r="A600" s="5" t="str">
        <f>IF(AND(B600="",ISNUMBER(B601)),CHOOSE(MONTH(B601),"GENNAIO","FEBBRAIO","MARZO","APRILE","MAGGIO","GIUGNO","LUGLIO","AGOSTO","SETTEMBRE","OTTOBRE","NOVEMBRE","DICEMBRE")&amp;" "&amp;YEAR(B601),"")</f>
        <v/>
      </c>
      <c r="B600" s="11"/>
      <c r="C600" s="12"/>
      <c r="D600" s="12" t="str">
        <f>IF(C600="","",C600-IF(C599&lt;&gt;"",C599,IF(C598&lt;&gt;"",C598,IF(C597&lt;&gt;"",C597,0))))</f>
        <v/>
      </c>
      <c r="E600" s="12"/>
      <c r="F600" s="12"/>
      <c r="G600" s="9" t="str">
        <f>IF(AND(E600="",F600=""),"",IF(OR(E600&gt;1,F600&gt;1),(F600-E600)/100,F600-E600))</f>
        <v/>
      </c>
      <c r="H600" s="12" t="str">
        <f>IF(G600="","",64*G600)</f>
        <v/>
      </c>
      <c r="I600" s="13"/>
      <c r="J600" s="13" t="str">
        <f>IFERROR(IF(OR(D600="",D600=0),"",I600/D600*100),"")</f>
        <v/>
      </c>
      <c r="K600" s="14"/>
      <c r="L600" s="13" t="str">
        <f>IF(I600="","",I600*K600)</f>
        <v/>
      </c>
      <c r="M600" s="13" t="str">
        <f>IF(B600="","",IFERROR(SUMPRODUCT(ISNUMBER(B$3:B600)*(MONTH(IF(ISNUMBER(B$3:B600),B$3:B600,1))=MONTH(B600))*(YEAR(IF(ISNUMBER(B$3:B600),B$3:B600,1))=YEAR(B600))*IF(ISNUMBER(L$3:L600),L$3:L600,0)),""))</f>
        <v/>
      </c>
      <c r="N600" s="6"/>
      <c r="O600" s="7" t="str">
        <f>IF(AND(B600="",ISNUMBER(B601)),CHOOSE(MONTH(B601),"GENNAIO","FEBBRAIO","MARZO","APRILE","MAGGIO","GIUGNO","LUGLIO","AGOSTO","SETTEMBRE","OTTOBRE","NOVEMBRE","DICEMBRE")&amp;" "&amp;YEAR(B601),"")</f>
        <v/>
      </c>
      <c r="P600" s="12" t="str">
        <f>IF(K600=0.2,"CASA","")</f>
        <v/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" customHeight="1" x14ac:dyDescent="0.2">
      <c r="A601" s="5" t="str">
        <f>IF(AND(B601="",ISNUMBER(B602)),CHOOSE(MONTH(B602),"GENNAIO","FEBBRAIO","MARZO","APRILE","MAGGIO","GIUGNO","LUGLIO","AGOSTO","SETTEMBRE","OTTOBRE","NOVEMBRE","DICEMBRE")&amp;" "&amp;YEAR(B602),"")</f>
        <v/>
      </c>
      <c r="B601" s="11"/>
      <c r="C601" s="12"/>
      <c r="D601" s="12" t="str">
        <f>IF(C601="","",C601-IF(C600&lt;&gt;"",C600,IF(C599&lt;&gt;"",C599,IF(C598&lt;&gt;"",C598,0))))</f>
        <v/>
      </c>
      <c r="E601" s="12"/>
      <c r="F601" s="12"/>
      <c r="G601" s="9" t="str">
        <f>IF(AND(E601="",F601=""),"",IF(OR(E601&gt;1,F601&gt;1),(F601-E601)/100,F601-E601))</f>
        <v/>
      </c>
      <c r="H601" s="12" t="str">
        <f>IF(G601="","",64*G601)</f>
        <v/>
      </c>
      <c r="I601" s="13"/>
      <c r="J601" s="13" t="str">
        <f>IFERROR(IF(OR(D601="",D601=0),"",I601/D601*100),"")</f>
        <v/>
      </c>
      <c r="K601" s="14"/>
      <c r="L601" s="13" t="str">
        <f>IF(I601="","",I601*K601)</f>
        <v/>
      </c>
      <c r="M601" s="13" t="str">
        <f>IF(B601="","",IFERROR(SUMPRODUCT(ISNUMBER(B$3:B601)*(MONTH(IF(ISNUMBER(B$3:B601),B$3:B601,1))=MONTH(B601))*(YEAR(IF(ISNUMBER(B$3:B601),B$3:B601,1))=YEAR(B601))*IF(ISNUMBER(L$3:L601),L$3:L601,0)),""))</f>
        <v/>
      </c>
      <c r="N601" s="6"/>
      <c r="O601" s="7" t="str">
        <f>IF(AND(B601="",ISNUMBER(B602)),CHOOSE(MONTH(B602),"GENNAIO","FEBBRAIO","MARZO","APRILE","MAGGIO","GIUGNO","LUGLIO","AGOSTO","SETTEMBRE","OTTOBRE","NOVEMBRE","DICEMBRE")&amp;" "&amp;YEAR(B602),"")</f>
        <v/>
      </c>
      <c r="P601" s="12" t="str">
        <f>IF(K601=0.2,"CASA","")</f>
        <v/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" customHeight="1" x14ac:dyDescent="0.2">
      <c r="A602" s="5" t="str">
        <f>IF(AND(B602="",ISNUMBER(B603)),CHOOSE(MONTH(B603),"GENNAIO","FEBBRAIO","MARZO","APRILE","MAGGIO","GIUGNO","LUGLIO","AGOSTO","SETTEMBRE","OTTOBRE","NOVEMBRE","DICEMBRE")&amp;" "&amp;YEAR(B603),"")</f>
        <v/>
      </c>
      <c r="B602" s="11"/>
      <c r="C602" s="12"/>
      <c r="D602" s="12" t="str">
        <f>IF(C602="","",C602-IF(C601&lt;&gt;"",C601,IF(C600&lt;&gt;"",C600,IF(C599&lt;&gt;"",C599,0))))</f>
        <v/>
      </c>
      <c r="E602" s="12"/>
      <c r="F602" s="12"/>
      <c r="G602" s="9" t="str">
        <f>IF(AND(E602="",F602=""),"",IF(OR(E602&gt;1,F602&gt;1),(F602-E602)/100,F602-E602))</f>
        <v/>
      </c>
      <c r="H602" s="12" t="str">
        <f>IF(G602="","",64*G602)</f>
        <v/>
      </c>
      <c r="I602" s="13"/>
      <c r="J602" s="13" t="str">
        <f>IFERROR(IF(OR(D602="",D602=0),"",I602/D602*100),"")</f>
        <v/>
      </c>
      <c r="K602" s="14"/>
      <c r="L602" s="13" t="str">
        <f>IF(I602="","",I602*K602)</f>
        <v/>
      </c>
      <c r="M602" s="13" t="str">
        <f>IF(B602="","",IFERROR(SUMPRODUCT(ISNUMBER(B$3:B602)*(MONTH(IF(ISNUMBER(B$3:B602),B$3:B602,1))=MONTH(B602))*(YEAR(IF(ISNUMBER(B$3:B602),B$3:B602,1))=YEAR(B602))*IF(ISNUMBER(L$3:L602),L$3:L602,0)),""))</f>
        <v/>
      </c>
      <c r="N602" s="6"/>
      <c r="O602" s="7" t="str">
        <f>IF(AND(B602="",ISNUMBER(B603)),CHOOSE(MONTH(B603),"GENNAIO","FEBBRAIO","MARZO","APRILE","MAGGIO","GIUGNO","LUGLIO","AGOSTO","SETTEMBRE","OTTOBRE","NOVEMBRE","DICEMBRE")&amp;" "&amp;YEAR(B603),"")</f>
        <v/>
      </c>
      <c r="P602" s="12" t="str">
        <f>IF(K602=0.2,"CASA","")</f>
        <v/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" customHeight="1" x14ac:dyDescent="0.2">
      <c r="A603" s="5" t="str">
        <f>IF(AND(B603="",ISNUMBER(B604)),CHOOSE(MONTH(B604),"GENNAIO","FEBBRAIO","MARZO","APRILE","MAGGIO","GIUGNO","LUGLIO","AGOSTO","SETTEMBRE","OTTOBRE","NOVEMBRE","DICEMBRE")&amp;" "&amp;YEAR(B604),"")</f>
        <v/>
      </c>
      <c r="B603" s="11"/>
      <c r="C603" s="12"/>
      <c r="D603" s="12" t="str">
        <f>IF(C603="","",C603-IF(C602&lt;&gt;"",C602,IF(C601&lt;&gt;"",C601,IF(C600&lt;&gt;"",C600,0))))</f>
        <v/>
      </c>
      <c r="E603" s="12"/>
      <c r="F603" s="12"/>
      <c r="G603" s="9" t="str">
        <f>IF(AND(E603="",F603=""),"",IF(OR(E603&gt;1,F603&gt;1),(F603-E603)/100,F603-E603))</f>
        <v/>
      </c>
      <c r="H603" s="12" t="str">
        <f>IF(G603="","",64*G603)</f>
        <v/>
      </c>
      <c r="I603" s="13"/>
      <c r="J603" s="13" t="str">
        <f>IFERROR(IF(OR(D603="",D603=0),"",I603/D603*100),"")</f>
        <v/>
      </c>
      <c r="K603" s="14"/>
      <c r="L603" s="13" t="str">
        <f>IF(I603="","",I603*K603)</f>
        <v/>
      </c>
      <c r="M603" s="13" t="str">
        <f>IF(B603="","",IFERROR(SUMPRODUCT(ISNUMBER(B$3:B603)*(MONTH(IF(ISNUMBER(B$3:B603),B$3:B603,1))=MONTH(B603))*(YEAR(IF(ISNUMBER(B$3:B603),B$3:B603,1))=YEAR(B603))*IF(ISNUMBER(L$3:L603),L$3:L603,0)),""))</f>
        <v/>
      </c>
      <c r="N603" s="6"/>
      <c r="O603" s="7" t="str">
        <f>IF(AND(B603="",ISNUMBER(B604)),CHOOSE(MONTH(B604),"GENNAIO","FEBBRAIO","MARZO","APRILE","MAGGIO","GIUGNO","LUGLIO","AGOSTO","SETTEMBRE","OTTOBRE","NOVEMBRE","DICEMBRE")&amp;" "&amp;YEAR(B604),"")</f>
        <v/>
      </c>
      <c r="P603" s="12" t="str">
        <f>IF(K603=0.2,"CASA","")</f>
        <v/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" customHeight="1" x14ac:dyDescent="0.2">
      <c r="A604" s="5" t="str">
        <f>IF(AND(B604="",ISNUMBER(B605)),CHOOSE(MONTH(B605),"GENNAIO","FEBBRAIO","MARZO","APRILE","MAGGIO","GIUGNO","LUGLIO","AGOSTO","SETTEMBRE","OTTOBRE","NOVEMBRE","DICEMBRE")&amp;" "&amp;YEAR(B605),"")</f>
        <v/>
      </c>
      <c r="B604" s="11"/>
      <c r="C604" s="12"/>
      <c r="D604" s="12" t="str">
        <f>IF(C604="","",C604-IF(C603&lt;&gt;"",C603,IF(C602&lt;&gt;"",C602,IF(C601&lt;&gt;"",C601,0))))</f>
        <v/>
      </c>
      <c r="E604" s="12"/>
      <c r="F604" s="12"/>
      <c r="G604" s="9" t="str">
        <f>IF(AND(E604="",F604=""),"",IF(OR(E604&gt;1,F604&gt;1),(F604-E604)/100,F604-E604))</f>
        <v/>
      </c>
      <c r="H604" s="12" t="str">
        <f>IF(G604="","",64*G604)</f>
        <v/>
      </c>
      <c r="I604" s="13"/>
      <c r="J604" s="13" t="str">
        <f>IFERROR(IF(OR(D604="",D604=0),"",I604/D604*100),"")</f>
        <v/>
      </c>
      <c r="K604" s="14"/>
      <c r="L604" s="13" t="str">
        <f>IF(I604="","",I604*K604)</f>
        <v/>
      </c>
      <c r="M604" s="13" t="str">
        <f>IF(B604="","",IFERROR(SUMPRODUCT(ISNUMBER(B$3:B604)*(MONTH(IF(ISNUMBER(B$3:B604),B$3:B604,1))=MONTH(B604))*(YEAR(IF(ISNUMBER(B$3:B604),B$3:B604,1))=YEAR(B604))*IF(ISNUMBER(L$3:L604),L$3:L604,0)),""))</f>
        <v/>
      </c>
      <c r="N604" s="6"/>
      <c r="O604" s="7" t="str">
        <f>IF(AND(B604="",ISNUMBER(B605)),CHOOSE(MONTH(B605),"GENNAIO","FEBBRAIO","MARZO","APRILE","MAGGIO","GIUGNO","LUGLIO","AGOSTO","SETTEMBRE","OTTOBRE","NOVEMBRE","DICEMBRE")&amp;" "&amp;YEAR(B605),"")</f>
        <v/>
      </c>
      <c r="P604" s="12" t="str">
        <f>IF(K604=0.2,"CASA","")</f>
        <v/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" customHeight="1" x14ac:dyDescent="0.2">
      <c r="A605" s="5" t="str">
        <f>IF(AND(B605="",ISNUMBER(B606)),CHOOSE(MONTH(B606),"GENNAIO","FEBBRAIO","MARZO","APRILE","MAGGIO","GIUGNO","LUGLIO","AGOSTO","SETTEMBRE","OTTOBRE","NOVEMBRE","DICEMBRE")&amp;" "&amp;YEAR(B606),"")</f>
        <v/>
      </c>
      <c r="B605" s="11"/>
      <c r="C605" s="12"/>
      <c r="D605" s="12" t="str">
        <f>IF(C605="","",C605-IF(C604&lt;&gt;"",C604,IF(C603&lt;&gt;"",C603,IF(C602&lt;&gt;"",C602,0))))</f>
        <v/>
      </c>
      <c r="E605" s="12"/>
      <c r="F605" s="12"/>
      <c r="G605" s="9" t="str">
        <f>IF(AND(E605="",F605=""),"",IF(OR(E605&gt;1,F605&gt;1),(F605-E605)/100,F605-E605))</f>
        <v/>
      </c>
      <c r="H605" s="12" t="str">
        <f>IF(G605="","",64*G605)</f>
        <v/>
      </c>
      <c r="I605" s="13"/>
      <c r="J605" s="13" t="str">
        <f>IFERROR(IF(OR(D605="",D605=0),"",I605/D605*100),"")</f>
        <v/>
      </c>
      <c r="K605" s="14"/>
      <c r="L605" s="13" t="str">
        <f>IF(I605="","",I605*K605)</f>
        <v/>
      </c>
      <c r="M605" s="13" t="str">
        <f>IF(B605="","",IFERROR(SUMPRODUCT(ISNUMBER(B$3:B605)*(MONTH(IF(ISNUMBER(B$3:B605),B$3:B605,1))=MONTH(B605))*(YEAR(IF(ISNUMBER(B$3:B605),B$3:B605,1))=YEAR(B605))*IF(ISNUMBER(L$3:L605),L$3:L605,0)),""))</f>
        <v/>
      </c>
      <c r="N605" s="6"/>
      <c r="O605" s="7" t="str">
        <f>IF(AND(B605="",ISNUMBER(B606)),CHOOSE(MONTH(B606),"GENNAIO","FEBBRAIO","MARZO","APRILE","MAGGIO","GIUGNO","LUGLIO","AGOSTO","SETTEMBRE","OTTOBRE","NOVEMBRE","DICEMBRE")&amp;" "&amp;YEAR(B606),"")</f>
        <v/>
      </c>
      <c r="P605" s="12" t="str">
        <f>IF(K605=0.2,"CASA","")</f>
        <v/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" customHeight="1" x14ac:dyDescent="0.2">
      <c r="A606" s="5" t="str">
        <f>IF(AND(B606="",ISNUMBER(B607)),CHOOSE(MONTH(B607),"GENNAIO","FEBBRAIO","MARZO","APRILE","MAGGIO","GIUGNO","LUGLIO","AGOSTO","SETTEMBRE","OTTOBRE","NOVEMBRE","DICEMBRE")&amp;" "&amp;YEAR(B607),"")</f>
        <v/>
      </c>
      <c r="B606" s="11"/>
      <c r="C606" s="12"/>
      <c r="D606" s="12" t="str">
        <f>IF(C606="","",C606-IF(C605&lt;&gt;"",C605,IF(C604&lt;&gt;"",C604,IF(C603&lt;&gt;"",C603,0))))</f>
        <v/>
      </c>
      <c r="E606" s="12"/>
      <c r="F606" s="12"/>
      <c r="G606" s="9" t="str">
        <f>IF(AND(E606="",F606=""),"",IF(OR(E606&gt;1,F606&gt;1),(F606-E606)/100,F606-E606))</f>
        <v/>
      </c>
      <c r="H606" s="12" t="str">
        <f>IF(G606="","",64*G606)</f>
        <v/>
      </c>
      <c r="I606" s="13"/>
      <c r="J606" s="13" t="str">
        <f>IFERROR(IF(OR(D606="",D606=0),"",I606/D606*100),"")</f>
        <v/>
      </c>
      <c r="K606" s="14"/>
      <c r="L606" s="13" t="str">
        <f>IF(I606="","",I606*K606)</f>
        <v/>
      </c>
      <c r="M606" s="13" t="str">
        <f>IF(B606="","",IFERROR(SUMPRODUCT(ISNUMBER(B$3:B606)*(MONTH(IF(ISNUMBER(B$3:B606),B$3:B606,1))=MONTH(B606))*(YEAR(IF(ISNUMBER(B$3:B606),B$3:B606,1))=YEAR(B606))*IF(ISNUMBER(L$3:L606),L$3:L606,0)),""))</f>
        <v/>
      </c>
      <c r="N606" s="6"/>
      <c r="O606" s="7" t="str">
        <f>IF(AND(B606="",ISNUMBER(B607)),CHOOSE(MONTH(B607),"GENNAIO","FEBBRAIO","MARZO","APRILE","MAGGIO","GIUGNO","LUGLIO","AGOSTO","SETTEMBRE","OTTOBRE","NOVEMBRE","DICEMBRE")&amp;" "&amp;YEAR(B607),"")</f>
        <v/>
      </c>
      <c r="P606" s="12" t="str">
        <f>IF(K606=0.2,"CASA","")</f>
        <v/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" customHeight="1" x14ac:dyDescent="0.2">
      <c r="A607" s="5" t="str">
        <f>IF(AND(B607="",ISNUMBER(B608)),CHOOSE(MONTH(B608),"GENNAIO","FEBBRAIO","MARZO","APRILE","MAGGIO","GIUGNO","LUGLIO","AGOSTO","SETTEMBRE","OTTOBRE","NOVEMBRE","DICEMBRE")&amp;" "&amp;YEAR(B608),"")</f>
        <v/>
      </c>
      <c r="B607" s="11"/>
      <c r="C607" s="12"/>
      <c r="D607" s="12" t="str">
        <f>IF(C607="","",C607-IF(C606&lt;&gt;"",C606,IF(C605&lt;&gt;"",C605,IF(C604&lt;&gt;"",C604,0))))</f>
        <v/>
      </c>
      <c r="E607" s="12"/>
      <c r="F607" s="12"/>
      <c r="G607" s="9" t="str">
        <f>IF(AND(E607="",F607=""),"",IF(OR(E607&gt;1,F607&gt;1),(F607-E607)/100,F607-E607))</f>
        <v/>
      </c>
      <c r="H607" s="12" t="str">
        <f>IF(G607="","",64*G607)</f>
        <v/>
      </c>
      <c r="I607" s="13"/>
      <c r="J607" s="13" t="str">
        <f>IFERROR(IF(OR(D607="",D607=0),"",I607/D607*100),"")</f>
        <v/>
      </c>
      <c r="K607" s="14"/>
      <c r="L607" s="13" t="str">
        <f>IF(I607="","",I607*K607)</f>
        <v/>
      </c>
      <c r="M607" s="13" t="str">
        <f>IF(B607="","",IFERROR(SUMPRODUCT(ISNUMBER(B$3:B607)*(MONTH(IF(ISNUMBER(B$3:B607),B$3:B607,1))=MONTH(B607))*(YEAR(IF(ISNUMBER(B$3:B607),B$3:B607,1))=YEAR(B607))*IF(ISNUMBER(L$3:L607),L$3:L607,0)),""))</f>
        <v/>
      </c>
      <c r="N607" s="6"/>
      <c r="O607" s="7" t="str">
        <f>IF(AND(B607="",ISNUMBER(B608)),CHOOSE(MONTH(B608),"GENNAIO","FEBBRAIO","MARZO","APRILE","MAGGIO","GIUGNO","LUGLIO","AGOSTO","SETTEMBRE","OTTOBRE","NOVEMBRE","DICEMBRE")&amp;" "&amp;YEAR(B608),"")</f>
        <v/>
      </c>
      <c r="P607" s="12" t="str">
        <f>IF(K607=0.2,"CASA","")</f>
        <v/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" customHeight="1" x14ac:dyDescent="0.2">
      <c r="A608" s="5" t="str">
        <f>IF(AND(B608="",ISNUMBER(B609)),CHOOSE(MONTH(B609),"GENNAIO","FEBBRAIO","MARZO","APRILE","MAGGIO","GIUGNO","LUGLIO","AGOSTO","SETTEMBRE","OTTOBRE","NOVEMBRE","DICEMBRE")&amp;" "&amp;YEAR(B609),"")</f>
        <v/>
      </c>
      <c r="B608" s="11"/>
      <c r="C608" s="12"/>
      <c r="D608" s="12" t="str">
        <f>IF(C608="","",C608-IF(C607&lt;&gt;"",C607,IF(C606&lt;&gt;"",C606,IF(C605&lt;&gt;"",C605,0))))</f>
        <v/>
      </c>
      <c r="E608" s="12"/>
      <c r="F608" s="12"/>
      <c r="G608" s="9" t="str">
        <f>IF(AND(E608="",F608=""),"",IF(OR(E608&gt;1,F608&gt;1),(F608-E608)/100,F608-E608))</f>
        <v/>
      </c>
      <c r="H608" s="12" t="str">
        <f>IF(G608="","",64*G608)</f>
        <v/>
      </c>
      <c r="I608" s="13"/>
      <c r="J608" s="13" t="str">
        <f>IFERROR(IF(OR(D608="",D608=0),"",I608/D608*100),"")</f>
        <v/>
      </c>
      <c r="K608" s="14"/>
      <c r="L608" s="13" t="str">
        <f>IF(I608="","",I608*K608)</f>
        <v/>
      </c>
      <c r="M608" s="13" t="str">
        <f>IF(B608="","",IFERROR(SUMPRODUCT(ISNUMBER(B$3:B608)*(MONTH(IF(ISNUMBER(B$3:B608),B$3:B608,1))=MONTH(B608))*(YEAR(IF(ISNUMBER(B$3:B608),B$3:B608,1))=YEAR(B608))*IF(ISNUMBER(L$3:L608),L$3:L608,0)),""))</f>
        <v/>
      </c>
      <c r="N608" s="6"/>
      <c r="O608" s="7" t="str">
        <f>IF(AND(B608="",ISNUMBER(B609)),CHOOSE(MONTH(B609),"GENNAIO","FEBBRAIO","MARZO","APRILE","MAGGIO","GIUGNO","LUGLIO","AGOSTO","SETTEMBRE","OTTOBRE","NOVEMBRE","DICEMBRE")&amp;" "&amp;YEAR(B609),"")</f>
        <v/>
      </c>
      <c r="P608" s="12" t="str">
        <f>IF(K608=0.2,"CASA","")</f>
        <v/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" customHeight="1" x14ac:dyDescent="0.2">
      <c r="A609" s="5" t="str">
        <f>IF(AND(B609="",ISNUMBER(B610)),CHOOSE(MONTH(B610),"GENNAIO","FEBBRAIO","MARZO","APRILE","MAGGIO","GIUGNO","LUGLIO","AGOSTO","SETTEMBRE","OTTOBRE","NOVEMBRE","DICEMBRE")&amp;" "&amp;YEAR(B610),"")</f>
        <v/>
      </c>
      <c r="B609" s="11"/>
      <c r="C609" s="12"/>
      <c r="D609" s="12" t="str">
        <f>IF(C609="","",C609-IF(C608&lt;&gt;"",C608,IF(C607&lt;&gt;"",C607,IF(C606&lt;&gt;"",C606,0))))</f>
        <v/>
      </c>
      <c r="E609" s="12"/>
      <c r="F609" s="12"/>
      <c r="G609" s="9" t="str">
        <f>IF(AND(E609="",F609=""),"",IF(OR(E609&gt;1,F609&gt;1),(F609-E609)/100,F609-E609))</f>
        <v/>
      </c>
      <c r="H609" s="12" t="str">
        <f>IF(G609="","",64*G609)</f>
        <v/>
      </c>
      <c r="I609" s="13"/>
      <c r="J609" s="13" t="str">
        <f>IFERROR(IF(OR(D609="",D609=0),"",I609/D609*100),"")</f>
        <v/>
      </c>
      <c r="K609" s="14"/>
      <c r="L609" s="13" t="str">
        <f>IF(I609="","",I609*K609)</f>
        <v/>
      </c>
      <c r="M609" s="13" t="str">
        <f>IF(B609="","",IFERROR(SUMPRODUCT(ISNUMBER(B$3:B609)*(MONTH(IF(ISNUMBER(B$3:B609),B$3:B609,1))=MONTH(B609))*(YEAR(IF(ISNUMBER(B$3:B609),B$3:B609,1))=YEAR(B609))*IF(ISNUMBER(L$3:L609),L$3:L609,0)),""))</f>
        <v/>
      </c>
      <c r="N609" s="6"/>
      <c r="O609" s="7" t="str">
        <f>IF(AND(B609="",ISNUMBER(B610)),CHOOSE(MONTH(B610),"GENNAIO","FEBBRAIO","MARZO","APRILE","MAGGIO","GIUGNO","LUGLIO","AGOSTO","SETTEMBRE","OTTOBRE","NOVEMBRE","DICEMBRE")&amp;" "&amp;YEAR(B610),"")</f>
        <v/>
      </c>
      <c r="P609" s="12" t="str">
        <f>IF(K609=0.2,"CASA","")</f>
        <v/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" customHeight="1" x14ac:dyDescent="0.2">
      <c r="A610" s="5" t="str">
        <f>IF(AND(B610="",ISNUMBER(B611)),CHOOSE(MONTH(B611),"GENNAIO","FEBBRAIO","MARZO","APRILE","MAGGIO","GIUGNO","LUGLIO","AGOSTO","SETTEMBRE","OTTOBRE","NOVEMBRE","DICEMBRE")&amp;" "&amp;YEAR(B611),"")</f>
        <v/>
      </c>
      <c r="B610" s="11"/>
      <c r="C610" s="12"/>
      <c r="D610" s="12" t="str">
        <f>IF(C610="","",C610-IF(C609&lt;&gt;"",C609,IF(C608&lt;&gt;"",C608,IF(C607&lt;&gt;"",C607,0))))</f>
        <v/>
      </c>
      <c r="E610" s="12"/>
      <c r="F610" s="12"/>
      <c r="G610" s="9" t="str">
        <f>IF(AND(E610="",F610=""),"",IF(OR(E610&gt;1,F610&gt;1),(F610-E610)/100,F610-E610))</f>
        <v/>
      </c>
      <c r="H610" s="12" t="str">
        <f>IF(G610="","",64*G610)</f>
        <v/>
      </c>
      <c r="I610" s="13"/>
      <c r="J610" s="13" t="str">
        <f>IFERROR(IF(OR(D610="",D610=0),"",I610/D610*100),"")</f>
        <v/>
      </c>
      <c r="K610" s="14"/>
      <c r="L610" s="13" t="str">
        <f>IF(I610="","",I610*K610)</f>
        <v/>
      </c>
      <c r="M610" s="13" t="str">
        <f>IF(B610="","",IFERROR(SUMPRODUCT(ISNUMBER(B$3:B610)*(MONTH(IF(ISNUMBER(B$3:B610),B$3:B610,1))=MONTH(B610))*(YEAR(IF(ISNUMBER(B$3:B610),B$3:B610,1))=YEAR(B610))*IF(ISNUMBER(L$3:L610),L$3:L610,0)),""))</f>
        <v/>
      </c>
      <c r="N610" s="6"/>
      <c r="O610" s="7" t="str">
        <f>IF(AND(B610="",ISNUMBER(B611)),CHOOSE(MONTH(B611),"GENNAIO","FEBBRAIO","MARZO","APRILE","MAGGIO","GIUGNO","LUGLIO","AGOSTO","SETTEMBRE","OTTOBRE","NOVEMBRE","DICEMBRE")&amp;" "&amp;YEAR(B611),"")</f>
        <v/>
      </c>
      <c r="P610" s="12" t="str">
        <f>IF(K610=0.2,"CASA","")</f>
        <v/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" customHeight="1" x14ac:dyDescent="0.2">
      <c r="A611" s="5" t="str">
        <f>IF(AND(B611="",ISNUMBER(B612)),CHOOSE(MONTH(B612),"GENNAIO","FEBBRAIO","MARZO","APRILE","MAGGIO","GIUGNO","LUGLIO","AGOSTO","SETTEMBRE","OTTOBRE","NOVEMBRE","DICEMBRE")&amp;" "&amp;YEAR(B612),"")</f>
        <v/>
      </c>
      <c r="B611" s="11"/>
      <c r="C611" s="12"/>
      <c r="D611" s="12" t="str">
        <f>IF(C611="","",C611-IF(C610&lt;&gt;"",C610,IF(C609&lt;&gt;"",C609,IF(C608&lt;&gt;"",C608,0))))</f>
        <v/>
      </c>
      <c r="E611" s="12"/>
      <c r="F611" s="12"/>
      <c r="G611" s="9" t="str">
        <f>IF(AND(E611="",F611=""),"",IF(OR(E611&gt;1,F611&gt;1),(F611-E611)/100,F611-E611))</f>
        <v/>
      </c>
      <c r="H611" s="12" t="str">
        <f>IF(G611="","",64*G611)</f>
        <v/>
      </c>
      <c r="I611" s="13"/>
      <c r="J611" s="13" t="str">
        <f>IFERROR(IF(OR(D611="",D611=0),"",I611/D611*100),"")</f>
        <v/>
      </c>
      <c r="K611" s="14"/>
      <c r="L611" s="13" t="str">
        <f>IF(I611="","",I611*K611)</f>
        <v/>
      </c>
      <c r="M611" s="13" t="str">
        <f>IF(B611="","",IFERROR(SUMPRODUCT(ISNUMBER(B$3:B611)*(MONTH(IF(ISNUMBER(B$3:B611),B$3:B611,1))=MONTH(B611))*(YEAR(IF(ISNUMBER(B$3:B611),B$3:B611,1))=YEAR(B611))*IF(ISNUMBER(L$3:L611),L$3:L611,0)),""))</f>
        <v/>
      </c>
      <c r="N611" s="6"/>
      <c r="O611" s="7" t="str">
        <f>IF(AND(B611="",ISNUMBER(B612)),CHOOSE(MONTH(B612),"GENNAIO","FEBBRAIO","MARZO","APRILE","MAGGIO","GIUGNO","LUGLIO","AGOSTO","SETTEMBRE","OTTOBRE","NOVEMBRE","DICEMBRE")&amp;" "&amp;YEAR(B612),"")</f>
        <v/>
      </c>
      <c r="P611" s="12" t="str">
        <f>IF(K611=0.2,"CASA","")</f>
        <v/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" customHeight="1" x14ac:dyDescent="0.2">
      <c r="A612" s="5" t="str">
        <f>IF(AND(B612="",ISNUMBER(B613)),CHOOSE(MONTH(B613),"GENNAIO","FEBBRAIO","MARZO","APRILE","MAGGIO","GIUGNO","LUGLIO","AGOSTO","SETTEMBRE","OTTOBRE","NOVEMBRE","DICEMBRE")&amp;" "&amp;YEAR(B613),"")</f>
        <v/>
      </c>
      <c r="B612" s="11"/>
      <c r="C612" s="12"/>
      <c r="D612" s="12" t="str">
        <f>IF(C612="","",C612-IF(C611&lt;&gt;"",C611,IF(C610&lt;&gt;"",C610,IF(C609&lt;&gt;"",C609,0))))</f>
        <v/>
      </c>
      <c r="E612" s="12"/>
      <c r="F612" s="12"/>
      <c r="G612" s="9" t="str">
        <f>IF(AND(E612="",F612=""),"",IF(OR(E612&gt;1,F612&gt;1),(F612-E612)/100,F612-E612))</f>
        <v/>
      </c>
      <c r="H612" s="12" t="str">
        <f>IF(G612="","",64*G612)</f>
        <v/>
      </c>
      <c r="I612" s="13"/>
      <c r="J612" s="13" t="str">
        <f>IFERROR(IF(OR(D612="",D612=0),"",I612/D612*100),"")</f>
        <v/>
      </c>
      <c r="K612" s="14"/>
      <c r="L612" s="13" t="str">
        <f>IF(I612="","",I612*K612)</f>
        <v/>
      </c>
      <c r="M612" s="13" t="str">
        <f>IF(B612="","",IFERROR(SUMPRODUCT(ISNUMBER(B$3:B612)*(MONTH(IF(ISNUMBER(B$3:B612),B$3:B612,1))=MONTH(B612))*(YEAR(IF(ISNUMBER(B$3:B612),B$3:B612,1))=YEAR(B612))*IF(ISNUMBER(L$3:L612),L$3:L612,0)),""))</f>
        <v/>
      </c>
      <c r="N612" s="6"/>
      <c r="O612" s="7" t="str">
        <f>IF(AND(B612="",ISNUMBER(B613)),CHOOSE(MONTH(B613),"GENNAIO","FEBBRAIO","MARZO","APRILE","MAGGIO","GIUGNO","LUGLIO","AGOSTO","SETTEMBRE","OTTOBRE","NOVEMBRE","DICEMBRE")&amp;" "&amp;YEAR(B613),"")</f>
        <v/>
      </c>
      <c r="P612" s="12" t="str">
        <f>IF(K612=0.2,"CASA","")</f>
        <v/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" customHeight="1" x14ac:dyDescent="0.2">
      <c r="A613" s="5" t="str">
        <f>IF(AND(B613="",ISNUMBER(B614)),CHOOSE(MONTH(B614),"GENNAIO","FEBBRAIO","MARZO","APRILE","MAGGIO","GIUGNO","LUGLIO","AGOSTO","SETTEMBRE","OTTOBRE","NOVEMBRE","DICEMBRE")&amp;" "&amp;YEAR(B614),"")</f>
        <v/>
      </c>
      <c r="B613" s="11"/>
      <c r="C613" s="12"/>
      <c r="D613" s="12" t="str">
        <f>IF(C613="","",C613-IF(C612&lt;&gt;"",C612,IF(C611&lt;&gt;"",C611,IF(C610&lt;&gt;"",C610,0))))</f>
        <v/>
      </c>
      <c r="E613" s="12"/>
      <c r="F613" s="12"/>
      <c r="G613" s="9" t="str">
        <f>IF(AND(E613="",F613=""),"",IF(OR(E613&gt;1,F613&gt;1),(F613-E613)/100,F613-E613))</f>
        <v/>
      </c>
      <c r="H613" s="12" t="str">
        <f>IF(G613="","",64*G613)</f>
        <v/>
      </c>
      <c r="I613" s="13"/>
      <c r="J613" s="13" t="str">
        <f>IFERROR(IF(OR(D613="",D613=0),"",I613/D613*100),"")</f>
        <v/>
      </c>
      <c r="K613" s="14"/>
      <c r="L613" s="13" t="str">
        <f>IF(I613="","",I613*K613)</f>
        <v/>
      </c>
      <c r="M613" s="13" t="str">
        <f>IF(B613="","",IFERROR(SUMPRODUCT(ISNUMBER(B$3:B613)*(MONTH(IF(ISNUMBER(B$3:B613),B$3:B613,1))=MONTH(B613))*(YEAR(IF(ISNUMBER(B$3:B613),B$3:B613,1))=YEAR(B613))*IF(ISNUMBER(L$3:L613),L$3:L613,0)),""))</f>
        <v/>
      </c>
      <c r="N613" s="6"/>
      <c r="O613" s="7" t="str">
        <f>IF(AND(B613="",ISNUMBER(B614)),CHOOSE(MONTH(B614),"GENNAIO","FEBBRAIO","MARZO","APRILE","MAGGIO","GIUGNO","LUGLIO","AGOSTO","SETTEMBRE","OTTOBRE","NOVEMBRE","DICEMBRE")&amp;" "&amp;YEAR(B614),"")</f>
        <v/>
      </c>
      <c r="P613" s="12" t="str">
        <f>IF(K613=0.2,"CASA","")</f>
        <v/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" customHeight="1" x14ac:dyDescent="0.2">
      <c r="A614" s="5" t="str">
        <f>IF(AND(B614="",ISNUMBER(B615)),CHOOSE(MONTH(B615),"GENNAIO","FEBBRAIO","MARZO","APRILE","MAGGIO","GIUGNO","LUGLIO","AGOSTO","SETTEMBRE","OTTOBRE","NOVEMBRE","DICEMBRE")&amp;" "&amp;YEAR(B615),"")</f>
        <v/>
      </c>
      <c r="B614" s="11"/>
      <c r="C614" s="12"/>
      <c r="D614" s="12" t="str">
        <f>IF(C614="","",C614-IF(C613&lt;&gt;"",C613,IF(C612&lt;&gt;"",C612,IF(C611&lt;&gt;"",C611,0))))</f>
        <v/>
      </c>
      <c r="E614" s="12"/>
      <c r="F614" s="12"/>
      <c r="G614" s="9" t="str">
        <f>IF(AND(E614="",F614=""),"",IF(OR(E614&gt;1,F614&gt;1),(F614-E614)/100,F614-E614))</f>
        <v/>
      </c>
      <c r="H614" s="12" t="str">
        <f>IF(G614="","",64*G614)</f>
        <v/>
      </c>
      <c r="I614" s="13"/>
      <c r="J614" s="13" t="str">
        <f>IFERROR(IF(OR(D614="",D614=0),"",I614/D614*100),"")</f>
        <v/>
      </c>
      <c r="K614" s="14"/>
      <c r="L614" s="13" t="str">
        <f>IF(I614="","",I614*K614)</f>
        <v/>
      </c>
      <c r="M614" s="13" t="str">
        <f>IF(B614="","",IFERROR(SUMPRODUCT(ISNUMBER(B$3:B614)*(MONTH(IF(ISNUMBER(B$3:B614),B$3:B614,1))=MONTH(B614))*(YEAR(IF(ISNUMBER(B$3:B614),B$3:B614,1))=YEAR(B614))*IF(ISNUMBER(L$3:L614),L$3:L614,0)),""))</f>
        <v/>
      </c>
      <c r="N614" s="6"/>
      <c r="O614" s="7" t="str">
        <f>IF(AND(B614="",ISNUMBER(B615)),CHOOSE(MONTH(B615),"GENNAIO","FEBBRAIO","MARZO","APRILE","MAGGIO","GIUGNO","LUGLIO","AGOSTO","SETTEMBRE","OTTOBRE","NOVEMBRE","DICEMBRE")&amp;" "&amp;YEAR(B615),"")</f>
        <v/>
      </c>
      <c r="P614" s="12" t="str">
        <f>IF(K614=0.2,"CASA","")</f>
        <v/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" customHeight="1" x14ac:dyDescent="0.2">
      <c r="A615" s="5" t="str">
        <f>IF(AND(B615="",ISNUMBER(B616)),CHOOSE(MONTH(B616),"GENNAIO","FEBBRAIO","MARZO","APRILE","MAGGIO","GIUGNO","LUGLIO","AGOSTO","SETTEMBRE","OTTOBRE","NOVEMBRE","DICEMBRE")&amp;" "&amp;YEAR(B616),"")</f>
        <v/>
      </c>
      <c r="B615" s="11"/>
      <c r="C615" s="12"/>
      <c r="D615" s="12" t="str">
        <f>IF(C615="","",C615-IF(C614&lt;&gt;"",C614,IF(C613&lt;&gt;"",C613,IF(C612&lt;&gt;"",C612,0))))</f>
        <v/>
      </c>
      <c r="E615" s="12"/>
      <c r="F615" s="12"/>
      <c r="G615" s="9" t="str">
        <f>IF(AND(E615="",F615=""),"",IF(OR(E615&gt;1,F615&gt;1),(F615-E615)/100,F615-E615))</f>
        <v/>
      </c>
      <c r="H615" s="12" t="str">
        <f>IF(G615="","",64*G615)</f>
        <v/>
      </c>
      <c r="I615" s="13"/>
      <c r="J615" s="13" t="str">
        <f>IFERROR(IF(OR(D615="",D615=0),"",I615/D615*100),"")</f>
        <v/>
      </c>
      <c r="K615" s="14"/>
      <c r="L615" s="13" t="str">
        <f>IF(I615="","",I615*K615)</f>
        <v/>
      </c>
      <c r="M615" s="13" t="str">
        <f>IF(B615="","",IFERROR(SUMPRODUCT(ISNUMBER(B$3:B615)*(MONTH(IF(ISNUMBER(B$3:B615),B$3:B615,1))=MONTH(B615))*(YEAR(IF(ISNUMBER(B$3:B615),B$3:B615,1))=YEAR(B615))*IF(ISNUMBER(L$3:L615),L$3:L615,0)),""))</f>
        <v/>
      </c>
      <c r="N615" s="6"/>
      <c r="O615" s="7" t="str">
        <f>IF(AND(B615="",ISNUMBER(B616)),CHOOSE(MONTH(B616),"GENNAIO","FEBBRAIO","MARZO","APRILE","MAGGIO","GIUGNO","LUGLIO","AGOSTO","SETTEMBRE","OTTOBRE","NOVEMBRE","DICEMBRE")&amp;" "&amp;YEAR(B616),"")</f>
        <v/>
      </c>
      <c r="P615" s="12" t="str">
        <f>IF(K615=0.2,"CASA","")</f>
        <v/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" customHeight="1" x14ac:dyDescent="0.2">
      <c r="A616" s="5" t="str">
        <f>IF(AND(B616="",ISNUMBER(B617)),CHOOSE(MONTH(B617),"GENNAIO","FEBBRAIO","MARZO","APRILE","MAGGIO","GIUGNO","LUGLIO","AGOSTO","SETTEMBRE","OTTOBRE","NOVEMBRE","DICEMBRE")&amp;" "&amp;YEAR(B617),"")</f>
        <v/>
      </c>
      <c r="B616" s="11"/>
      <c r="C616" s="12"/>
      <c r="D616" s="12" t="str">
        <f>IF(C616="","",C616-IF(C615&lt;&gt;"",C615,IF(C614&lt;&gt;"",C614,IF(C613&lt;&gt;"",C613,0))))</f>
        <v/>
      </c>
      <c r="E616" s="12"/>
      <c r="F616" s="12"/>
      <c r="G616" s="9" t="str">
        <f>IF(AND(E616="",F616=""),"",IF(OR(E616&gt;1,F616&gt;1),(F616-E616)/100,F616-E616))</f>
        <v/>
      </c>
      <c r="H616" s="12" t="str">
        <f>IF(G616="","",64*G616)</f>
        <v/>
      </c>
      <c r="I616" s="13"/>
      <c r="J616" s="13" t="str">
        <f>IFERROR(IF(OR(D616="",D616=0),"",I616/D616*100),"")</f>
        <v/>
      </c>
      <c r="K616" s="14"/>
      <c r="L616" s="13" t="str">
        <f>IF(I616="","",I616*K616)</f>
        <v/>
      </c>
      <c r="M616" s="13" t="str">
        <f>IF(B616="","",IFERROR(SUMPRODUCT(ISNUMBER(B$3:B616)*(MONTH(IF(ISNUMBER(B$3:B616),B$3:B616,1))=MONTH(B616))*(YEAR(IF(ISNUMBER(B$3:B616),B$3:B616,1))=YEAR(B616))*IF(ISNUMBER(L$3:L616),L$3:L616,0)),""))</f>
        <v/>
      </c>
      <c r="N616" s="6"/>
      <c r="O616" s="7" t="str">
        <f>IF(AND(B616="",ISNUMBER(B617)),CHOOSE(MONTH(B617),"GENNAIO","FEBBRAIO","MARZO","APRILE","MAGGIO","GIUGNO","LUGLIO","AGOSTO","SETTEMBRE","OTTOBRE","NOVEMBRE","DICEMBRE")&amp;" "&amp;YEAR(B617),"")</f>
        <v/>
      </c>
      <c r="P616" s="12" t="str">
        <f>IF(K616=0.2,"CASA","")</f>
        <v/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" customHeight="1" x14ac:dyDescent="0.2">
      <c r="A617" s="5" t="str">
        <f>IF(AND(B617="",ISNUMBER(B618)),CHOOSE(MONTH(B618),"GENNAIO","FEBBRAIO","MARZO","APRILE","MAGGIO","GIUGNO","LUGLIO","AGOSTO","SETTEMBRE","OTTOBRE","NOVEMBRE","DICEMBRE")&amp;" "&amp;YEAR(B618),"")</f>
        <v/>
      </c>
      <c r="B617" s="11"/>
      <c r="C617" s="12"/>
      <c r="D617" s="12" t="str">
        <f>IF(C617="","",C617-IF(C616&lt;&gt;"",C616,IF(C615&lt;&gt;"",C615,IF(C614&lt;&gt;"",C614,0))))</f>
        <v/>
      </c>
      <c r="E617" s="12"/>
      <c r="F617" s="12"/>
      <c r="G617" s="9" t="str">
        <f>IF(AND(E617="",F617=""),"",IF(OR(E617&gt;1,F617&gt;1),(F617-E617)/100,F617-E617))</f>
        <v/>
      </c>
      <c r="H617" s="12" t="str">
        <f>IF(G617="","",64*G617)</f>
        <v/>
      </c>
      <c r="I617" s="13"/>
      <c r="J617" s="13" t="str">
        <f>IFERROR(IF(OR(D617="",D617=0),"",I617/D617*100),"")</f>
        <v/>
      </c>
      <c r="K617" s="14"/>
      <c r="L617" s="13" t="str">
        <f>IF(I617="","",I617*K617)</f>
        <v/>
      </c>
      <c r="M617" s="13" t="str">
        <f>IF(B617="","",IFERROR(SUMPRODUCT(ISNUMBER(B$3:B617)*(MONTH(IF(ISNUMBER(B$3:B617),B$3:B617,1))=MONTH(B617))*(YEAR(IF(ISNUMBER(B$3:B617),B$3:B617,1))=YEAR(B617))*IF(ISNUMBER(L$3:L617),L$3:L617,0)),""))</f>
        <v/>
      </c>
      <c r="N617" s="6"/>
      <c r="O617" s="7" t="str">
        <f>IF(AND(B617="",ISNUMBER(B618)),CHOOSE(MONTH(B618),"GENNAIO","FEBBRAIO","MARZO","APRILE","MAGGIO","GIUGNO","LUGLIO","AGOSTO","SETTEMBRE","OTTOBRE","NOVEMBRE","DICEMBRE")&amp;" "&amp;YEAR(B618),"")</f>
        <v/>
      </c>
      <c r="P617" s="12" t="str">
        <f>IF(K617=0.2,"CASA","")</f>
        <v/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" customHeight="1" x14ac:dyDescent="0.2">
      <c r="A618" s="5" t="str">
        <f>IF(AND(B618="",ISNUMBER(B619)),CHOOSE(MONTH(B619),"GENNAIO","FEBBRAIO","MARZO","APRILE","MAGGIO","GIUGNO","LUGLIO","AGOSTO","SETTEMBRE","OTTOBRE","NOVEMBRE","DICEMBRE")&amp;" "&amp;YEAR(B619),"")</f>
        <v/>
      </c>
      <c r="B618" s="11"/>
      <c r="C618" s="12"/>
      <c r="D618" s="12" t="str">
        <f>IF(C618="","",C618-IF(C617&lt;&gt;"",C617,IF(C616&lt;&gt;"",C616,IF(C615&lt;&gt;"",C615,0))))</f>
        <v/>
      </c>
      <c r="E618" s="12"/>
      <c r="F618" s="12"/>
      <c r="G618" s="9" t="str">
        <f>IF(AND(E618="",F618=""),"",IF(OR(E618&gt;1,F618&gt;1),(F618-E618)/100,F618-E618))</f>
        <v/>
      </c>
      <c r="H618" s="12" t="str">
        <f>IF(G618="","",64*G618)</f>
        <v/>
      </c>
      <c r="I618" s="13"/>
      <c r="J618" s="13" t="str">
        <f>IFERROR(IF(OR(D618="",D618=0),"",I618/D618*100),"")</f>
        <v/>
      </c>
      <c r="K618" s="14"/>
      <c r="L618" s="13" t="str">
        <f>IF(I618="","",I618*K618)</f>
        <v/>
      </c>
      <c r="M618" s="13" t="str">
        <f>IF(B618="","",IFERROR(SUMPRODUCT(ISNUMBER(B$3:B618)*(MONTH(IF(ISNUMBER(B$3:B618),B$3:B618,1))=MONTH(B618))*(YEAR(IF(ISNUMBER(B$3:B618),B$3:B618,1))=YEAR(B618))*IF(ISNUMBER(L$3:L618),L$3:L618,0)),""))</f>
        <v/>
      </c>
      <c r="N618" s="6"/>
      <c r="O618" s="7" t="str">
        <f>IF(AND(B618="",ISNUMBER(B619)),CHOOSE(MONTH(B619),"GENNAIO","FEBBRAIO","MARZO","APRILE","MAGGIO","GIUGNO","LUGLIO","AGOSTO","SETTEMBRE","OTTOBRE","NOVEMBRE","DICEMBRE")&amp;" "&amp;YEAR(B619),"")</f>
        <v/>
      </c>
      <c r="P618" s="12" t="str">
        <f>IF(K618=0.2,"CASA","")</f>
        <v/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" customHeight="1" x14ac:dyDescent="0.2">
      <c r="A619" s="5" t="str">
        <f>IF(AND(B619="",ISNUMBER(B620)),CHOOSE(MONTH(B620),"GENNAIO","FEBBRAIO","MARZO","APRILE","MAGGIO","GIUGNO","LUGLIO","AGOSTO","SETTEMBRE","OTTOBRE","NOVEMBRE","DICEMBRE")&amp;" "&amp;YEAR(B620),"")</f>
        <v/>
      </c>
      <c r="B619" s="11"/>
      <c r="C619" s="12"/>
      <c r="D619" s="12" t="str">
        <f>IF(C619="","",C619-IF(C618&lt;&gt;"",C618,IF(C617&lt;&gt;"",C617,IF(C616&lt;&gt;"",C616,0))))</f>
        <v/>
      </c>
      <c r="E619" s="12"/>
      <c r="F619" s="12"/>
      <c r="G619" s="9" t="str">
        <f>IF(AND(E619="",F619=""),"",IF(OR(E619&gt;1,F619&gt;1),(F619-E619)/100,F619-E619))</f>
        <v/>
      </c>
      <c r="H619" s="12" t="str">
        <f>IF(G619="","",64*G619)</f>
        <v/>
      </c>
      <c r="I619" s="13"/>
      <c r="J619" s="13" t="str">
        <f>IFERROR(IF(OR(D619="",D619=0),"",I619/D619*100),"")</f>
        <v/>
      </c>
      <c r="K619" s="14"/>
      <c r="L619" s="13" t="str">
        <f>IF(I619="","",I619*K619)</f>
        <v/>
      </c>
      <c r="M619" s="13" t="str">
        <f>IF(B619="","",IFERROR(SUMPRODUCT(ISNUMBER(B$3:B619)*(MONTH(IF(ISNUMBER(B$3:B619),B$3:B619,1))=MONTH(B619))*(YEAR(IF(ISNUMBER(B$3:B619),B$3:B619,1))=YEAR(B619))*IF(ISNUMBER(L$3:L619),L$3:L619,0)),""))</f>
        <v/>
      </c>
      <c r="N619" s="6"/>
      <c r="O619" s="7" t="str">
        <f>IF(AND(B619="",ISNUMBER(B620)),CHOOSE(MONTH(B620),"GENNAIO","FEBBRAIO","MARZO","APRILE","MAGGIO","GIUGNO","LUGLIO","AGOSTO","SETTEMBRE","OTTOBRE","NOVEMBRE","DICEMBRE")&amp;" "&amp;YEAR(B620),"")</f>
        <v/>
      </c>
      <c r="P619" s="12" t="str">
        <f>IF(K619=0.2,"CASA","")</f>
        <v/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" customHeight="1" x14ac:dyDescent="0.2">
      <c r="A620" s="5" t="str">
        <f>IF(AND(B620="",ISNUMBER(B621)),CHOOSE(MONTH(B621),"GENNAIO","FEBBRAIO","MARZO","APRILE","MAGGIO","GIUGNO","LUGLIO","AGOSTO","SETTEMBRE","OTTOBRE","NOVEMBRE","DICEMBRE")&amp;" "&amp;YEAR(B621),"")</f>
        <v/>
      </c>
      <c r="B620" s="11"/>
      <c r="C620" s="12"/>
      <c r="D620" s="12" t="str">
        <f>IF(C620="","",C620-IF(C619&lt;&gt;"",C619,IF(C618&lt;&gt;"",C618,IF(C617&lt;&gt;"",C617,0))))</f>
        <v/>
      </c>
      <c r="E620" s="12"/>
      <c r="F620" s="12"/>
      <c r="G620" s="9" t="str">
        <f>IF(AND(E620="",F620=""),"",IF(OR(E620&gt;1,F620&gt;1),(F620-E620)/100,F620-E620))</f>
        <v/>
      </c>
      <c r="H620" s="12" t="str">
        <f>IF(G620="","",64*G620)</f>
        <v/>
      </c>
      <c r="I620" s="13"/>
      <c r="J620" s="13" t="str">
        <f>IFERROR(IF(OR(D620="",D620=0),"",I620/D620*100),"")</f>
        <v/>
      </c>
      <c r="K620" s="14"/>
      <c r="L620" s="13" t="str">
        <f>IF(I620="","",I620*K620)</f>
        <v/>
      </c>
      <c r="M620" s="13" t="str">
        <f>IF(B620="","",IFERROR(SUMPRODUCT(ISNUMBER(B$3:B620)*(MONTH(IF(ISNUMBER(B$3:B620),B$3:B620,1))=MONTH(B620))*(YEAR(IF(ISNUMBER(B$3:B620),B$3:B620,1))=YEAR(B620))*IF(ISNUMBER(L$3:L620),L$3:L620,0)),""))</f>
        <v/>
      </c>
      <c r="N620" s="6"/>
      <c r="O620" s="7" t="str">
        <f>IF(AND(B620="",ISNUMBER(B621)),CHOOSE(MONTH(B621),"GENNAIO","FEBBRAIO","MARZO","APRILE","MAGGIO","GIUGNO","LUGLIO","AGOSTO","SETTEMBRE","OTTOBRE","NOVEMBRE","DICEMBRE")&amp;" "&amp;YEAR(B621),"")</f>
        <v/>
      </c>
      <c r="P620" s="12" t="str">
        <f>IF(K620=0.2,"CASA","")</f>
        <v/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" customHeight="1" x14ac:dyDescent="0.2">
      <c r="A621" s="5" t="str">
        <f>IF(AND(B621="",ISNUMBER(B622)),CHOOSE(MONTH(B622),"GENNAIO","FEBBRAIO","MARZO","APRILE","MAGGIO","GIUGNO","LUGLIO","AGOSTO","SETTEMBRE","OTTOBRE","NOVEMBRE","DICEMBRE")&amp;" "&amp;YEAR(B622),"")</f>
        <v/>
      </c>
      <c r="B621" s="11"/>
      <c r="C621" s="12"/>
      <c r="D621" s="12" t="str">
        <f>IF(C621="","",C621-IF(C620&lt;&gt;"",C620,IF(C619&lt;&gt;"",C619,IF(C618&lt;&gt;"",C618,0))))</f>
        <v/>
      </c>
      <c r="E621" s="12"/>
      <c r="F621" s="12"/>
      <c r="G621" s="9" t="str">
        <f>IF(AND(E621="",F621=""),"",IF(OR(E621&gt;1,F621&gt;1),(F621-E621)/100,F621-E621))</f>
        <v/>
      </c>
      <c r="H621" s="12" t="str">
        <f>IF(G621="","",64*G621)</f>
        <v/>
      </c>
      <c r="I621" s="13"/>
      <c r="J621" s="13" t="str">
        <f>IFERROR(IF(OR(D621="",D621=0),"",I621/D621*100),"")</f>
        <v/>
      </c>
      <c r="K621" s="14"/>
      <c r="L621" s="13" t="str">
        <f>IF(I621="","",I621*K621)</f>
        <v/>
      </c>
      <c r="M621" s="13" t="str">
        <f>IF(B621="","",IFERROR(SUMPRODUCT(ISNUMBER(B$3:B621)*(MONTH(IF(ISNUMBER(B$3:B621),B$3:B621,1))=MONTH(B621))*(YEAR(IF(ISNUMBER(B$3:B621),B$3:B621,1))=YEAR(B621))*IF(ISNUMBER(L$3:L621),L$3:L621,0)),""))</f>
        <v/>
      </c>
      <c r="N621" s="6"/>
      <c r="O621" s="7" t="str">
        <f>IF(AND(B621="",ISNUMBER(B622)),CHOOSE(MONTH(B622),"GENNAIO","FEBBRAIO","MARZO","APRILE","MAGGIO","GIUGNO","LUGLIO","AGOSTO","SETTEMBRE","OTTOBRE","NOVEMBRE","DICEMBRE")&amp;" "&amp;YEAR(B622),"")</f>
        <v/>
      </c>
      <c r="P621" s="12" t="str">
        <f>IF(K621=0.2,"CASA","")</f>
        <v/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" customHeight="1" x14ac:dyDescent="0.2">
      <c r="A622" s="5" t="str">
        <f>IF(AND(B622="",ISNUMBER(B623)),CHOOSE(MONTH(B623),"GENNAIO","FEBBRAIO","MARZO","APRILE","MAGGIO","GIUGNO","LUGLIO","AGOSTO","SETTEMBRE","OTTOBRE","NOVEMBRE","DICEMBRE")&amp;" "&amp;YEAR(B623),"")</f>
        <v/>
      </c>
      <c r="B622" s="11"/>
      <c r="C622" s="12"/>
      <c r="D622" s="12" t="str">
        <f>IF(C622="","",C622-IF(C621&lt;&gt;"",C621,IF(C620&lt;&gt;"",C620,IF(C619&lt;&gt;"",C619,0))))</f>
        <v/>
      </c>
      <c r="E622" s="12"/>
      <c r="F622" s="12"/>
      <c r="G622" s="9" t="str">
        <f>IF(AND(E622="",F622=""),"",IF(OR(E622&gt;1,F622&gt;1),(F622-E622)/100,F622-E622))</f>
        <v/>
      </c>
      <c r="H622" s="12" t="str">
        <f>IF(G622="","",64*G622)</f>
        <v/>
      </c>
      <c r="I622" s="13"/>
      <c r="J622" s="13" t="str">
        <f>IFERROR(IF(OR(D622="",D622=0),"",I622/D622*100),"")</f>
        <v/>
      </c>
      <c r="K622" s="14"/>
      <c r="L622" s="13" t="str">
        <f>IF(I622="","",I622*K622)</f>
        <v/>
      </c>
      <c r="M622" s="13" t="str">
        <f>IF(B622="","",IFERROR(SUMPRODUCT(ISNUMBER(B$3:B622)*(MONTH(IF(ISNUMBER(B$3:B622),B$3:B622,1))=MONTH(B622))*(YEAR(IF(ISNUMBER(B$3:B622),B$3:B622,1))=YEAR(B622))*IF(ISNUMBER(L$3:L622),L$3:L622,0)),""))</f>
        <v/>
      </c>
      <c r="N622" s="6"/>
      <c r="O622" s="7" t="str">
        <f>IF(AND(B622="",ISNUMBER(B623)),CHOOSE(MONTH(B623),"GENNAIO","FEBBRAIO","MARZO","APRILE","MAGGIO","GIUGNO","LUGLIO","AGOSTO","SETTEMBRE","OTTOBRE","NOVEMBRE","DICEMBRE")&amp;" "&amp;YEAR(B623),"")</f>
        <v/>
      </c>
      <c r="P622" s="12" t="str">
        <f>IF(K622=0.2,"CASA","")</f>
        <v/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" customHeight="1" x14ac:dyDescent="0.2">
      <c r="A623" s="5" t="str">
        <f>IF(AND(B623="",ISNUMBER(B624)),CHOOSE(MONTH(B624),"GENNAIO","FEBBRAIO","MARZO","APRILE","MAGGIO","GIUGNO","LUGLIO","AGOSTO","SETTEMBRE","OTTOBRE","NOVEMBRE","DICEMBRE")&amp;" "&amp;YEAR(B624),"")</f>
        <v/>
      </c>
      <c r="B623" s="11"/>
      <c r="C623" s="12"/>
      <c r="D623" s="12" t="str">
        <f>IF(C623="","",C623-IF(C622&lt;&gt;"",C622,IF(C621&lt;&gt;"",C621,IF(C620&lt;&gt;"",C620,0))))</f>
        <v/>
      </c>
      <c r="E623" s="12"/>
      <c r="F623" s="12"/>
      <c r="G623" s="9" t="str">
        <f>IF(AND(E623="",F623=""),"",IF(OR(E623&gt;1,F623&gt;1),(F623-E623)/100,F623-E623))</f>
        <v/>
      </c>
      <c r="H623" s="12" t="str">
        <f>IF(G623="","",64*G623)</f>
        <v/>
      </c>
      <c r="I623" s="13"/>
      <c r="J623" s="13" t="str">
        <f>IFERROR(IF(OR(D623="",D623=0),"",I623/D623*100),"")</f>
        <v/>
      </c>
      <c r="K623" s="14"/>
      <c r="L623" s="13" t="str">
        <f>IF(I623="","",I623*K623)</f>
        <v/>
      </c>
      <c r="M623" s="13" t="str">
        <f>IF(B623="","",IFERROR(SUMPRODUCT(ISNUMBER(B$3:B623)*(MONTH(IF(ISNUMBER(B$3:B623),B$3:B623,1))=MONTH(B623))*(YEAR(IF(ISNUMBER(B$3:B623),B$3:B623,1))=YEAR(B623))*IF(ISNUMBER(L$3:L623),L$3:L623,0)),""))</f>
        <v/>
      </c>
      <c r="N623" s="6"/>
      <c r="O623" s="7" t="str">
        <f>IF(AND(B623="",ISNUMBER(B624)),CHOOSE(MONTH(B624),"GENNAIO","FEBBRAIO","MARZO","APRILE","MAGGIO","GIUGNO","LUGLIO","AGOSTO","SETTEMBRE","OTTOBRE","NOVEMBRE","DICEMBRE")&amp;" "&amp;YEAR(B624),"")</f>
        <v/>
      </c>
      <c r="P623" s="12" t="str">
        <f>IF(K623=0.2,"CASA","")</f>
        <v/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" customHeight="1" x14ac:dyDescent="0.2">
      <c r="A624" s="5" t="str">
        <f>IF(AND(B624="",ISNUMBER(B625)),CHOOSE(MONTH(B625),"GENNAIO","FEBBRAIO","MARZO","APRILE","MAGGIO","GIUGNO","LUGLIO","AGOSTO","SETTEMBRE","OTTOBRE","NOVEMBRE","DICEMBRE")&amp;" "&amp;YEAR(B625),"")</f>
        <v/>
      </c>
      <c r="B624" s="11"/>
      <c r="C624" s="12"/>
      <c r="D624" s="12" t="str">
        <f>IF(C624="","",C624-IF(C623&lt;&gt;"",C623,IF(C622&lt;&gt;"",C622,IF(C621&lt;&gt;"",C621,0))))</f>
        <v/>
      </c>
      <c r="E624" s="12"/>
      <c r="F624" s="12"/>
      <c r="G624" s="9" t="str">
        <f>IF(AND(E624="",F624=""),"",IF(OR(E624&gt;1,F624&gt;1),(F624-E624)/100,F624-E624))</f>
        <v/>
      </c>
      <c r="H624" s="12" t="str">
        <f>IF(G624="","",64*G624)</f>
        <v/>
      </c>
      <c r="I624" s="13"/>
      <c r="J624" s="13" t="str">
        <f>IFERROR(IF(OR(D624="",D624=0),"",I624/D624*100),"")</f>
        <v/>
      </c>
      <c r="K624" s="14"/>
      <c r="L624" s="13" t="str">
        <f>IF(I624="","",I624*K624)</f>
        <v/>
      </c>
      <c r="M624" s="13" t="str">
        <f>IF(B624="","",IFERROR(SUMPRODUCT(ISNUMBER(B$3:B624)*(MONTH(IF(ISNUMBER(B$3:B624),B$3:B624,1))=MONTH(B624))*(YEAR(IF(ISNUMBER(B$3:B624),B$3:B624,1))=YEAR(B624))*IF(ISNUMBER(L$3:L624),L$3:L624,0)),""))</f>
        <v/>
      </c>
      <c r="N624" s="6"/>
      <c r="O624" s="7" t="str">
        <f>IF(AND(B624="",ISNUMBER(B625)),CHOOSE(MONTH(B625),"GENNAIO","FEBBRAIO","MARZO","APRILE","MAGGIO","GIUGNO","LUGLIO","AGOSTO","SETTEMBRE","OTTOBRE","NOVEMBRE","DICEMBRE")&amp;" "&amp;YEAR(B625),"")</f>
        <v/>
      </c>
      <c r="P624" s="12" t="str">
        <f>IF(K624=0.2,"CASA","")</f>
        <v/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" customHeight="1" x14ac:dyDescent="0.2">
      <c r="A625" s="5" t="str">
        <f>IF(AND(B625="",ISNUMBER(B626)),CHOOSE(MONTH(B626),"GENNAIO","FEBBRAIO","MARZO","APRILE","MAGGIO","GIUGNO","LUGLIO","AGOSTO","SETTEMBRE","OTTOBRE","NOVEMBRE","DICEMBRE")&amp;" "&amp;YEAR(B626),"")</f>
        <v/>
      </c>
      <c r="B625" s="11"/>
      <c r="C625" s="12"/>
      <c r="D625" s="12" t="str">
        <f>IF(C625="","",C625-IF(C624&lt;&gt;"",C624,IF(C623&lt;&gt;"",C623,IF(C622&lt;&gt;"",C622,0))))</f>
        <v/>
      </c>
      <c r="E625" s="12"/>
      <c r="F625" s="12"/>
      <c r="G625" s="9" t="str">
        <f>IF(AND(E625="",F625=""),"",IF(OR(E625&gt;1,F625&gt;1),(F625-E625)/100,F625-E625))</f>
        <v/>
      </c>
      <c r="H625" s="12" t="str">
        <f>IF(G625="","",64*G625)</f>
        <v/>
      </c>
      <c r="I625" s="13"/>
      <c r="J625" s="13" t="str">
        <f>IFERROR(IF(OR(D625="",D625=0),"",I625/D625*100),"")</f>
        <v/>
      </c>
      <c r="K625" s="14"/>
      <c r="L625" s="13" t="str">
        <f>IF(I625="","",I625*K625)</f>
        <v/>
      </c>
      <c r="M625" s="13" t="str">
        <f>IF(B625="","",IFERROR(SUMPRODUCT(ISNUMBER(B$3:B625)*(MONTH(IF(ISNUMBER(B$3:B625),B$3:B625,1))=MONTH(B625))*(YEAR(IF(ISNUMBER(B$3:B625),B$3:B625,1))=YEAR(B625))*IF(ISNUMBER(L$3:L625),L$3:L625,0)),""))</f>
        <v/>
      </c>
      <c r="N625" s="6"/>
      <c r="O625" s="7" t="str">
        <f>IF(AND(B625="",ISNUMBER(B626)),CHOOSE(MONTH(B626),"GENNAIO","FEBBRAIO","MARZO","APRILE","MAGGIO","GIUGNO","LUGLIO","AGOSTO","SETTEMBRE","OTTOBRE","NOVEMBRE","DICEMBRE")&amp;" "&amp;YEAR(B626),"")</f>
        <v/>
      </c>
      <c r="P625" s="12" t="str">
        <f>IF(K625=0.2,"CASA","")</f>
        <v/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" customHeight="1" x14ac:dyDescent="0.2">
      <c r="A626" s="5" t="str">
        <f>IF(AND(B626="",ISNUMBER(B627)),CHOOSE(MONTH(B627),"GENNAIO","FEBBRAIO","MARZO","APRILE","MAGGIO","GIUGNO","LUGLIO","AGOSTO","SETTEMBRE","OTTOBRE","NOVEMBRE","DICEMBRE")&amp;" "&amp;YEAR(B627),"")</f>
        <v/>
      </c>
      <c r="B626" s="11"/>
      <c r="C626" s="12"/>
      <c r="D626" s="12" t="str">
        <f>IF(C626="","",C626-IF(C625&lt;&gt;"",C625,IF(C624&lt;&gt;"",C624,IF(C623&lt;&gt;"",C623,0))))</f>
        <v/>
      </c>
      <c r="E626" s="12"/>
      <c r="F626" s="12"/>
      <c r="G626" s="9" t="str">
        <f>IF(AND(E626="",F626=""),"",IF(OR(E626&gt;1,F626&gt;1),(F626-E626)/100,F626-E626))</f>
        <v/>
      </c>
      <c r="H626" s="12" t="str">
        <f>IF(G626="","",64*G626)</f>
        <v/>
      </c>
      <c r="I626" s="13"/>
      <c r="J626" s="13" t="str">
        <f>IFERROR(IF(OR(D626="",D626=0),"",I626/D626*100),"")</f>
        <v/>
      </c>
      <c r="K626" s="14"/>
      <c r="L626" s="13" t="str">
        <f>IF(I626="","",I626*K626)</f>
        <v/>
      </c>
      <c r="M626" s="13" t="str">
        <f>IF(B626="","",IFERROR(SUMPRODUCT(ISNUMBER(B$3:B626)*(MONTH(IF(ISNUMBER(B$3:B626),B$3:B626,1))=MONTH(B626))*(YEAR(IF(ISNUMBER(B$3:B626),B$3:B626,1))=YEAR(B626))*IF(ISNUMBER(L$3:L626),L$3:L626,0)),""))</f>
        <v/>
      </c>
      <c r="N626" s="6"/>
      <c r="O626" s="7" t="str">
        <f>IF(AND(B626="",ISNUMBER(B627)),CHOOSE(MONTH(B627),"GENNAIO","FEBBRAIO","MARZO","APRILE","MAGGIO","GIUGNO","LUGLIO","AGOSTO","SETTEMBRE","OTTOBRE","NOVEMBRE","DICEMBRE")&amp;" "&amp;YEAR(B627),"")</f>
        <v/>
      </c>
      <c r="P626" s="12" t="str">
        <f>IF(K626=0.2,"CASA","")</f>
        <v/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" customHeight="1" x14ac:dyDescent="0.2">
      <c r="A627" s="5" t="str">
        <f>IF(AND(B627="",ISNUMBER(B628)),CHOOSE(MONTH(B628),"GENNAIO","FEBBRAIO","MARZO","APRILE","MAGGIO","GIUGNO","LUGLIO","AGOSTO","SETTEMBRE","OTTOBRE","NOVEMBRE","DICEMBRE")&amp;" "&amp;YEAR(B628),"")</f>
        <v/>
      </c>
      <c r="B627" s="11"/>
      <c r="C627" s="12"/>
      <c r="D627" s="12" t="str">
        <f>IF(C627="","",C627-IF(C626&lt;&gt;"",C626,IF(C625&lt;&gt;"",C625,IF(C624&lt;&gt;"",C624,0))))</f>
        <v/>
      </c>
      <c r="E627" s="12"/>
      <c r="F627" s="12"/>
      <c r="G627" s="9" t="str">
        <f>IF(AND(E627="",F627=""),"",IF(OR(E627&gt;1,F627&gt;1),(F627-E627)/100,F627-E627))</f>
        <v/>
      </c>
      <c r="H627" s="12" t="str">
        <f>IF(G627="","",64*G627)</f>
        <v/>
      </c>
      <c r="I627" s="13"/>
      <c r="J627" s="13" t="str">
        <f>IFERROR(IF(OR(D627="",D627=0),"",I627/D627*100),"")</f>
        <v/>
      </c>
      <c r="K627" s="14"/>
      <c r="L627" s="13" t="str">
        <f>IF(I627="","",I627*K627)</f>
        <v/>
      </c>
      <c r="M627" s="13" t="str">
        <f>IF(B627="","",IFERROR(SUMPRODUCT(ISNUMBER(B$3:B627)*(MONTH(IF(ISNUMBER(B$3:B627),B$3:B627,1))=MONTH(B627))*(YEAR(IF(ISNUMBER(B$3:B627),B$3:B627,1))=YEAR(B627))*IF(ISNUMBER(L$3:L627),L$3:L627,0)),""))</f>
        <v/>
      </c>
      <c r="N627" s="6"/>
      <c r="O627" s="7" t="str">
        <f>IF(AND(B627="",ISNUMBER(B628)),CHOOSE(MONTH(B628),"GENNAIO","FEBBRAIO","MARZO","APRILE","MAGGIO","GIUGNO","LUGLIO","AGOSTO","SETTEMBRE","OTTOBRE","NOVEMBRE","DICEMBRE")&amp;" "&amp;YEAR(B628),"")</f>
        <v/>
      </c>
      <c r="P627" s="12" t="str">
        <f>IF(K627=0.2,"CASA","")</f>
        <v/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" customHeight="1" x14ac:dyDescent="0.2">
      <c r="A628" s="5" t="str">
        <f>IF(AND(B628="",ISNUMBER(B629)),CHOOSE(MONTH(B629),"GENNAIO","FEBBRAIO","MARZO","APRILE","MAGGIO","GIUGNO","LUGLIO","AGOSTO","SETTEMBRE","OTTOBRE","NOVEMBRE","DICEMBRE")&amp;" "&amp;YEAR(B629),"")</f>
        <v/>
      </c>
      <c r="B628" s="11"/>
      <c r="C628" s="12"/>
      <c r="D628" s="12" t="str">
        <f>IF(C628="","",C628-IF(C627&lt;&gt;"",C627,IF(C626&lt;&gt;"",C626,IF(C625&lt;&gt;"",C625,0))))</f>
        <v/>
      </c>
      <c r="E628" s="12"/>
      <c r="F628" s="12"/>
      <c r="G628" s="9" t="str">
        <f>IF(AND(E628="",F628=""),"",IF(OR(E628&gt;1,F628&gt;1),(F628-E628)/100,F628-E628))</f>
        <v/>
      </c>
      <c r="H628" s="12" t="str">
        <f>IF(G628="","",64*G628)</f>
        <v/>
      </c>
      <c r="I628" s="13"/>
      <c r="J628" s="13" t="str">
        <f>IFERROR(IF(OR(D628="",D628=0),"",I628/D628*100),"")</f>
        <v/>
      </c>
      <c r="K628" s="14"/>
      <c r="L628" s="13" t="str">
        <f>IF(I628="","",I628*K628)</f>
        <v/>
      </c>
      <c r="M628" s="13" t="str">
        <f>IF(B628="","",IFERROR(SUMPRODUCT(ISNUMBER(B$3:B628)*(MONTH(IF(ISNUMBER(B$3:B628),B$3:B628,1))=MONTH(B628))*(YEAR(IF(ISNUMBER(B$3:B628),B$3:B628,1))=YEAR(B628))*IF(ISNUMBER(L$3:L628),L$3:L628,0)),""))</f>
        <v/>
      </c>
      <c r="N628" s="6"/>
      <c r="O628" s="7" t="str">
        <f>IF(AND(B628="",ISNUMBER(B629)),CHOOSE(MONTH(B629),"GENNAIO","FEBBRAIO","MARZO","APRILE","MAGGIO","GIUGNO","LUGLIO","AGOSTO","SETTEMBRE","OTTOBRE","NOVEMBRE","DICEMBRE")&amp;" "&amp;YEAR(B629),"")</f>
        <v/>
      </c>
      <c r="P628" s="12" t="str">
        <f>IF(K628=0.2,"CASA","")</f>
        <v/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" customHeight="1" x14ac:dyDescent="0.2">
      <c r="A629" s="5" t="str">
        <f>IF(AND(B629="",ISNUMBER(B630)),CHOOSE(MONTH(B630),"GENNAIO","FEBBRAIO","MARZO","APRILE","MAGGIO","GIUGNO","LUGLIO","AGOSTO","SETTEMBRE","OTTOBRE","NOVEMBRE","DICEMBRE")&amp;" "&amp;YEAR(B630),"")</f>
        <v/>
      </c>
      <c r="B629" s="11"/>
      <c r="C629" s="12"/>
      <c r="D629" s="12" t="str">
        <f>IF(C629="","",C629-IF(C628&lt;&gt;"",C628,IF(C627&lt;&gt;"",C627,IF(C626&lt;&gt;"",C626,0))))</f>
        <v/>
      </c>
      <c r="E629" s="12"/>
      <c r="F629" s="12"/>
      <c r="G629" s="9" t="str">
        <f>IF(AND(E629="",F629=""),"",IF(OR(E629&gt;1,F629&gt;1),(F629-E629)/100,F629-E629))</f>
        <v/>
      </c>
      <c r="H629" s="12" t="str">
        <f>IF(G629="","",64*G629)</f>
        <v/>
      </c>
      <c r="I629" s="13"/>
      <c r="J629" s="13" t="str">
        <f>IFERROR(IF(OR(D629="",D629=0),"",I629/D629*100),"")</f>
        <v/>
      </c>
      <c r="K629" s="14"/>
      <c r="L629" s="13" t="str">
        <f>IF(I629="","",I629*K629)</f>
        <v/>
      </c>
      <c r="M629" s="13" t="str">
        <f>IF(B629="","",IFERROR(SUMPRODUCT(ISNUMBER(B$3:B629)*(MONTH(IF(ISNUMBER(B$3:B629),B$3:B629,1))=MONTH(B629))*(YEAR(IF(ISNUMBER(B$3:B629),B$3:B629,1))=YEAR(B629))*IF(ISNUMBER(L$3:L629),L$3:L629,0)),""))</f>
        <v/>
      </c>
      <c r="N629" s="6"/>
      <c r="O629" s="7" t="str">
        <f>IF(AND(B629="",ISNUMBER(B630)),CHOOSE(MONTH(B630),"GENNAIO","FEBBRAIO","MARZO","APRILE","MAGGIO","GIUGNO","LUGLIO","AGOSTO","SETTEMBRE","OTTOBRE","NOVEMBRE","DICEMBRE")&amp;" "&amp;YEAR(B630),"")</f>
        <v/>
      </c>
      <c r="P629" s="12" t="str">
        <f>IF(K629=0.2,"CASA","")</f>
        <v/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" customHeight="1" x14ac:dyDescent="0.2">
      <c r="A630" s="5" t="str">
        <f>IF(AND(B630="",ISNUMBER(B631)),CHOOSE(MONTH(B631),"GENNAIO","FEBBRAIO","MARZO","APRILE","MAGGIO","GIUGNO","LUGLIO","AGOSTO","SETTEMBRE","OTTOBRE","NOVEMBRE","DICEMBRE")&amp;" "&amp;YEAR(B631),"")</f>
        <v/>
      </c>
      <c r="B630" s="11"/>
      <c r="C630" s="12"/>
      <c r="D630" s="12" t="str">
        <f>IF(C630="","",C630-IF(C629&lt;&gt;"",C629,IF(C628&lt;&gt;"",C628,IF(C627&lt;&gt;"",C627,0))))</f>
        <v/>
      </c>
      <c r="E630" s="12"/>
      <c r="F630" s="12"/>
      <c r="G630" s="9" t="str">
        <f>IF(AND(E630="",F630=""),"",IF(OR(E630&gt;1,F630&gt;1),(F630-E630)/100,F630-E630))</f>
        <v/>
      </c>
      <c r="H630" s="12" t="str">
        <f>IF(G630="","",64*G630)</f>
        <v/>
      </c>
      <c r="I630" s="13"/>
      <c r="J630" s="13" t="str">
        <f>IFERROR(IF(OR(D630="",D630=0),"",I630/D630*100),"")</f>
        <v/>
      </c>
      <c r="K630" s="14"/>
      <c r="L630" s="13" t="str">
        <f>IF(I630="","",I630*K630)</f>
        <v/>
      </c>
      <c r="M630" s="13" t="str">
        <f>IF(B630="","",IFERROR(SUMPRODUCT(ISNUMBER(B$3:B630)*(MONTH(IF(ISNUMBER(B$3:B630),B$3:B630,1))=MONTH(B630))*(YEAR(IF(ISNUMBER(B$3:B630),B$3:B630,1))=YEAR(B630))*IF(ISNUMBER(L$3:L630),L$3:L630,0)),""))</f>
        <v/>
      </c>
      <c r="N630" s="6"/>
      <c r="O630" s="7" t="str">
        <f>IF(AND(B630="",ISNUMBER(B631)),CHOOSE(MONTH(B631),"GENNAIO","FEBBRAIO","MARZO","APRILE","MAGGIO","GIUGNO","LUGLIO","AGOSTO","SETTEMBRE","OTTOBRE","NOVEMBRE","DICEMBRE")&amp;" "&amp;YEAR(B631),"")</f>
        <v/>
      </c>
      <c r="P630" s="12" t="str">
        <f>IF(K630=0.2,"CASA","")</f>
        <v/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" customHeight="1" x14ac:dyDescent="0.2">
      <c r="A631" s="5" t="str">
        <f>IF(AND(B631="",ISNUMBER(B632)),CHOOSE(MONTH(B632),"GENNAIO","FEBBRAIO","MARZO","APRILE","MAGGIO","GIUGNO","LUGLIO","AGOSTO","SETTEMBRE","OTTOBRE","NOVEMBRE","DICEMBRE")&amp;" "&amp;YEAR(B632),"")</f>
        <v/>
      </c>
      <c r="B631" s="11"/>
      <c r="C631" s="12"/>
      <c r="D631" s="12" t="str">
        <f>IF(C631="","",C631-IF(C630&lt;&gt;"",C630,IF(C629&lt;&gt;"",C629,IF(C628&lt;&gt;"",C628,0))))</f>
        <v/>
      </c>
      <c r="E631" s="12"/>
      <c r="F631" s="12"/>
      <c r="G631" s="9" t="str">
        <f>IF(AND(E631="",F631=""),"",IF(OR(E631&gt;1,F631&gt;1),(F631-E631)/100,F631-E631))</f>
        <v/>
      </c>
      <c r="H631" s="12" t="str">
        <f>IF(G631="","",64*G631)</f>
        <v/>
      </c>
      <c r="I631" s="13"/>
      <c r="J631" s="13" t="str">
        <f>IFERROR(IF(OR(D631="",D631=0),"",I631/D631*100),"")</f>
        <v/>
      </c>
      <c r="K631" s="14"/>
      <c r="L631" s="13" t="str">
        <f>IF(I631="","",I631*K631)</f>
        <v/>
      </c>
      <c r="M631" s="13" t="str">
        <f>IF(B631="","",IFERROR(SUMPRODUCT(ISNUMBER(B$3:B631)*(MONTH(IF(ISNUMBER(B$3:B631),B$3:B631,1))=MONTH(B631))*(YEAR(IF(ISNUMBER(B$3:B631),B$3:B631,1))=YEAR(B631))*IF(ISNUMBER(L$3:L631),L$3:L631,0)),""))</f>
        <v/>
      </c>
      <c r="N631" s="6"/>
      <c r="O631" s="7" t="str">
        <f>IF(AND(B631="",ISNUMBER(B632)),CHOOSE(MONTH(B632),"GENNAIO","FEBBRAIO","MARZO","APRILE","MAGGIO","GIUGNO","LUGLIO","AGOSTO","SETTEMBRE","OTTOBRE","NOVEMBRE","DICEMBRE")&amp;" "&amp;YEAR(B632),"")</f>
        <v/>
      </c>
      <c r="P631" s="12" t="str">
        <f>IF(K631=0.2,"CASA","")</f>
        <v/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" customHeight="1" x14ac:dyDescent="0.2">
      <c r="A632" s="5" t="str">
        <f>IF(AND(B632="",ISNUMBER(B633)),CHOOSE(MONTH(B633),"GENNAIO","FEBBRAIO","MARZO","APRILE","MAGGIO","GIUGNO","LUGLIO","AGOSTO","SETTEMBRE","OTTOBRE","NOVEMBRE","DICEMBRE")&amp;" "&amp;YEAR(B633),"")</f>
        <v/>
      </c>
      <c r="B632" s="11"/>
      <c r="C632" s="12"/>
      <c r="D632" s="12" t="str">
        <f>IF(C632="","",C632-IF(C631&lt;&gt;"",C631,IF(C630&lt;&gt;"",C630,IF(C629&lt;&gt;"",C629,0))))</f>
        <v/>
      </c>
      <c r="E632" s="12"/>
      <c r="F632" s="12"/>
      <c r="G632" s="9" t="str">
        <f>IF(AND(E632="",F632=""),"",IF(OR(E632&gt;1,F632&gt;1),(F632-E632)/100,F632-E632))</f>
        <v/>
      </c>
      <c r="H632" s="12" t="str">
        <f>IF(G632="","",64*G632)</f>
        <v/>
      </c>
      <c r="I632" s="13"/>
      <c r="J632" s="13" t="str">
        <f>IFERROR(IF(OR(D632="",D632=0),"",I632/D632*100),"")</f>
        <v/>
      </c>
      <c r="K632" s="14"/>
      <c r="L632" s="13" t="str">
        <f>IF(I632="","",I632*K632)</f>
        <v/>
      </c>
      <c r="M632" s="13" t="str">
        <f>IF(B632="","",IFERROR(SUMPRODUCT(ISNUMBER(B$3:B632)*(MONTH(IF(ISNUMBER(B$3:B632),B$3:B632,1))=MONTH(B632))*(YEAR(IF(ISNUMBER(B$3:B632),B$3:B632,1))=YEAR(B632))*IF(ISNUMBER(L$3:L632),L$3:L632,0)),""))</f>
        <v/>
      </c>
      <c r="N632" s="6"/>
      <c r="O632" s="7" t="str">
        <f>IF(AND(B632="",ISNUMBER(B633)),CHOOSE(MONTH(B633),"GENNAIO","FEBBRAIO","MARZO","APRILE","MAGGIO","GIUGNO","LUGLIO","AGOSTO","SETTEMBRE","OTTOBRE","NOVEMBRE","DICEMBRE")&amp;" "&amp;YEAR(B633),"")</f>
        <v/>
      </c>
      <c r="P632" s="12" t="str">
        <f>IF(K632=0.2,"CASA","")</f>
        <v/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" customHeight="1" x14ac:dyDescent="0.2">
      <c r="A633" s="5" t="str">
        <f>IF(AND(B633="",ISNUMBER(B634)),CHOOSE(MONTH(B634),"GENNAIO","FEBBRAIO","MARZO","APRILE","MAGGIO","GIUGNO","LUGLIO","AGOSTO","SETTEMBRE","OTTOBRE","NOVEMBRE","DICEMBRE")&amp;" "&amp;YEAR(B634),"")</f>
        <v/>
      </c>
      <c r="B633" s="11"/>
      <c r="C633" s="12"/>
      <c r="D633" s="12" t="str">
        <f>IF(C633="","",C633-IF(C632&lt;&gt;"",C632,IF(C631&lt;&gt;"",C631,IF(C630&lt;&gt;"",C630,0))))</f>
        <v/>
      </c>
      <c r="E633" s="12"/>
      <c r="F633" s="12"/>
      <c r="G633" s="9" t="str">
        <f>IF(AND(E633="",F633=""),"",IF(OR(E633&gt;1,F633&gt;1),(F633-E633)/100,F633-E633))</f>
        <v/>
      </c>
      <c r="H633" s="12" t="str">
        <f>IF(G633="","",64*G633)</f>
        <v/>
      </c>
      <c r="I633" s="13"/>
      <c r="J633" s="13" t="str">
        <f>IFERROR(IF(OR(D633="",D633=0),"",I633/D633*100),"")</f>
        <v/>
      </c>
      <c r="K633" s="14"/>
      <c r="L633" s="13" t="str">
        <f>IF(I633="","",I633*K633)</f>
        <v/>
      </c>
      <c r="M633" s="13" t="str">
        <f>IF(B633="","",IFERROR(SUMPRODUCT(ISNUMBER(B$3:B633)*(MONTH(IF(ISNUMBER(B$3:B633),B$3:B633,1))=MONTH(B633))*(YEAR(IF(ISNUMBER(B$3:B633),B$3:B633,1))=YEAR(B633))*IF(ISNUMBER(L$3:L633),L$3:L633,0)),""))</f>
        <v/>
      </c>
      <c r="N633" s="6"/>
      <c r="O633" s="7" t="str">
        <f>IF(AND(B633="",ISNUMBER(B634)),CHOOSE(MONTH(B634),"GENNAIO","FEBBRAIO","MARZO","APRILE","MAGGIO","GIUGNO","LUGLIO","AGOSTO","SETTEMBRE","OTTOBRE","NOVEMBRE","DICEMBRE")&amp;" "&amp;YEAR(B634),"")</f>
        <v/>
      </c>
      <c r="P633" s="12" t="str">
        <f>IF(K633=0.2,"CASA","")</f>
        <v/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" customHeight="1" x14ac:dyDescent="0.2">
      <c r="A634" s="5" t="str">
        <f>IF(AND(B634="",ISNUMBER(B635)),CHOOSE(MONTH(B635),"GENNAIO","FEBBRAIO","MARZO","APRILE","MAGGIO","GIUGNO","LUGLIO","AGOSTO","SETTEMBRE","OTTOBRE","NOVEMBRE","DICEMBRE")&amp;" "&amp;YEAR(B635),"")</f>
        <v/>
      </c>
      <c r="B634" s="11"/>
      <c r="C634" s="12"/>
      <c r="D634" s="12" t="str">
        <f>IF(C634="","",C634-IF(C633&lt;&gt;"",C633,IF(C632&lt;&gt;"",C632,IF(C631&lt;&gt;"",C631,0))))</f>
        <v/>
      </c>
      <c r="E634" s="12"/>
      <c r="F634" s="12"/>
      <c r="G634" s="9" t="str">
        <f>IF(AND(E634="",F634=""),"",IF(OR(E634&gt;1,F634&gt;1),(F634-E634)/100,F634-E634))</f>
        <v/>
      </c>
      <c r="H634" s="12" t="str">
        <f>IF(G634="","",64*G634)</f>
        <v/>
      </c>
      <c r="I634" s="13"/>
      <c r="J634" s="13" t="str">
        <f>IFERROR(IF(OR(D634="",D634=0),"",I634/D634*100),"")</f>
        <v/>
      </c>
      <c r="K634" s="14"/>
      <c r="L634" s="13" t="str">
        <f>IF(I634="","",I634*K634)</f>
        <v/>
      </c>
      <c r="M634" s="13" t="str">
        <f>IF(B634="","",IFERROR(SUMPRODUCT(ISNUMBER(B$3:B634)*(MONTH(IF(ISNUMBER(B$3:B634),B$3:B634,1))=MONTH(B634))*(YEAR(IF(ISNUMBER(B$3:B634),B$3:B634,1))=YEAR(B634))*IF(ISNUMBER(L$3:L634),L$3:L634,0)),""))</f>
        <v/>
      </c>
      <c r="N634" s="6"/>
      <c r="O634" s="7" t="str">
        <f>IF(AND(B634="",ISNUMBER(B635)),CHOOSE(MONTH(B635),"GENNAIO","FEBBRAIO","MARZO","APRILE","MAGGIO","GIUGNO","LUGLIO","AGOSTO","SETTEMBRE","OTTOBRE","NOVEMBRE","DICEMBRE")&amp;" "&amp;YEAR(B635),"")</f>
        <v/>
      </c>
      <c r="P634" s="12" t="str">
        <f>IF(K634=0.2,"CASA","")</f>
        <v/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" customHeight="1" x14ac:dyDescent="0.2">
      <c r="A635" s="5" t="str">
        <f>IF(AND(B635="",ISNUMBER(B636)),CHOOSE(MONTH(B636),"GENNAIO","FEBBRAIO","MARZO","APRILE","MAGGIO","GIUGNO","LUGLIO","AGOSTO","SETTEMBRE","OTTOBRE","NOVEMBRE","DICEMBRE")&amp;" "&amp;YEAR(B636),"")</f>
        <v/>
      </c>
      <c r="B635" s="11"/>
      <c r="C635" s="12"/>
      <c r="D635" s="12" t="str">
        <f>IF(C635="","",C635-IF(C634&lt;&gt;"",C634,IF(C633&lt;&gt;"",C633,IF(C632&lt;&gt;"",C632,0))))</f>
        <v/>
      </c>
      <c r="E635" s="12"/>
      <c r="F635" s="12"/>
      <c r="G635" s="9" t="str">
        <f>IF(AND(E635="",F635=""),"",IF(OR(E635&gt;1,F635&gt;1),(F635-E635)/100,F635-E635))</f>
        <v/>
      </c>
      <c r="H635" s="12" t="str">
        <f>IF(G635="","",64*G635)</f>
        <v/>
      </c>
      <c r="I635" s="13"/>
      <c r="J635" s="13" t="str">
        <f>IFERROR(IF(OR(D635="",D635=0),"",I635/D635*100),"")</f>
        <v/>
      </c>
      <c r="K635" s="14"/>
      <c r="L635" s="13" t="str">
        <f>IF(I635="","",I635*K635)</f>
        <v/>
      </c>
      <c r="M635" s="13" t="str">
        <f>IF(B635="","",IFERROR(SUMPRODUCT(ISNUMBER(B$3:B635)*(MONTH(IF(ISNUMBER(B$3:B635),B$3:B635,1))=MONTH(B635))*(YEAR(IF(ISNUMBER(B$3:B635),B$3:B635,1))=YEAR(B635))*IF(ISNUMBER(L$3:L635),L$3:L635,0)),""))</f>
        <v/>
      </c>
      <c r="N635" s="6"/>
      <c r="O635" s="7" t="str">
        <f>IF(AND(B635="",ISNUMBER(B636)),CHOOSE(MONTH(B636),"GENNAIO","FEBBRAIO","MARZO","APRILE","MAGGIO","GIUGNO","LUGLIO","AGOSTO","SETTEMBRE","OTTOBRE","NOVEMBRE","DICEMBRE")&amp;" "&amp;YEAR(B636),"")</f>
        <v/>
      </c>
      <c r="P635" s="12" t="str">
        <f>IF(K635=0.2,"CASA","")</f>
        <v/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" customHeight="1" x14ac:dyDescent="0.2">
      <c r="A636" s="5" t="str">
        <f>IF(AND(B636="",ISNUMBER(B637)),CHOOSE(MONTH(B637),"GENNAIO","FEBBRAIO","MARZO","APRILE","MAGGIO","GIUGNO","LUGLIO","AGOSTO","SETTEMBRE","OTTOBRE","NOVEMBRE","DICEMBRE")&amp;" "&amp;YEAR(B637),"")</f>
        <v/>
      </c>
      <c r="B636" s="11"/>
      <c r="C636" s="12"/>
      <c r="D636" s="12" t="str">
        <f>IF(C636="","",C636-IF(C635&lt;&gt;"",C635,IF(C634&lt;&gt;"",C634,IF(C633&lt;&gt;"",C633,0))))</f>
        <v/>
      </c>
      <c r="E636" s="12"/>
      <c r="F636" s="12"/>
      <c r="G636" s="9" t="str">
        <f>IF(AND(E636="",F636=""),"",IF(OR(E636&gt;1,F636&gt;1),(F636-E636)/100,F636-E636))</f>
        <v/>
      </c>
      <c r="H636" s="12" t="str">
        <f>IF(G636="","",64*G636)</f>
        <v/>
      </c>
      <c r="I636" s="13"/>
      <c r="J636" s="13" t="str">
        <f>IFERROR(IF(OR(D636="",D636=0),"",I636/D636*100),"")</f>
        <v/>
      </c>
      <c r="K636" s="14"/>
      <c r="L636" s="13" t="str">
        <f>IF(I636="","",I636*K636)</f>
        <v/>
      </c>
      <c r="M636" s="13" t="str">
        <f>IF(B636="","",IFERROR(SUMPRODUCT(ISNUMBER(B$3:B636)*(MONTH(IF(ISNUMBER(B$3:B636),B$3:B636,1))=MONTH(B636))*(YEAR(IF(ISNUMBER(B$3:B636),B$3:B636,1))=YEAR(B636))*IF(ISNUMBER(L$3:L636),L$3:L636,0)),""))</f>
        <v/>
      </c>
      <c r="N636" s="6"/>
      <c r="O636" s="7" t="str">
        <f>IF(AND(B636="",ISNUMBER(B637)),CHOOSE(MONTH(B637),"GENNAIO","FEBBRAIO","MARZO","APRILE","MAGGIO","GIUGNO","LUGLIO","AGOSTO","SETTEMBRE","OTTOBRE","NOVEMBRE","DICEMBRE")&amp;" "&amp;YEAR(B637),"")</f>
        <v/>
      </c>
      <c r="P636" s="12" t="str">
        <f>IF(K636=0.2,"CASA","")</f>
        <v/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" customHeight="1" x14ac:dyDescent="0.2">
      <c r="A637" s="5" t="str">
        <f>IF(AND(B637="",ISNUMBER(B638)),CHOOSE(MONTH(B638),"GENNAIO","FEBBRAIO","MARZO","APRILE","MAGGIO","GIUGNO","LUGLIO","AGOSTO","SETTEMBRE","OTTOBRE","NOVEMBRE","DICEMBRE")&amp;" "&amp;YEAR(B638),"")</f>
        <v/>
      </c>
      <c r="B637" s="11"/>
      <c r="C637" s="12"/>
      <c r="D637" s="12" t="str">
        <f>IF(C637="","",C637-IF(C636&lt;&gt;"",C636,IF(C635&lt;&gt;"",C635,IF(C634&lt;&gt;"",C634,0))))</f>
        <v/>
      </c>
      <c r="E637" s="12"/>
      <c r="F637" s="12"/>
      <c r="G637" s="9" t="str">
        <f>IF(AND(E637="",F637=""),"",IF(OR(E637&gt;1,F637&gt;1),(F637-E637)/100,F637-E637))</f>
        <v/>
      </c>
      <c r="H637" s="12" t="str">
        <f>IF(G637="","",64*G637)</f>
        <v/>
      </c>
      <c r="I637" s="13"/>
      <c r="J637" s="13" t="str">
        <f>IFERROR(IF(OR(D637="",D637=0),"",I637/D637*100),"")</f>
        <v/>
      </c>
      <c r="K637" s="14"/>
      <c r="L637" s="13" t="str">
        <f>IF(I637="","",I637*K637)</f>
        <v/>
      </c>
      <c r="M637" s="13" t="str">
        <f>IF(B637="","",IFERROR(SUMPRODUCT(ISNUMBER(B$3:B637)*(MONTH(IF(ISNUMBER(B$3:B637),B$3:B637,1))=MONTH(B637))*(YEAR(IF(ISNUMBER(B$3:B637),B$3:B637,1))=YEAR(B637))*IF(ISNUMBER(L$3:L637),L$3:L637,0)),""))</f>
        <v/>
      </c>
      <c r="N637" s="6"/>
      <c r="O637" s="7" t="str">
        <f>IF(AND(B637="",ISNUMBER(B638)),CHOOSE(MONTH(B638),"GENNAIO","FEBBRAIO","MARZO","APRILE","MAGGIO","GIUGNO","LUGLIO","AGOSTO","SETTEMBRE","OTTOBRE","NOVEMBRE","DICEMBRE")&amp;" "&amp;YEAR(B638),"")</f>
        <v/>
      </c>
      <c r="P637" s="12" t="str">
        <f>IF(K637=0.2,"CASA","")</f>
        <v/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" customHeight="1" x14ac:dyDescent="0.2">
      <c r="A638" s="5" t="str">
        <f>IF(AND(B638="",ISNUMBER(B639)),CHOOSE(MONTH(B639),"GENNAIO","FEBBRAIO","MARZO","APRILE","MAGGIO","GIUGNO","LUGLIO","AGOSTO","SETTEMBRE","OTTOBRE","NOVEMBRE","DICEMBRE")&amp;" "&amp;YEAR(B639),"")</f>
        <v/>
      </c>
      <c r="B638" s="11"/>
      <c r="C638" s="12"/>
      <c r="D638" s="12" t="str">
        <f>IF(C638="","",C638-IF(C637&lt;&gt;"",C637,IF(C636&lt;&gt;"",C636,IF(C635&lt;&gt;"",C635,0))))</f>
        <v/>
      </c>
      <c r="E638" s="12"/>
      <c r="F638" s="12"/>
      <c r="G638" s="9" t="str">
        <f>IF(AND(E638="",F638=""),"",IF(OR(E638&gt;1,F638&gt;1),(F638-E638)/100,F638-E638))</f>
        <v/>
      </c>
      <c r="H638" s="12" t="str">
        <f>IF(G638="","",64*G638)</f>
        <v/>
      </c>
      <c r="I638" s="13"/>
      <c r="J638" s="13" t="str">
        <f>IFERROR(IF(OR(D638="",D638=0),"",I638/D638*100),"")</f>
        <v/>
      </c>
      <c r="K638" s="14"/>
      <c r="L638" s="13" t="str">
        <f>IF(I638="","",I638*K638)</f>
        <v/>
      </c>
      <c r="M638" s="13" t="str">
        <f>IF(B638="","",IFERROR(SUMPRODUCT(ISNUMBER(B$3:B638)*(MONTH(IF(ISNUMBER(B$3:B638),B$3:B638,1))=MONTH(B638))*(YEAR(IF(ISNUMBER(B$3:B638),B$3:B638,1))=YEAR(B638))*IF(ISNUMBER(L$3:L638),L$3:L638,0)),""))</f>
        <v/>
      </c>
      <c r="N638" s="6"/>
      <c r="O638" s="7" t="str">
        <f>IF(AND(B638="",ISNUMBER(B639)),CHOOSE(MONTH(B639),"GENNAIO","FEBBRAIO","MARZO","APRILE","MAGGIO","GIUGNO","LUGLIO","AGOSTO","SETTEMBRE","OTTOBRE","NOVEMBRE","DICEMBRE")&amp;" "&amp;YEAR(B639),"")</f>
        <v/>
      </c>
      <c r="P638" s="12" t="str">
        <f>IF(K638=0.2,"CASA","")</f>
        <v/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" customHeight="1" x14ac:dyDescent="0.2">
      <c r="A639" s="5" t="str">
        <f>IF(AND(B639="",ISNUMBER(B640)),CHOOSE(MONTH(B640),"GENNAIO","FEBBRAIO","MARZO","APRILE","MAGGIO","GIUGNO","LUGLIO","AGOSTO","SETTEMBRE","OTTOBRE","NOVEMBRE","DICEMBRE")&amp;" "&amp;YEAR(B640),"")</f>
        <v/>
      </c>
      <c r="B639" s="11"/>
      <c r="C639" s="12"/>
      <c r="D639" s="12" t="str">
        <f>IF(C639="","",C639-IF(C638&lt;&gt;"",C638,IF(C637&lt;&gt;"",C637,IF(C636&lt;&gt;"",C636,0))))</f>
        <v/>
      </c>
      <c r="E639" s="12"/>
      <c r="F639" s="12"/>
      <c r="G639" s="9" t="str">
        <f>IF(AND(E639="",F639=""),"",IF(OR(E639&gt;1,F639&gt;1),(F639-E639)/100,F639-E639))</f>
        <v/>
      </c>
      <c r="H639" s="12" t="str">
        <f>IF(G639="","",64*G639)</f>
        <v/>
      </c>
      <c r="I639" s="13"/>
      <c r="J639" s="13" t="str">
        <f>IFERROR(IF(OR(D639="",D639=0),"",I639/D639*100),"")</f>
        <v/>
      </c>
      <c r="K639" s="14"/>
      <c r="L639" s="13" t="str">
        <f>IF(I639="","",I639*K639)</f>
        <v/>
      </c>
      <c r="M639" s="13" t="str">
        <f>IF(B639="","",IFERROR(SUMPRODUCT(ISNUMBER(B$3:B639)*(MONTH(IF(ISNUMBER(B$3:B639),B$3:B639,1))=MONTH(B639))*(YEAR(IF(ISNUMBER(B$3:B639),B$3:B639,1))=YEAR(B639))*IF(ISNUMBER(L$3:L639),L$3:L639,0)),""))</f>
        <v/>
      </c>
      <c r="N639" s="6"/>
      <c r="O639" s="7" t="str">
        <f>IF(AND(B639="",ISNUMBER(B640)),CHOOSE(MONTH(B640),"GENNAIO","FEBBRAIO","MARZO","APRILE","MAGGIO","GIUGNO","LUGLIO","AGOSTO","SETTEMBRE","OTTOBRE","NOVEMBRE","DICEMBRE")&amp;" "&amp;YEAR(B640),"")</f>
        <v/>
      </c>
      <c r="P639" s="12" t="str">
        <f>IF(K639=0.2,"CASA","")</f>
        <v/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" customHeight="1" x14ac:dyDescent="0.2">
      <c r="A640" s="5" t="str">
        <f>IF(AND(B640="",ISNUMBER(B641)),CHOOSE(MONTH(B641),"GENNAIO","FEBBRAIO","MARZO","APRILE","MAGGIO","GIUGNO","LUGLIO","AGOSTO","SETTEMBRE","OTTOBRE","NOVEMBRE","DICEMBRE")&amp;" "&amp;YEAR(B641),"")</f>
        <v/>
      </c>
      <c r="B640" s="11"/>
      <c r="C640" s="12"/>
      <c r="D640" s="12" t="str">
        <f>IF(C640="","",C640-IF(C639&lt;&gt;"",C639,IF(C638&lt;&gt;"",C638,IF(C637&lt;&gt;"",C637,0))))</f>
        <v/>
      </c>
      <c r="E640" s="12"/>
      <c r="F640" s="12"/>
      <c r="G640" s="9" t="str">
        <f>IF(AND(E640="",F640=""),"",IF(OR(E640&gt;1,F640&gt;1),(F640-E640)/100,F640-E640))</f>
        <v/>
      </c>
      <c r="H640" s="12" t="str">
        <f>IF(G640="","",64*G640)</f>
        <v/>
      </c>
      <c r="I640" s="13"/>
      <c r="J640" s="13" t="str">
        <f>IFERROR(IF(OR(D640="",D640=0),"",I640/D640*100),"")</f>
        <v/>
      </c>
      <c r="K640" s="14"/>
      <c r="L640" s="13" t="str">
        <f>IF(I640="","",I640*K640)</f>
        <v/>
      </c>
      <c r="M640" s="13" t="str">
        <f>IF(B640="","",IFERROR(SUMPRODUCT(ISNUMBER(B$3:B640)*(MONTH(IF(ISNUMBER(B$3:B640),B$3:B640,1))=MONTH(B640))*(YEAR(IF(ISNUMBER(B$3:B640),B$3:B640,1))=YEAR(B640))*IF(ISNUMBER(L$3:L640),L$3:L640,0)),""))</f>
        <v/>
      </c>
      <c r="N640" s="6"/>
      <c r="O640" s="7" t="str">
        <f>IF(AND(B640="",ISNUMBER(B641)),CHOOSE(MONTH(B641),"GENNAIO","FEBBRAIO","MARZO","APRILE","MAGGIO","GIUGNO","LUGLIO","AGOSTO","SETTEMBRE","OTTOBRE","NOVEMBRE","DICEMBRE")&amp;" "&amp;YEAR(B641),"")</f>
        <v/>
      </c>
      <c r="P640" s="12" t="str">
        <f>IF(K640=0.2,"CASA","")</f>
        <v/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" customHeight="1" x14ac:dyDescent="0.2">
      <c r="A641" s="5" t="str">
        <f>IF(AND(B641="",ISNUMBER(B642)),CHOOSE(MONTH(B642),"GENNAIO","FEBBRAIO","MARZO","APRILE","MAGGIO","GIUGNO","LUGLIO","AGOSTO","SETTEMBRE","OTTOBRE","NOVEMBRE","DICEMBRE")&amp;" "&amp;YEAR(B642),"")</f>
        <v/>
      </c>
      <c r="B641" s="11"/>
      <c r="C641" s="12"/>
      <c r="D641" s="12" t="str">
        <f>IF(C641="","",C641-IF(C640&lt;&gt;"",C640,IF(C639&lt;&gt;"",C639,IF(C638&lt;&gt;"",C638,0))))</f>
        <v/>
      </c>
      <c r="E641" s="12"/>
      <c r="F641" s="12"/>
      <c r="G641" s="9" t="str">
        <f>IF(AND(E641="",F641=""),"",IF(OR(E641&gt;1,F641&gt;1),(F641-E641)/100,F641-E641))</f>
        <v/>
      </c>
      <c r="H641" s="12" t="str">
        <f>IF(G641="","",64*G641)</f>
        <v/>
      </c>
      <c r="I641" s="13"/>
      <c r="J641" s="13" t="str">
        <f>IFERROR(IF(OR(D641="",D641=0),"",I641/D641*100),"")</f>
        <v/>
      </c>
      <c r="K641" s="14"/>
      <c r="L641" s="13" t="str">
        <f>IF(I641="","",I641*K641)</f>
        <v/>
      </c>
      <c r="M641" s="13" t="str">
        <f>IF(B641="","",IFERROR(SUMPRODUCT(ISNUMBER(B$3:B641)*(MONTH(IF(ISNUMBER(B$3:B641),B$3:B641,1))=MONTH(B641))*(YEAR(IF(ISNUMBER(B$3:B641),B$3:B641,1))=YEAR(B641))*IF(ISNUMBER(L$3:L641),L$3:L641,0)),""))</f>
        <v/>
      </c>
      <c r="N641" s="6"/>
      <c r="O641" s="7" t="str">
        <f>IF(AND(B641="",ISNUMBER(B642)),CHOOSE(MONTH(B642),"GENNAIO","FEBBRAIO","MARZO","APRILE","MAGGIO","GIUGNO","LUGLIO","AGOSTO","SETTEMBRE","OTTOBRE","NOVEMBRE","DICEMBRE")&amp;" "&amp;YEAR(B642),"")</f>
        <v/>
      </c>
      <c r="P641" s="12" t="str">
        <f>IF(K641=0.2,"CASA","")</f>
        <v/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" customHeight="1" x14ac:dyDescent="0.2">
      <c r="A642" s="5" t="str">
        <f>IF(AND(B642="",ISNUMBER(B643)),CHOOSE(MONTH(B643),"GENNAIO","FEBBRAIO","MARZO","APRILE","MAGGIO","GIUGNO","LUGLIO","AGOSTO","SETTEMBRE","OTTOBRE","NOVEMBRE","DICEMBRE")&amp;" "&amp;YEAR(B643),"")</f>
        <v/>
      </c>
      <c r="B642" s="11"/>
      <c r="C642" s="12"/>
      <c r="D642" s="12" t="str">
        <f>IF(C642="","",C642-IF(C641&lt;&gt;"",C641,IF(C640&lt;&gt;"",C640,IF(C639&lt;&gt;"",C639,0))))</f>
        <v/>
      </c>
      <c r="E642" s="12"/>
      <c r="F642" s="12"/>
      <c r="G642" s="9" t="str">
        <f>IF(AND(E642="",F642=""),"",IF(OR(E642&gt;1,F642&gt;1),(F642-E642)/100,F642-E642))</f>
        <v/>
      </c>
      <c r="H642" s="12" t="str">
        <f>IF(G642="","",64*G642)</f>
        <v/>
      </c>
      <c r="I642" s="13"/>
      <c r="J642" s="13" t="str">
        <f>IFERROR(IF(OR(D642="",D642=0),"",I642/D642*100),"")</f>
        <v/>
      </c>
      <c r="K642" s="14"/>
      <c r="L642" s="13" t="str">
        <f>IF(I642="","",I642*K642)</f>
        <v/>
      </c>
      <c r="M642" s="13" t="str">
        <f>IF(B642="","",IFERROR(SUMPRODUCT(ISNUMBER(B$3:B642)*(MONTH(IF(ISNUMBER(B$3:B642),B$3:B642,1))=MONTH(B642))*(YEAR(IF(ISNUMBER(B$3:B642),B$3:B642,1))=YEAR(B642))*IF(ISNUMBER(L$3:L642),L$3:L642,0)),""))</f>
        <v/>
      </c>
      <c r="N642" s="6"/>
      <c r="O642" s="7" t="str">
        <f>IF(AND(B642="",ISNUMBER(B643)),CHOOSE(MONTH(B643),"GENNAIO","FEBBRAIO","MARZO","APRILE","MAGGIO","GIUGNO","LUGLIO","AGOSTO","SETTEMBRE","OTTOBRE","NOVEMBRE","DICEMBRE")&amp;" "&amp;YEAR(B643),"")</f>
        <v/>
      </c>
      <c r="P642" s="12" t="str">
        <f>IF(K642=0.2,"CASA","")</f>
        <v/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" customHeight="1" x14ac:dyDescent="0.2">
      <c r="A643" s="5" t="str">
        <f>IF(AND(B643="",ISNUMBER(B644)),CHOOSE(MONTH(B644),"GENNAIO","FEBBRAIO","MARZO","APRILE","MAGGIO","GIUGNO","LUGLIO","AGOSTO","SETTEMBRE","OTTOBRE","NOVEMBRE","DICEMBRE")&amp;" "&amp;YEAR(B644),"")</f>
        <v/>
      </c>
      <c r="B643" s="11"/>
      <c r="C643" s="12"/>
      <c r="D643" s="12" t="str">
        <f>IF(C643="","",C643-IF(C642&lt;&gt;"",C642,IF(C641&lt;&gt;"",C641,IF(C640&lt;&gt;"",C640,0))))</f>
        <v/>
      </c>
      <c r="E643" s="12"/>
      <c r="F643" s="12"/>
      <c r="G643" s="9" t="str">
        <f>IF(AND(E643="",F643=""),"",IF(OR(E643&gt;1,F643&gt;1),(F643-E643)/100,F643-E643))</f>
        <v/>
      </c>
      <c r="H643" s="12" t="str">
        <f>IF(G643="","",64*G643)</f>
        <v/>
      </c>
      <c r="I643" s="13"/>
      <c r="J643" s="13" t="str">
        <f>IFERROR(IF(OR(D643="",D643=0),"",I643/D643*100),"")</f>
        <v/>
      </c>
      <c r="K643" s="14"/>
      <c r="L643" s="13" t="str">
        <f>IF(I643="","",I643*K643)</f>
        <v/>
      </c>
      <c r="M643" s="13" t="str">
        <f>IF(B643="","",IFERROR(SUMPRODUCT(ISNUMBER(B$3:B643)*(MONTH(IF(ISNUMBER(B$3:B643),B$3:B643,1))=MONTH(B643))*(YEAR(IF(ISNUMBER(B$3:B643),B$3:B643,1))=YEAR(B643))*IF(ISNUMBER(L$3:L643),L$3:L643,0)),""))</f>
        <v/>
      </c>
      <c r="N643" s="6"/>
      <c r="O643" s="7" t="str">
        <f>IF(AND(B643="",ISNUMBER(B644)),CHOOSE(MONTH(B644),"GENNAIO","FEBBRAIO","MARZO","APRILE","MAGGIO","GIUGNO","LUGLIO","AGOSTO","SETTEMBRE","OTTOBRE","NOVEMBRE","DICEMBRE")&amp;" "&amp;YEAR(B644),"")</f>
        <v/>
      </c>
      <c r="P643" s="12" t="str">
        <f>IF(K643=0.2,"CASA","")</f>
        <v/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" customHeight="1" x14ac:dyDescent="0.2">
      <c r="A644" s="5" t="str">
        <f>IF(AND(B644="",ISNUMBER(B645)),CHOOSE(MONTH(B645),"GENNAIO","FEBBRAIO","MARZO","APRILE","MAGGIO","GIUGNO","LUGLIO","AGOSTO","SETTEMBRE","OTTOBRE","NOVEMBRE","DICEMBRE")&amp;" "&amp;YEAR(B645),"")</f>
        <v/>
      </c>
      <c r="B644" s="11"/>
      <c r="C644" s="12"/>
      <c r="D644" s="12" t="str">
        <f>IF(C644="","",C644-IF(C643&lt;&gt;"",C643,IF(C642&lt;&gt;"",C642,IF(C641&lt;&gt;"",C641,0))))</f>
        <v/>
      </c>
      <c r="E644" s="12"/>
      <c r="F644" s="12"/>
      <c r="G644" s="9" t="str">
        <f>IF(AND(E644="",F644=""),"",IF(OR(E644&gt;1,F644&gt;1),(F644-E644)/100,F644-E644))</f>
        <v/>
      </c>
      <c r="H644" s="12" t="str">
        <f>IF(G644="","",64*G644)</f>
        <v/>
      </c>
      <c r="I644" s="13"/>
      <c r="J644" s="13" t="str">
        <f>IFERROR(IF(OR(D644="",D644=0),"",I644/D644*100),"")</f>
        <v/>
      </c>
      <c r="K644" s="14"/>
      <c r="L644" s="13" t="str">
        <f>IF(I644="","",I644*K644)</f>
        <v/>
      </c>
      <c r="M644" s="13" t="str">
        <f>IF(B644="","",IFERROR(SUMPRODUCT(ISNUMBER(B$3:B644)*(MONTH(IF(ISNUMBER(B$3:B644),B$3:B644,1))=MONTH(B644))*(YEAR(IF(ISNUMBER(B$3:B644),B$3:B644,1))=YEAR(B644))*IF(ISNUMBER(L$3:L644),L$3:L644,0)),""))</f>
        <v/>
      </c>
      <c r="N644" s="6"/>
      <c r="O644" s="7" t="str">
        <f>IF(AND(B644="",ISNUMBER(B645)),CHOOSE(MONTH(B645),"GENNAIO","FEBBRAIO","MARZO","APRILE","MAGGIO","GIUGNO","LUGLIO","AGOSTO","SETTEMBRE","OTTOBRE","NOVEMBRE","DICEMBRE")&amp;" "&amp;YEAR(B645),"")</f>
        <v/>
      </c>
      <c r="P644" s="12" t="str">
        <f>IF(K644=0.2,"CASA","")</f>
        <v/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" customHeight="1" x14ac:dyDescent="0.2">
      <c r="A645" s="5" t="str">
        <f>IF(AND(B645="",ISNUMBER(B646)),CHOOSE(MONTH(B646),"GENNAIO","FEBBRAIO","MARZO","APRILE","MAGGIO","GIUGNO","LUGLIO","AGOSTO","SETTEMBRE","OTTOBRE","NOVEMBRE","DICEMBRE")&amp;" "&amp;YEAR(B646),"")</f>
        <v/>
      </c>
      <c r="B645" s="11"/>
      <c r="C645" s="12"/>
      <c r="D645" s="12" t="str">
        <f>IF(C645="","",C645-IF(C644&lt;&gt;"",C644,IF(C643&lt;&gt;"",C643,IF(C642&lt;&gt;"",C642,0))))</f>
        <v/>
      </c>
      <c r="E645" s="12"/>
      <c r="F645" s="12"/>
      <c r="G645" s="9" t="str">
        <f>IF(AND(E645="",F645=""),"",IF(OR(E645&gt;1,F645&gt;1),(F645-E645)/100,F645-E645))</f>
        <v/>
      </c>
      <c r="H645" s="12" t="str">
        <f>IF(G645="","",64*G645)</f>
        <v/>
      </c>
      <c r="I645" s="13"/>
      <c r="J645" s="13" t="str">
        <f>IFERROR(IF(OR(D645="",D645=0),"",I645/D645*100),"")</f>
        <v/>
      </c>
      <c r="K645" s="14"/>
      <c r="L645" s="13" t="str">
        <f>IF(I645="","",I645*K645)</f>
        <v/>
      </c>
      <c r="M645" s="13" t="str">
        <f>IF(B645="","",IFERROR(SUMPRODUCT(ISNUMBER(B$3:B645)*(MONTH(IF(ISNUMBER(B$3:B645),B$3:B645,1))=MONTH(B645))*(YEAR(IF(ISNUMBER(B$3:B645),B$3:B645,1))=YEAR(B645))*IF(ISNUMBER(L$3:L645),L$3:L645,0)),""))</f>
        <v/>
      </c>
      <c r="N645" s="6"/>
      <c r="O645" s="7" t="str">
        <f>IF(AND(B645="",ISNUMBER(B646)),CHOOSE(MONTH(B646),"GENNAIO","FEBBRAIO","MARZO","APRILE","MAGGIO","GIUGNO","LUGLIO","AGOSTO","SETTEMBRE","OTTOBRE","NOVEMBRE","DICEMBRE")&amp;" "&amp;YEAR(B646),"")</f>
        <v/>
      </c>
      <c r="P645" s="12" t="str">
        <f>IF(K645=0.2,"CASA","")</f>
        <v/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" customHeight="1" x14ac:dyDescent="0.2">
      <c r="A646" s="5" t="str">
        <f>IF(AND(B646="",ISNUMBER(B647)),CHOOSE(MONTH(B647),"GENNAIO","FEBBRAIO","MARZO","APRILE","MAGGIO","GIUGNO","LUGLIO","AGOSTO","SETTEMBRE","OTTOBRE","NOVEMBRE","DICEMBRE")&amp;" "&amp;YEAR(B647),"")</f>
        <v/>
      </c>
      <c r="B646" s="11"/>
      <c r="C646" s="12"/>
      <c r="D646" s="12" t="str">
        <f>IF(C646="","",C646-IF(C645&lt;&gt;"",C645,IF(C644&lt;&gt;"",C644,IF(C643&lt;&gt;"",C643,0))))</f>
        <v/>
      </c>
      <c r="E646" s="12"/>
      <c r="F646" s="12"/>
      <c r="G646" s="9" t="str">
        <f>IF(AND(E646="",F646=""),"",IF(OR(E646&gt;1,F646&gt;1),(F646-E646)/100,F646-E646))</f>
        <v/>
      </c>
      <c r="H646" s="12" t="str">
        <f>IF(G646="","",64*G646)</f>
        <v/>
      </c>
      <c r="I646" s="13"/>
      <c r="J646" s="13" t="str">
        <f>IFERROR(IF(OR(D646="",D646=0),"",I646/D646*100),"")</f>
        <v/>
      </c>
      <c r="K646" s="14"/>
      <c r="L646" s="13" t="str">
        <f>IF(I646="","",I646*K646)</f>
        <v/>
      </c>
      <c r="M646" s="13" t="str">
        <f>IF(B646="","",IFERROR(SUMPRODUCT(ISNUMBER(B$3:B646)*(MONTH(IF(ISNUMBER(B$3:B646),B$3:B646,1))=MONTH(B646))*(YEAR(IF(ISNUMBER(B$3:B646),B$3:B646,1))=YEAR(B646))*IF(ISNUMBER(L$3:L646),L$3:L646,0)),""))</f>
        <v/>
      </c>
      <c r="N646" s="6"/>
      <c r="O646" s="7" t="str">
        <f>IF(AND(B646="",ISNUMBER(B647)),CHOOSE(MONTH(B647),"GENNAIO","FEBBRAIO","MARZO","APRILE","MAGGIO","GIUGNO","LUGLIO","AGOSTO","SETTEMBRE","OTTOBRE","NOVEMBRE","DICEMBRE")&amp;" "&amp;YEAR(B647),"")</f>
        <v/>
      </c>
      <c r="P646" s="12" t="str">
        <f>IF(K646=0.2,"CASA","")</f>
        <v/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" customHeight="1" x14ac:dyDescent="0.2">
      <c r="A647" s="5" t="str">
        <f>IF(AND(B647="",ISNUMBER(B648)),CHOOSE(MONTH(B648),"GENNAIO","FEBBRAIO","MARZO","APRILE","MAGGIO","GIUGNO","LUGLIO","AGOSTO","SETTEMBRE","OTTOBRE","NOVEMBRE","DICEMBRE")&amp;" "&amp;YEAR(B648),"")</f>
        <v/>
      </c>
      <c r="B647" s="11"/>
      <c r="C647" s="12"/>
      <c r="D647" s="12" t="str">
        <f>IF(C647="","",C647-IF(C646&lt;&gt;"",C646,IF(C645&lt;&gt;"",C645,IF(C644&lt;&gt;"",C644,0))))</f>
        <v/>
      </c>
      <c r="E647" s="12"/>
      <c r="F647" s="12"/>
      <c r="G647" s="9" t="str">
        <f>IF(AND(E647="",F647=""),"",IF(OR(E647&gt;1,F647&gt;1),(F647-E647)/100,F647-E647))</f>
        <v/>
      </c>
      <c r="H647" s="12" t="str">
        <f>IF(G647="","",64*G647)</f>
        <v/>
      </c>
      <c r="I647" s="13"/>
      <c r="J647" s="13" t="str">
        <f>IFERROR(IF(OR(D647="",D647=0),"",I647/D647*100),"")</f>
        <v/>
      </c>
      <c r="K647" s="14"/>
      <c r="L647" s="13" t="str">
        <f>IF(I647="","",I647*K647)</f>
        <v/>
      </c>
      <c r="M647" s="13" t="str">
        <f>IF(B647="","",IFERROR(SUMPRODUCT(ISNUMBER(B$3:B647)*(MONTH(IF(ISNUMBER(B$3:B647),B$3:B647,1))=MONTH(B647))*(YEAR(IF(ISNUMBER(B$3:B647),B$3:B647,1))=YEAR(B647))*IF(ISNUMBER(L$3:L647),L$3:L647,0)),""))</f>
        <v/>
      </c>
      <c r="N647" s="6"/>
      <c r="O647" s="7" t="str">
        <f>IF(AND(B647="",ISNUMBER(B648)),CHOOSE(MONTH(B648),"GENNAIO","FEBBRAIO","MARZO","APRILE","MAGGIO","GIUGNO","LUGLIO","AGOSTO","SETTEMBRE","OTTOBRE","NOVEMBRE","DICEMBRE")&amp;" "&amp;YEAR(B648),"")</f>
        <v/>
      </c>
      <c r="P647" s="12" t="str">
        <f>IF(K647=0.2,"CASA","")</f>
        <v/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" customHeight="1" x14ac:dyDescent="0.2">
      <c r="A648" s="5" t="str">
        <f>IF(AND(B648="",ISNUMBER(B649)),CHOOSE(MONTH(B649),"GENNAIO","FEBBRAIO","MARZO","APRILE","MAGGIO","GIUGNO","LUGLIO","AGOSTO","SETTEMBRE","OTTOBRE","NOVEMBRE","DICEMBRE")&amp;" "&amp;YEAR(B649),"")</f>
        <v/>
      </c>
      <c r="B648" s="11"/>
      <c r="C648" s="12"/>
      <c r="D648" s="12" t="str">
        <f>IF(C648="","",C648-IF(C647&lt;&gt;"",C647,IF(C646&lt;&gt;"",C646,IF(C645&lt;&gt;"",C645,0))))</f>
        <v/>
      </c>
      <c r="E648" s="12"/>
      <c r="F648" s="12"/>
      <c r="G648" s="9" t="str">
        <f>IF(AND(E648="",F648=""),"",IF(OR(E648&gt;1,F648&gt;1),(F648-E648)/100,F648-E648))</f>
        <v/>
      </c>
      <c r="H648" s="12" t="str">
        <f>IF(G648="","",64*G648)</f>
        <v/>
      </c>
      <c r="I648" s="13"/>
      <c r="J648" s="13" t="str">
        <f>IFERROR(IF(OR(D648="",D648=0),"",I648/D648*100),"")</f>
        <v/>
      </c>
      <c r="K648" s="14"/>
      <c r="L648" s="13" t="str">
        <f>IF(I648="","",I648*K648)</f>
        <v/>
      </c>
      <c r="M648" s="13" t="str">
        <f>IF(B648="","",IFERROR(SUMPRODUCT(ISNUMBER(B$3:B648)*(MONTH(IF(ISNUMBER(B$3:B648),B$3:B648,1))=MONTH(B648))*(YEAR(IF(ISNUMBER(B$3:B648),B$3:B648,1))=YEAR(B648))*IF(ISNUMBER(L$3:L648),L$3:L648,0)),""))</f>
        <v/>
      </c>
      <c r="N648" s="6"/>
      <c r="O648" s="7" t="str">
        <f>IF(AND(B648="",ISNUMBER(B649)),CHOOSE(MONTH(B649),"GENNAIO","FEBBRAIO","MARZO","APRILE","MAGGIO","GIUGNO","LUGLIO","AGOSTO","SETTEMBRE","OTTOBRE","NOVEMBRE","DICEMBRE")&amp;" "&amp;YEAR(B649),"")</f>
        <v/>
      </c>
      <c r="P648" s="12" t="str">
        <f>IF(K648=0.2,"CASA","")</f>
        <v/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" customHeight="1" x14ac:dyDescent="0.2">
      <c r="A649" s="5" t="str">
        <f>IF(AND(B649="",ISNUMBER(B650)),CHOOSE(MONTH(B650),"GENNAIO","FEBBRAIO","MARZO","APRILE","MAGGIO","GIUGNO","LUGLIO","AGOSTO","SETTEMBRE","OTTOBRE","NOVEMBRE","DICEMBRE")&amp;" "&amp;YEAR(B650),"")</f>
        <v/>
      </c>
      <c r="B649" s="11"/>
      <c r="C649" s="12"/>
      <c r="D649" s="12" t="str">
        <f>IF(C649="","",C649-IF(C648&lt;&gt;"",C648,IF(C647&lt;&gt;"",C647,IF(C646&lt;&gt;"",C646,0))))</f>
        <v/>
      </c>
      <c r="E649" s="12"/>
      <c r="F649" s="12"/>
      <c r="G649" s="9" t="str">
        <f>IF(AND(E649="",F649=""),"",IF(OR(E649&gt;1,F649&gt;1),(F649-E649)/100,F649-E649))</f>
        <v/>
      </c>
      <c r="H649" s="12" t="str">
        <f>IF(G649="","",64*G649)</f>
        <v/>
      </c>
      <c r="I649" s="13"/>
      <c r="J649" s="13" t="str">
        <f>IFERROR(IF(OR(D649="",D649=0),"",I649/D649*100),"")</f>
        <v/>
      </c>
      <c r="K649" s="14"/>
      <c r="L649" s="13" t="str">
        <f>IF(I649="","",I649*K649)</f>
        <v/>
      </c>
      <c r="M649" s="13" t="str">
        <f>IF(B649="","",IFERROR(SUMPRODUCT(ISNUMBER(B$3:B649)*(MONTH(IF(ISNUMBER(B$3:B649),B$3:B649,1))=MONTH(B649))*(YEAR(IF(ISNUMBER(B$3:B649),B$3:B649,1))=YEAR(B649))*IF(ISNUMBER(L$3:L649),L$3:L649,0)),""))</f>
        <v/>
      </c>
      <c r="N649" s="6"/>
      <c r="O649" s="7" t="str">
        <f>IF(AND(B649="",ISNUMBER(B650)),CHOOSE(MONTH(B650),"GENNAIO","FEBBRAIO","MARZO","APRILE","MAGGIO","GIUGNO","LUGLIO","AGOSTO","SETTEMBRE","OTTOBRE","NOVEMBRE","DICEMBRE")&amp;" "&amp;YEAR(B650),"")</f>
        <v/>
      </c>
      <c r="P649" s="12" t="str">
        <f>IF(K649=0.2,"CASA","")</f>
        <v/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" customHeight="1" x14ac:dyDescent="0.2">
      <c r="A650" s="5" t="str">
        <f>IF(AND(B650="",ISNUMBER(B651)),CHOOSE(MONTH(B651),"GENNAIO","FEBBRAIO","MARZO","APRILE","MAGGIO","GIUGNO","LUGLIO","AGOSTO","SETTEMBRE","OTTOBRE","NOVEMBRE","DICEMBRE")&amp;" "&amp;YEAR(B651),"")</f>
        <v/>
      </c>
      <c r="B650" s="11"/>
      <c r="C650" s="12"/>
      <c r="D650" s="12" t="str">
        <f>IF(C650="","",C650-IF(C649&lt;&gt;"",C649,IF(C648&lt;&gt;"",C648,IF(C647&lt;&gt;"",C647,0))))</f>
        <v/>
      </c>
      <c r="E650" s="12"/>
      <c r="F650" s="12"/>
      <c r="G650" s="9" t="str">
        <f>IF(AND(E650="",F650=""),"",IF(OR(E650&gt;1,F650&gt;1),(F650-E650)/100,F650-E650))</f>
        <v/>
      </c>
      <c r="H650" s="12" t="str">
        <f>IF(G650="","",64*G650)</f>
        <v/>
      </c>
      <c r="I650" s="13"/>
      <c r="J650" s="13" t="str">
        <f>IFERROR(IF(OR(D650="",D650=0),"",I650/D650*100),"")</f>
        <v/>
      </c>
      <c r="K650" s="14"/>
      <c r="L650" s="13" t="str">
        <f>IF(I650="","",I650*K650)</f>
        <v/>
      </c>
      <c r="M650" s="13" t="str">
        <f>IF(B650="","",IFERROR(SUMPRODUCT(ISNUMBER(B$3:B650)*(MONTH(IF(ISNUMBER(B$3:B650),B$3:B650,1))=MONTH(B650))*(YEAR(IF(ISNUMBER(B$3:B650),B$3:B650,1))=YEAR(B650))*IF(ISNUMBER(L$3:L650),L$3:L650,0)),""))</f>
        <v/>
      </c>
      <c r="N650" s="6"/>
      <c r="O650" s="7" t="str">
        <f>IF(AND(B650="",ISNUMBER(B651)),CHOOSE(MONTH(B651),"GENNAIO","FEBBRAIO","MARZO","APRILE","MAGGIO","GIUGNO","LUGLIO","AGOSTO","SETTEMBRE","OTTOBRE","NOVEMBRE","DICEMBRE")&amp;" "&amp;YEAR(B651),"")</f>
        <v/>
      </c>
      <c r="P650" s="12" t="str">
        <f>IF(K650=0.2,"CASA","")</f>
        <v/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" customHeight="1" x14ac:dyDescent="0.2">
      <c r="A651" s="5" t="str">
        <f>IF(AND(B651="",ISNUMBER(B652)),CHOOSE(MONTH(B652),"GENNAIO","FEBBRAIO","MARZO","APRILE","MAGGIO","GIUGNO","LUGLIO","AGOSTO","SETTEMBRE","OTTOBRE","NOVEMBRE","DICEMBRE")&amp;" "&amp;YEAR(B652),"")</f>
        <v/>
      </c>
      <c r="B651" s="11"/>
      <c r="C651" s="12"/>
      <c r="D651" s="12" t="str">
        <f>IF(C651="","",C651-IF(C650&lt;&gt;"",C650,IF(C649&lt;&gt;"",C649,IF(C648&lt;&gt;"",C648,0))))</f>
        <v/>
      </c>
      <c r="E651" s="12"/>
      <c r="F651" s="12"/>
      <c r="G651" s="9" t="str">
        <f>IF(AND(E651="",F651=""),"",IF(OR(E651&gt;1,F651&gt;1),(F651-E651)/100,F651-E651))</f>
        <v/>
      </c>
      <c r="H651" s="12" t="str">
        <f>IF(G651="","",64*G651)</f>
        <v/>
      </c>
      <c r="I651" s="13"/>
      <c r="J651" s="13" t="str">
        <f>IFERROR(IF(OR(D651="",D651=0),"",I651/D651*100),"")</f>
        <v/>
      </c>
      <c r="K651" s="14"/>
      <c r="L651" s="13" t="str">
        <f>IF(I651="","",I651*K651)</f>
        <v/>
      </c>
      <c r="M651" s="13" t="str">
        <f>IF(B651="","",IFERROR(SUMPRODUCT(ISNUMBER(B$3:B651)*(MONTH(IF(ISNUMBER(B$3:B651),B$3:B651,1))=MONTH(B651))*(YEAR(IF(ISNUMBER(B$3:B651),B$3:B651,1))=YEAR(B651))*IF(ISNUMBER(L$3:L651),L$3:L651,0)),""))</f>
        <v/>
      </c>
      <c r="N651" s="6"/>
      <c r="O651" s="7" t="str">
        <f>IF(AND(B651="",ISNUMBER(B652)),CHOOSE(MONTH(B652),"GENNAIO","FEBBRAIO","MARZO","APRILE","MAGGIO","GIUGNO","LUGLIO","AGOSTO","SETTEMBRE","OTTOBRE","NOVEMBRE","DICEMBRE")&amp;" "&amp;YEAR(B652),"")</f>
        <v/>
      </c>
      <c r="P651" s="12" t="str">
        <f>IF(K651=0.2,"CASA","")</f>
        <v/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" customHeight="1" x14ac:dyDescent="0.2">
      <c r="A652" s="5" t="str">
        <f>IF(AND(B652="",ISNUMBER(B653)),CHOOSE(MONTH(B653),"GENNAIO","FEBBRAIO","MARZO","APRILE","MAGGIO","GIUGNO","LUGLIO","AGOSTO","SETTEMBRE","OTTOBRE","NOVEMBRE","DICEMBRE")&amp;" "&amp;YEAR(B653),"")</f>
        <v/>
      </c>
      <c r="B652" s="11"/>
      <c r="C652" s="12"/>
      <c r="D652" s="12" t="str">
        <f>IF(C652="","",C652-IF(C651&lt;&gt;"",C651,IF(C650&lt;&gt;"",C650,IF(C649&lt;&gt;"",C649,0))))</f>
        <v/>
      </c>
      <c r="E652" s="12"/>
      <c r="F652" s="12"/>
      <c r="G652" s="9" t="str">
        <f>IF(AND(E652="",F652=""),"",IF(OR(E652&gt;1,F652&gt;1),(F652-E652)/100,F652-E652))</f>
        <v/>
      </c>
      <c r="H652" s="12" t="str">
        <f>IF(G652="","",64*G652)</f>
        <v/>
      </c>
      <c r="I652" s="13"/>
      <c r="J652" s="13" t="str">
        <f>IFERROR(IF(OR(D652="",D652=0),"",I652/D652*100),"")</f>
        <v/>
      </c>
      <c r="K652" s="14"/>
      <c r="L652" s="13" t="str">
        <f>IF(I652="","",I652*K652)</f>
        <v/>
      </c>
      <c r="M652" s="13" t="str">
        <f>IF(B652="","",IFERROR(SUMPRODUCT(ISNUMBER(B$3:B652)*(MONTH(IF(ISNUMBER(B$3:B652),B$3:B652,1))=MONTH(B652))*(YEAR(IF(ISNUMBER(B$3:B652),B$3:B652,1))=YEAR(B652))*IF(ISNUMBER(L$3:L652),L$3:L652,0)),""))</f>
        <v/>
      </c>
      <c r="N652" s="6"/>
      <c r="O652" s="7" t="str">
        <f>IF(AND(B652="",ISNUMBER(B653)),CHOOSE(MONTH(B653),"GENNAIO","FEBBRAIO","MARZO","APRILE","MAGGIO","GIUGNO","LUGLIO","AGOSTO","SETTEMBRE","OTTOBRE","NOVEMBRE","DICEMBRE")&amp;" "&amp;YEAR(B653),"")</f>
        <v/>
      </c>
      <c r="P652" s="12" t="str">
        <f>IF(K652=0.2,"CASA","")</f>
        <v/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" customHeight="1" x14ac:dyDescent="0.2">
      <c r="A653" s="5" t="str">
        <f>IF(AND(B653="",ISNUMBER(B654)),CHOOSE(MONTH(B654),"GENNAIO","FEBBRAIO","MARZO","APRILE","MAGGIO","GIUGNO","LUGLIO","AGOSTO","SETTEMBRE","OTTOBRE","NOVEMBRE","DICEMBRE")&amp;" "&amp;YEAR(B654),"")</f>
        <v/>
      </c>
      <c r="B653" s="11"/>
      <c r="C653" s="12"/>
      <c r="D653" s="12" t="str">
        <f>IF(C653="","",C653-IF(C652&lt;&gt;"",C652,IF(C651&lt;&gt;"",C651,IF(C650&lt;&gt;"",C650,0))))</f>
        <v/>
      </c>
      <c r="E653" s="12"/>
      <c r="F653" s="12"/>
      <c r="G653" s="9" t="str">
        <f>IF(AND(E653="",F653=""),"",IF(OR(E653&gt;1,F653&gt;1),(F653-E653)/100,F653-E653))</f>
        <v/>
      </c>
      <c r="H653" s="12" t="str">
        <f>IF(G653="","",64*G653)</f>
        <v/>
      </c>
      <c r="I653" s="13"/>
      <c r="J653" s="13" t="str">
        <f>IFERROR(IF(OR(D653="",D653=0),"",I653/D653*100),"")</f>
        <v/>
      </c>
      <c r="K653" s="14"/>
      <c r="L653" s="13" t="str">
        <f>IF(I653="","",I653*K653)</f>
        <v/>
      </c>
      <c r="M653" s="13" t="str">
        <f>IF(B653="","",IFERROR(SUMPRODUCT(ISNUMBER(B$3:B653)*(MONTH(IF(ISNUMBER(B$3:B653),B$3:B653,1))=MONTH(B653))*(YEAR(IF(ISNUMBER(B$3:B653),B$3:B653,1))=YEAR(B653))*IF(ISNUMBER(L$3:L653),L$3:L653,0)),""))</f>
        <v/>
      </c>
      <c r="N653" s="6"/>
      <c r="O653" s="7" t="str">
        <f>IF(AND(B653="",ISNUMBER(B654)),CHOOSE(MONTH(B654),"GENNAIO","FEBBRAIO","MARZO","APRILE","MAGGIO","GIUGNO","LUGLIO","AGOSTO","SETTEMBRE","OTTOBRE","NOVEMBRE","DICEMBRE")&amp;" "&amp;YEAR(B654),"")</f>
        <v/>
      </c>
      <c r="P653" s="12" t="str">
        <f>IF(K653=0.2,"CASA","")</f>
        <v/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" customHeight="1" x14ac:dyDescent="0.2">
      <c r="A654" s="5" t="str">
        <f>IF(AND(B654="",ISNUMBER(B655)),CHOOSE(MONTH(B655),"GENNAIO","FEBBRAIO","MARZO","APRILE","MAGGIO","GIUGNO","LUGLIO","AGOSTO","SETTEMBRE","OTTOBRE","NOVEMBRE","DICEMBRE")&amp;" "&amp;YEAR(B655),"")</f>
        <v/>
      </c>
      <c r="B654" s="11"/>
      <c r="C654" s="12"/>
      <c r="D654" s="12" t="str">
        <f>IF(C654="","",C654-IF(C653&lt;&gt;"",C653,IF(C652&lt;&gt;"",C652,IF(C651&lt;&gt;"",C651,0))))</f>
        <v/>
      </c>
      <c r="E654" s="12"/>
      <c r="F654" s="12"/>
      <c r="G654" s="9" t="str">
        <f>IF(AND(E654="",F654=""),"",IF(OR(E654&gt;1,F654&gt;1),(F654-E654)/100,F654-E654))</f>
        <v/>
      </c>
      <c r="H654" s="12" t="str">
        <f>IF(G654="","",64*G654)</f>
        <v/>
      </c>
      <c r="I654" s="13"/>
      <c r="J654" s="13" t="str">
        <f>IFERROR(IF(OR(D654="",D654=0),"",I654/D654*100),"")</f>
        <v/>
      </c>
      <c r="K654" s="14"/>
      <c r="L654" s="13" t="str">
        <f>IF(I654="","",I654*K654)</f>
        <v/>
      </c>
      <c r="M654" s="13" t="str">
        <f>IF(B654="","",IFERROR(SUMPRODUCT(ISNUMBER(B$3:B654)*(MONTH(IF(ISNUMBER(B$3:B654),B$3:B654,1))=MONTH(B654))*(YEAR(IF(ISNUMBER(B$3:B654),B$3:B654,1))=YEAR(B654))*IF(ISNUMBER(L$3:L654),L$3:L654,0)),""))</f>
        <v/>
      </c>
      <c r="N654" s="6"/>
      <c r="O654" s="7" t="str">
        <f>IF(AND(B654="",ISNUMBER(B655)),CHOOSE(MONTH(B655),"GENNAIO","FEBBRAIO","MARZO","APRILE","MAGGIO","GIUGNO","LUGLIO","AGOSTO","SETTEMBRE","OTTOBRE","NOVEMBRE","DICEMBRE")&amp;" "&amp;YEAR(B655),"")</f>
        <v/>
      </c>
      <c r="P654" s="12" t="str">
        <f>IF(K654=0.2,"CASA","")</f>
        <v/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" customHeight="1" x14ac:dyDescent="0.2">
      <c r="A655" s="5" t="str">
        <f>IF(AND(B655="",ISNUMBER(B656)),CHOOSE(MONTH(B656),"GENNAIO","FEBBRAIO","MARZO","APRILE","MAGGIO","GIUGNO","LUGLIO","AGOSTO","SETTEMBRE","OTTOBRE","NOVEMBRE","DICEMBRE")&amp;" "&amp;YEAR(B656),"")</f>
        <v/>
      </c>
      <c r="B655" s="11"/>
      <c r="C655" s="12"/>
      <c r="D655" s="12" t="str">
        <f>IF(C655="","",C655-IF(C654&lt;&gt;"",C654,IF(C653&lt;&gt;"",C653,IF(C652&lt;&gt;"",C652,0))))</f>
        <v/>
      </c>
      <c r="E655" s="12"/>
      <c r="F655" s="12"/>
      <c r="G655" s="9" t="str">
        <f>IF(AND(E655="",F655=""),"",IF(OR(E655&gt;1,F655&gt;1),(F655-E655)/100,F655-E655))</f>
        <v/>
      </c>
      <c r="H655" s="12" t="str">
        <f>IF(G655="","",64*G655)</f>
        <v/>
      </c>
      <c r="I655" s="13"/>
      <c r="J655" s="13" t="str">
        <f>IFERROR(IF(OR(D655="",D655=0),"",I655/D655*100),"")</f>
        <v/>
      </c>
      <c r="K655" s="14"/>
      <c r="L655" s="13" t="str">
        <f>IF(I655="","",I655*K655)</f>
        <v/>
      </c>
      <c r="M655" s="13" t="str">
        <f>IF(B655="","",IFERROR(SUMPRODUCT(ISNUMBER(B$3:B655)*(MONTH(IF(ISNUMBER(B$3:B655),B$3:B655,1))=MONTH(B655))*(YEAR(IF(ISNUMBER(B$3:B655),B$3:B655,1))=YEAR(B655))*IF(ISNUMBER(L$3:L655),L$3:L655,0)),""))</f>
        <v/>
      </c>
      <c r="N655" s="6"/>
      <c r="O655" s="7" t="str">
        <f>IF(AND(B655="",ISNUMBER(B656)),CHOOSE(MONTH(B656),"GENNAIO","FEBBRAIO","MARZO","APRILE","MAGGIO","GIUGNO","LUGLIO","AGOSTO","SETTEMBRE","OTTOBRE","NOVEMBRE","DICEMBRE")&amp;" "&amp;YEAR(B656),"")</f>
        <v/>
      </c>
      <c r="P655" s="12" t="str">
        <f>IF(K655=0.2,"CASA","")</f>
        <v/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" customHeight="1" x14ac:dyDescent="0.2">
      <c r="A656" s="5" t="str">
        <f>IF(AND(B656="",ISNUMBER(B657)),CHOOSE(MONTH(B657),"GENNAIO","FEBBRAIO","MARZO","APRILE","MAGGIO","GIUGNO","LUGLIO","AGOSTO","SETTEMBRE","OTTOBRE","NOVEMBRE","DICEMBRE")&amp;" "&amp;YEAR(B657),"")</f>
        <v/>
      </c>
      <c r="B656" s="11"/>
      <c r="C656" s="12"/>
      <c r="D656" s="12" t="str">
        <f>IF(C656="","",C656-IF(C655&lt;&gt;"",C655,IF(C654&lt;&gt;"",C654,IF(C653&lt;&gt;"",C653,0))))</f>
        <v/>
      </c>
      <c r="E656" s="12"/>
      <c r="F656" s="12"/>
      <c r="G656" s="9" t="str">
        <f>IF(AND(E656="",F656=""),"",IF(OR(E656&gt;1,F656&gt;1),(F656-E656)/100,F656-E656))</f>
        <v/>
      </c>
      <c r="H656" s="12" t="str">
        <f>IF(G656="","",64*G656)</f>
        <v/>
      </c>
      <c r="I656" s="13"/>
      <c r="J656" s="13" t="str">
        <f>IFERROR(IF(OR(D656="",D656=0),"",I656/D656*100),"")</f>
        <v/>
      </c>
      <c r="K656" s="14"/>
      <c r="L656" s="13" t="str">
        <f>IF(I656="","",I656*K656)</f>
        <v/>
      </c>
      <c r="M656" s="13" t="str">
        <f>IF(B656="","",IFERROR(SUMPRODUCT(ISNUMBER(B$3:B656)*(MONTH(IF(ISNUMBER(B$3:B656),B$3:B656,1))=MONTH(B656))*(YEAR(IF(ISNUMBER(B$3:B656),B$3:B656,1))=YEAR(B656))*IF(ISNUMBER(L$3:L656),L$3:L656,0)),""))</f>
        <v/>
      </c>
      <c r="N656" s="6"/>
      <c r="O656" s="7" t="str">
        <f>IF(AND(B656="",ISNUMBER(B657)),CHOOSE(MONTH(B657),"GENNAIO","FEBBRAIO","MARZO","APRILE","MAGGIO","GIUGNO","LUGLIO","AGOSTO","SETTEMBRE","OTTOBRE","NOVEMBRE","DICEMBRE")&amp;" "&amp;YEAR(B657),"")</f>
        <v/>
      </c>
      <c r="P656" s="12" t="str">
        <f>IF(K656=0.2,"CASA","")</f>
        <v/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" customHeight="1" x14ac:dyDescent="0.2">
      <c r="A657" s="5" t="str">
        <f>IF(AND(B657="",ISNUMBER(B658)),CHOOSE(MONTH(B658),"GENNAIO","FEBBRAIO","MARZO","APRILE","MAGGIO","GIUGNO","LUGLIO","AGOSTO","SETTEMBRE","OTTOBRE","NOVEMBRE","DICEMBRE")&amp;" "&amp;YEAR(B658),"")</f>
        <v/>
      </c>
      <c r="B657" s="11"/>
      <c r="C657" s="12"/>
      <c r="D657" s="12" t="str">
        <f>IF(C657="","",C657-IF(C656&lt;&gt;"",C656,IF(C655&lt;&gt;"",C655,IF(C654&lt;&gt;"",C654,0))))</f>
        <v/>
      </c>
      <c r="E657" s="12"/>
      <c r="F657" s="12"/>
      <c r="G657" s="9" t="str">
        <f>IF(AND(E657="",F657=""),"",IF(OR(E657&gt;1,F657&gt;1),(F657-E657)/100,F657-E657))</f>
        <v/>
      </c>
      <c r="H657" s="12" t="str">
        <f>IF(G657="","",64*G657)</f>
        <v/>
      </c>
      <c r="I657" s="13"/>
      <c r="J657" s="13" t="str">
        <f>IFERROR(IF(OR(D657="",D657=0),"",I657/D657*100),"")</f>
        <v/>
      </c>
      <c r="K657" s="14"/>
      <c r="L657" s="13" t="str">
        <f>IF(I657="","",I657*K657)</f>
        <v/>
      </c>
      <c r="M657" s="13" t="str">
        <f>IF(B657="","",IFERROR(SUMPRODUCT(ISNUMBER(B$3:B657)*(MONTH(IF(ISNUMBER(B$3:B657),B$3:B657,1))=MONTH(B657))*(YEAR(IF(ISNUMBER(B$3:B657),B$3:B657,1))=YEAR(B657))*IF(ISNUMBER(L$3:L657),L$3:L657,0)),""))</f>
        <v/>
      </c>
      <c r="N657" s="6"/>
      <c r="O657" s="7" t="str">
        <f>IF(AND(B657="",ISNUMBER(B658)),CHOOSE(MONTH(B658),"GENNAIO","FEBBRAIO","MARZO","APRILE","MAGGIO","GIUGNO","LUGLIO","AGOSTO","SETTEMBRE","OTTOBRE","NOVEMBRE","DICEMBRE")&amp;" "&amp;YEAR(B658),"")</f>
        <v/>
      </c>
      <c r="P657" s="12" t="str">
        <f>IF(K657=0.2,"CASA","")</f>
        <v/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" customHeight="1" x14ac:dyDescent="0.2">
      <c r="A658" s="5" t="str">
        <f>IF(AND(B658="",ISNUMBER(B659)),CHOOSE(MONTH(B659),"GENNAIO","FEBBRAIO","MARZO","APRILE","MAGGIO","GIUGNO","LUGLIO","AGOSTO","SETTEMBRE","OTTOBRE","NOVEMBRE","DICEMBRE")&amp;" "&amp;YEAR(B659),"")</f>
        <v/>
      </c>
      <c r="B658" s="11"/>
      <c r="C658" s="12"/>
      <c r="D658" s="12" t="str">
        <f>IF(C658="","",C658-IF(C657&lt;&gt;"",C657,IF(C656&lt;&gt;"",C656,IF(C655&lt;&gt;"",C655,0))))</f>
        <v/>
      </c>
      <c r="E658" s="12"/>
      <c r="F658" s="12"/>
      <c r="G658" s="9" t="str">
        <f>IF(AND(E658="",F658=""),"",IF(OR(E658&gt;1,F658&gt;1),(F658-E658)/100,F658-E658))</f>
        <v/>
      </c>
      <c r="H658" s="12" t="str">
        <f>IF(G658="","",64*G658)</f>
        <v/>
      </c>
      <c r="I658" s="13"/>
      <c r="J658" s="13" t="str">
        <f>IFERROR(IF(OR(D658="",D658=0),"",I658/D658*100),"")</f>
        <v/>
      </c>
      <c r="K658" s="14"/>
      <c r="L658" s="13" t="str">
        <f>IF(I658="","",I658*K658)</f>
        <v/>
      </c>
      <c r="M658" s="13" t="str">
        <f>IF(B658="","",IFERROR(SUMPRODUCT(ISNUMBER(B$3:B658)*(MONTH(IF(ISNUMBER(B$3:B658),B$3:B658,1))=MONTH(B658))*(YEAR(IF(ISNUMBER(B$3:B658),B$3:B658,1))=YEAR(B658))*IF(ISNUMBER(L$3:L658),L$3:L658,0)),""))</f>
        <v/>
      </c>
      <c r="N658" s="6"/>
      <c r="O658" s="7" t="str">
        <f>IF(AND(B658="",ISNUMBER(B659)),CHOOSE(MONTH(B659),"GENNAIO","FEBBRAIO","MARZO","APRILE","MAGGIO","GIUGNO","LUGLIO","AGOSTO","SETTEMBRE","OTTOBRE","NOVEMBRE","DICEMBRE")&amp;" "&amp;YEAR(B659),"")</f>
        <v/>
      </c>
      <c r="P658" s="12" t="str">
        <f>IF(K658=0.2,"CASA","")</f>
        <v/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" customHeight="1" x14ac:dyDescent="0.2">
      <c r="A659" s="5" t="str">
        <f>IF(AND(B659="",ISNUMBER(B660)),CHOOSE(MONTH(B660),"GENNAIO","FEBBRAIO","MARZO","APRILE","MAGGIO","GIUGNO","LUGLIO","AGOSTO","SETTEMBRE","OTTOBRE","NOVEMBRE","DICEMBRE")&amp;" "&amp;YEAR(B660),"")</f>
        <v/>
      </c>
      <c r="B659" s="11"/>
      <c r="C659" s="12"/>
      <c r="D659" s="12" t="str">
        <f>IF(C659="","",C659-IF(C658&lt;&gt;"",C658,IF(C657&lt;&gt;"",C657,IF(C656&lt;&gt;"",C656,0))))</f>
        <v/>
      </c>
      <c r="E659" s="12"/>
      <c r="F659" s="12"/>
      <c r="G659" s="9" t="str">
        <f>IF(AND(E659="",F659=""),"",IF(OR(E659&gt;1,F659&gt;1),(F659-E659)/100,F659-E659))</f>
        <v/>
      </c>
      <c r="H659" s="12" t="str">
        <f>IF(G659="","",64*G659)</f>
        <v/>
      </c>
      <c r="I659" s="13"/>
      <c r="J659" s="13" t="str">
        <f>IFERROR(IF(OR(D659="",D659=0),"",I659/D659*100),"")</f>
        <v/>
      </c>
      <c r="K659" s="14"/>
      <c r="L659" s="13" t="str">
        <f>IF(I659="","",I659*K659)</f>
        <v/>
      </c>
      <c r="M659" s="13" t="str">
        <f>IF(B659="","",IFERROR(SUMPRODUCT(ISNUMBER(B$3:B659)*(MONTH(IF(ISNUMBER(B$3:B659),B$3:B659,1))=MONTH(B659))*(YEAR(IF(ISNUMBER(B$3:B659),B$3:B659,1))=YEAR(B659))*IF(ISNUMBER(L$3:L659),L$3:L659,0)),""))</f>
        <v/>
      </c>
      <c r="N659" s="6"/>
      <c r="O659" s="7" t="str">
        <f>IF(AND(B659="",ISNUMBER(B660)),CHOOSE(MONTH(B660),"GENNAIO","FEBBRAIO","MARZO","APRILE","MAGGIO","GIUGNO","LUGLIO","AGOSTO","SETTEMBRE","OTTOBRE","NOVEMBRE","DICEMBRE")&amp;" "&amp;YEAR(B660),"")</f>
        <v/>
      </c>
      <c r="P659" s="12" t="str">
        <f>IF(K659=0.2,"CASA","")</f>
        <v/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" customHeight="1" x14ac:dyDescent="0.2">
      <c r="A660" s="5" t="str">
        <f>IF(AND(B660="",ISNUMBER(B661)),CHOOSE(MONTH(B661),"GENNAIO","FEBBRAIO","MARZO","APRILE","MAGGIO","GIUGNO","LUGLIO","AGOSTO","SETTEMBRE","OTTOBRE","NOVEMBRE","DICEMBRE")&amp;" "&amp;YEAR(B661),"")</f>
        <v/>
      </c>
      <c r="B660" s="11"/>
      <c r="C660" s="12"/>
      <c r="D660" s="12" t="str">
        <f>IF(C660="","",C660-IF(C659&lt;&gt;"",C659,IF(C658&lt;&gt;"",C658,IF(C657&lt;&gt;"",C657,0))))</f>
        <v/>
      </c>
      <c r="E660" s="12"/>
      <c r="F660" s="12"/>
      <c r="G660" s="9" t="str">
        <f>IF(AND(E660="",F660=""),"",IF(OR(E660&gt;1,F660&gt;1),(F660-E660)/100,F660-E660))</f>
        <v/>
      </c>
      <c r="H660" s="12" t="str">
        <f>IF(G660="","",64*G660)</f>
        <v/>
      </c>
      <c r="I660" s="13"/>
      <c r="J660" s="13" t="str">
        <f>IFERROR(IF(OR(D660="",D660=0),"",I660/D660*100),"")</f>
        <v/>
      </c>
      <c r="K660" s="14"/>
      <c r="L660" s="13" t="str">
        <f>IF(I660="","",I660*K660)</f>
        <v/>
      </c>
      <c r="M660" s="13" t="str">
        <f>IF(B660="","",IFERROR(SUMPRODUCT(ISNUMBER(B$3:B660)*(MONTH(IF(ISNUMBER(B$3:B660),B$3:B660,1))=MONTH(B660))*(YEAR(IF(ISNUMBER(B$3:B660),B$3:B660,1))=YEAR(B660))*IF(ISNUMBER(L$3:L660),L$3:L660,0)),""))</f>
        <v/>
      </c>
      <c r="N660" s="6"/>
      <c r="O660" s="7" t="str">
        <f>IF(AND(B660="",ISNUMBER(B661)),CHOOSE(MONTH(B661),"GENNAIO","FEBBRAIO","MARZO","APRILE","MAGGIO","GIUGNO","LUGLIO","AGOSTO","SETTEMBRE","OTTOBRE","NOVEMBRE","DICEMBRE")&amp;" "&amp;YEAR(B661),"")</f>
        <v/>
      </c>
      <c r="P660" s="12" t="str">
        <f>IF(K660=0.2,"CASA","")</f>
        <v/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" customHeight="1" x14ac:dyDescent="0.2">
      <c r="A661" s="5" t="str">
        <f>IF(AND(B661="",ISNUMBER(B662)),CHOOSE(MONTH(B662),"GENNAIO","FEBBRAIO","MARZO","APRILE","MAGGIO","GIUGNO","LUGLIO","AGOSTO","SETTEMBRE","OTTOBRE","NOVEMBRE","DICEMBRE")&amp;" "&amp;YEAR(B662),"")</f>
        <v/>
      </c>
      <c r="B661" s="11"/>
      <c r="C661" s="12"/>
      <c r="D661" s="12" t="str">
        <f>IF(C661="","",C661-IF(C660&lt;&gt;"",C660,IF(C659&lt;&gt;"",C659,IF(C658&lt;&gt;"",C658,0))))</f>
        <v/>
      </c>
      <c r="E661" s="12"/>
      <c r="F661" s="12"/>
      <c r="G661" s="9" t="str">
        <f>IF(AND(E661="",F661=""),"",IF(OR(E661&gt;1,F661&gt;1),(F661-E661)/100,F661-E661))</f>
        <v/>
      </c>
      <c r="H661" s="12" t="str">
        <f>IF(G661="","",64*G661)</f>
        <v/>
      </c>
      <c r="I661" s="13"/>
      <c r="J661" s="13" t="str">
        <f>IFERROR(IF(OR(D661="",D661=0),"",I661/D661*100),"")</f>
        <v/>
      </c>
      <c r="K661" s="14"/>
      <c r="L661" s="13" t="str">
        <f>IF(I661="","",I661*K661)</f>
        <v/>
      </c>
      <c r="M661" s="13" t="str">
        <f>IF(B661="","",IFERROR(SUMPRODUCT(ISNUMBER(B$3:B661)*(MONTH(IF(ISNUMBER(B$3:B661),B$3:B661,1))=MONTH(B661))*(YEAR(IF(ISNUMBER(B$3:B661),B$3:B661,1))=YEAR(B661))*IF(ISNUMBER(L$3:L661),L$3:L661,0)),""))</f>
        <v/>
      </c>
      <c r="N661" s="6"/>
      <c r="O661" s="7" t="str">
        <f>IF(AND(B661="",ISNUMBER(B662)),CHOOSE(MONTH(B662),"GENNAIO","FEBBRAIO","MARZO","APRILE","MAGGIO","GIUGNO","LUGLIO","AGOSTO","SETTEMBRE","OTTOBRE","NOVEMBRE","DICEMBRE")&amp;" "&amp;YEAR(B662),"")</f>
        <v/>
      </c>
      <c r="P661" s="12" t="str">
        <f>IF(K661=0.2,"CASA","")</f>
        <v/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" customHeight="1" x14ac:dyDescent="0.2">
      <c r="A662" s="5" t="str">
        <f>IF(AND(B662="",ISNUMBER(B663)),CHOOSE(MONTH(B663),"GENNAIO","FEBBRAIO","MARZO","APRILE","MAGGIO","GIUGNO","LUGLIO","AGOSTO","SETTEMBRE","OTTOBRE","NOVEMBRE","DICEMBRE")&amp;" "&amp;YEAR(B663),"")</f>
        <v/>
      </c>
      <c r="B662" s="11"/>
      <c r="C662" s="12"/>
      <c r="D662" s="12" t="str">
        <f>IF(C662="","",C662-IF(C661&lt;&gt;"",C661,IF(C660&lt;&gt;"",C660,IF(C659&lt;&gt;"",C659,0))))</f>
        <v/>
      </c>
      <c r="E662" s="12"/>
      <c r="F662" s="12"/>
      <c r="G662" s="9" t="str">
        <f>IF(AND(E662="",F662=""),"",IF(OR(E662&gt;1,F662&gt;1),(F662-E662)/100,F662-E662))</f>
        <v/>
      </c>
      <c r="H662" s="12" t="str">
        <f>IF(G662="","",64*G662)</f>
        <v/>
      </c>
      <c r="I662" s="13"/>
      <c r="J662" s="13" t="str">
        <f>IFERROR(IF(OR(D662="",D662=0),"",I662/D662*100),"")</f>
        <v/>
      </c>
      <c r="K662" s="14"/>
      <c r="L662" s="13" t="str">
        <f>IF(I662="","",I662*K662)</f>
        <v/>
      </c>
      <c r="M662" s="13" t="str">
        <f>IF(B662="","",IFERROR(SUMPRODUCT(ISNUMBER(B$3:B662)*(MONTH(IF(ISNUMBER(B$3:B662),B$3:B662,1))=MONTH(B662))*(YEAR(IF(ISNUMBER(B$3:B662),B$3:B662,1))=YEAR(B662))*IF(ISNUMBER(L$3:L662),L$3:L662,0)),""))</f>
        <v/>
      </c>
      <c r="N662" s="6"/>
      <c r="O662" s="7" t="str">
        <f>IF(AND(B662="",ISNUMBER(B663)),CHOOSE(MONTH(B663),"GENNAIO","FEBBRAIO","MARZO","APRILE","MAGGIO","GIUGNO","LUGLIO","AGOSTO","SETTEMBRE","OTTOBRE","NOVEMBRE","DICEMBRE")&amp;" "&amp;YEAR(B663),"")</f>
        <v/>
      </c>
      <c r="P662" s="12" t="str">
        <f>IF(K662=0.2,"CASA","")</f>
        <v/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" customHeight="1" x14ac:dyDescent="0.2">
      <c r="A663" s="5" t="str">
        <f>IF(AND(B663="",ISNUMBER(B664)),CHOOSE(MONTH(B664),"GENNAIO","FEBBRAIO","MARZO","APRILE","MAGGIO","GIUGNO","LUGLIO","AGOSTO","SETTEMBRE","OTTOBRE","NOVEMBRE","DICEMBRE")&amp;" "&amp;YEAR(B664),"")</f>
        <v/>
      </c>
      <c r="B663" s="11"/>
      <c r="C663" s="12"/>
      <c r="D663" s="12" t="str">
        <f>IF(C663="","",C663-IF(C662&lt;&gt;"",C662,IF(C661&lt;&gt;"",C661,IF(C660&lt;&gt;"",C660,0))))</f>
        <v/>
      </c>
      <c r="E663" s="12"/>
      <c r="F663" s="12"/>
      <c r="G663" s="9" t="str">
        <f>IF(AND(E663="",F663=""),"",IF(OR(E663&gt;1,F663&gt;1),(F663-E663)/100,F663-E663))</f>
        <v/>
      </c>
      <c r="H663" s="12" t="str">
        <f>IF(G663="","",64*G663)</f>
        <v/>
      </c>
      <c r="I663" s="13"/>
      <c r="J663" s="13" t="str">
        <f>IFERROR(IF(OR(D663="",D663=0),"",I663/D663*100),"")</f>
        <v/>
      </c>
      <c r="K663" s="14"/>
      <c r="L663" s="13" t="str">
        <f>IF(I663="","",I663*K663)</f>
        <v/>
      </c>
      <c r="M663" s="13" t="str">
        <f>IF(B663="","",IFERROR(SUMPRODUCT(ISNUMBER(B$3:B663)*(MONTH(IF(ISNUMBER(B$3:B663),B$3:B663,1))=MONTH(B663))*(YEAR(IF(ISNUMBER(B$3:B663),B$3:B663,1))=YEAR(B663))*IF(ISNUMBER(L$3:L663),L$3:L663,0)),""))</f>
        <v/>
      </c>
      <c r="N663" s="6"/>
      <c r="O663" s="7" t="str">
        <f>IF(AND(B663="",ISNUMBER(B664)),CHOOSE(MONTH(B664),"GENNAIO","FEBBRAIO","MARZO","APRILE","MAGGIO","GIUGNO","LUGLIO","AGOSTO","SETTEMBRE","OTTOBRE","NOVEMBRE","DICEMBRE")&amp;" "&amp;YEAR(B664),"")</f>
        <v/>
      </c>
      <c r="P663" s="12" t="str">
        <f>IF(K663=0.2,"CASA","")</f>
        <v/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" customHeight="1" x14ac:dyDescent="0.2">
      <c r="A664" s="5" t="str">
        <f>IF(AND(B664="",ISNUMBER(B665)),CHOOSE(MONTH(B665),"GENNAIO","FEBBRAIO","MARZO","APRILE","MAGGIO","GIUGNO","LUGLIO","AGOSTO","SETTEMBRE","OTTOBRE","NOVEMBRE","DICEMBRE")&amp;" "&amp;YEAR(B665),"")</f>
        <v/>
      </c>
      <c r="B664" s="11"/>
      <c r="C664" s="12"/>
      <c r="D664" s="12" t="str">
        <f>IF(C664="","",C664-IF(C663&lt;&gt;"",C663,IF(C662&lt;&gt;"",C662,IF(C661&lt;&gt;"",C661,0))))</f>
        <v/>
      </c>
      <c r="E664" s="12"/>
      <c r="F664" s="12"/>
      <c r="G664" s="9" t="str">
        <f>IF(AND(E664="",F664=""),"",IF(OR(E664&gt;1,F664&gt;1),(F664-E664)/100,F664-E664))</f>
        <v/>
      </c>
      <c r="H664" s="12" t="str">
        <f>IF(G664="","",64*G664)</f>
        <v/>
      </c>
      <c r="I664" s="13"/>
      <c r="J664" s="13" t="str">
        <f>IFERROR(IF(OR(D664="",D664=0),"",I664/D664*100),"")</f>
        <v/>
      </c>
      <c r="K664" s="14"/>
      <c r="L664" s="13" t="str">
        <f>IF(I664="","",I664*K664)</f>
        <v/>
      </c>
      <c r="M664" s="13" t="str">
        <f>IF(B664="","",IFERROR(SUMPRODUCT(ISNUMBER(B$3:B664)*(MONTH(IF(ISNUMBER(B$3:B664),B$3:B664,1))=MONTH(B664))*(YEAR(IF(ISNUMBER(B$3:B664),B$3:B664,1))=YEAR(B664))*IF(ISNUMBER(L$3:L664),L$3:L664,0)),""))</f>
        <v/>
      </c>
      <c r="N664" s="6"/>
      <c r="O664" s="7" t="str">
        <f>IF(AND(B664="",ISNUMBER(B665)),CHOOSE(MONTH(B665),"GENNAIO","FEBBRAIO","MARZO","APRILE","MAGGIO","GIUGNO","LUGLIO","AGOSTO","SETTEMBRE","OTTOBRE","NOVEMBRE","DICEMBRE")&amp;" "&amp;YEAR(B665),"")</f>
        <v/>
      </c>
      <c r="P664" s="12" t="str">
        <f>IF(K664=0.2,"CASA","")</f>
        <v/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" customHeight="1" x14ac:dyDescent="0.2">
      <c r="A665" s="5" t="str">
        <f>IF(AND(B665="",ISNUMBER(B666)),CHOOSE(MONTH(B666),"GENNAIO","FEBBRAIO","MARZO","APRILE","MAGGIO","GIUGNO","LUGLIO","AGOSTO","SETTEMBRE","OTTOBRE","NOVEMBRE","DICEMBRE")&amp;" "&amp;YEAR(B666),"")</f>
        <v/>
      </c>
      <c r="B665" s="11"/>
      <c r="C665" s="12"/>
      <c r="D665" s="12" t="str">
        <f>IF(C665="","",C665-IF(C664&lt;&gt;"",C664,IF(C663&lt;&gt;"",C663,IF(C662&lt;&gt;"",C662,0))))</f>
        <v/>
      </c>
      <c r="E665" s="12"/>
      <c r="F665" s="12"/>
      <c r="G665" s="9" t="str">
        <f>IF(AND(E665="",F665=""),"",IF(OR(E665&gt;1,F665&gt;1),(F665-E665)/100,F665-E665))</f>
        <v/>
      </c>
      <c r="H665" s="12" t="str">
        <f>IF(G665="","",64*G665)</f>
        <v/>
      </c>
      <c r="I665" s="13"/>
      <c r="J665" s="13" t="str">
        <f>IFERROR(IF(OR(D665="",D665=0),"",I665/D665*100),"")</f>
        <v/>
      </c>
      <c r="K665" s="14"/>
      <c r="L665" s="13" t="str">
        <f>IF(I665="","",I665*K665)</f>
        <v/>
      </c>
      <c r="M665" s="13" t="str">
        <f>IF(B665="","",IFERROR(SUMPRODUCT(ISNUMBER(B$3:B665)*(MONTH(IF(ISNUMBER(B$3:B665),B$3:B665,1))=MONTH(B665))*(YEAR(IF(ISNUMBER(B$3:B665),B$3:B665,1))=YEAR(B665))*IF(ISNUMBER(L$3:L665),L$3:L665,0)),""))</f>
        <v/>
      </c>
      <c r="N665" s="6"/>
      <c r="O665" s="7" t="str">
        <f>IF(AND(B665="",ISNUMBER(B666)),CHOOSE(MONTH(B666),"GENNAIO","FEBBRAIO","MARZO","APRILE","MAGGIO","GIUGNO","LUGLIO","AGOSTO","SETTEMBRE","OTTOBRE","NOVEMBRE","DICEMBRE")&amp;" "&amp;YEAR(B666),"")</f>
        <v/>
      </c>
      <c r="P665" s="12" t="str">
        <f>IF(K665=0.2,"CASA","")</f>
        <v/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" customHeight="1" x14ac:dyDescent="0.2">
      <c r="A666" s="5" t="str">
        <f>IF(AND(B666="",ISNUMBER(B667)),CHOOSE(MONTH(B667),"GENNAIO","FEBBRAIO","MARZO","APRILE","MAGGIO","GIUGNO","LUGLIO","AGOSTO","SETTEMBRE","OTTOBRE","NOVEMBRE","DICEMBRE")&amp;" "&amp;YEAR(B667),"")</f>
        <v/>
      </c>
      <c r="B666" s="11"/>
      <c r="C666" s="12"/>
      <c r="D666" s="12" t="str">
        <f>IF(C666="","",C666-IF(C665&lt;&gt;"",C665,IF(C664&lt;&gt;"",C664,IF(C663&lt;&gt;"",C663,0))))</f>
        <v/>
      </c>
      <c r="E666" s="12"/>
      <c r="F666" s="12"/>
      <c r="G666" s="9" t="str">
        <f>IF(AND(E666="",F666=""),"",IF(OR(E666&gt;1,F666&gt;1),(F666-E666)/100,F666-E666))</f>
        <v/>
      </c>
      <c r="H666" s="12" t="str">
        <f>IF(G666="","",64*G666)</f>
        <v/>
      </c>
      <c r="I666" s="13"/>
      <c r="J666" s="13" t="str">
        <f>IFERROR(IF(OR(D666="",D666=0),"",I666/D666*100),"")</f>
        <v/>
      </c>
      <c r="K666" s="14"/>
      <c r="L666" s="13" t="str">
        <f>IF(I666="","",I666*K666)</f>
        <v/>
      </c>
      <c r="M666" s="13" t="str">
        <f>IF(B666="","",IFERROR(SUMPRODUCT(ISNUMBER(B$3:B666)*(MONTH(IF(ISNUMBER(B$3:B666),B$3:B666,1))=MONTH(B666))*(YEAR(IF(ISNUMBER(B$3:B666),B$3:B666,1))=YEAR(B666))*IF(ISNUMBER(L$3:L666),L$3:L666,0)),""))</f>
        <v/>
      </c>
      <c r="N666" s="6"/>
      <c r="O666" s="7" t="str">
        <f>IF(AND(B666="",ISNUMBER(B667)),CHOOSE(MONTH(B667),"GENNAIO","FEBBRAIO","MARZO","APRILE","MAGGIO","GIUGNO","LUGLIO","AGOSTO","SETTEMBRE","OTTOBRE","NOVEMBRE","DICEMBRE")&amp;" "&amp;YEAR(B667),"")</f>
        <v/>
      </c>
      <c r="P666" s="12" t="str">
        <f>IF(K666=0.2,"CASA","")</f>
        <v/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" customHeight="1" x14ac:dyDescent="0.2">
      <c r="A667" s="5" t="str">
        <f>IF(AND(B667="",ISNUMBER(B668)),CHOOSE(MONTH(B668),"GENNAIO","FEBBRAIO","MARZO","APRILE","MAGGIO","GIUGNO","LUGLIO","AGOSTO","SETTEMBRE","OTTOBRE","NOVEMBRE","DICEMBRE")&amp;" "&amp;YEAR(B668),"")</f>
        <v/>
      </c>
      <c r="B667" s="11"/>
      <c r="C667" s="12"/>
      <c r="D667" s="12" t="str">
        <f>IF(C667="","",C667-IF(C666&lt;&gt;"",C666,IF(C665&lt;&gt;"",C665,IF(C664&lt;&gt;"",C664,0))))</f>
        <v/>
      </c>
      <c r="E667" s="12"/>
      <c r="F667" s="12"/>
      <c r="G667" s="9" t="str">
        <f>IF(AND(E667="",F667=""),"",IF(OR(E667&gt;1,F667&gt;1),(F667-E667)/100,F667-E667))</f>
        <v/>
      </c>
      <c r="H667" s="12" t="str">
        <f>IF(G667="","",64*G667)</f>
        <v/>
      </c>
      <c r="I667" s="13"/>
      <c r="J667" s="13" t="str">
        <f>IFERROR(IF(OR(D667="",D667=0),"",I667/D667*100),"")</f>
        <v/>
      </c>
      <c r="K667" s="14"/>
      <c r="L667" s="13" t="str">
        <f>IF(I667="","",I667*K667)</f>
        <v/>
      </c>
      <c r="M667" s="13" t="str">
        <f>IF(B667="","",IFERROR(SUMPRODUCT(ISNUMBER(B$3:B667)*(MONTH(IF(ISNUMBER(B$3:B667),B$3:B667,1))=MONTH(B667))*(YEAR(IF(ISNUMBER(B$3:B667),B$3:B667,1))=YEAR(B667))*IF(ISNUMBER(L$3:L667),L$3:L667,0)),""))</f>
        <v/>
      </c>
      <c r="N667" s="6"/>
      <c r="O667" s="7" t="str">
        <f>IF(AND(B667="",ISNUMBER(B668)),CHOOSE(MONTH(B668),"GENNAIO","FEBBRAIO","MARZO","APRILE","MAGGIO","GIUGNO","LUGLIO","AGOSTO","SETTEMBRE","OTTOBRE","NOVEMBRE","DICEMBRE")&amp;" "&amp;YEAR(B668),"")</f>
        <v/>
      </c>
      <c r="P667" s="12" t="str">
        <f>IF(K667=0.2,"CASA","")</f>
        <v/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" customHeight="1" x14ac:dyDescent="0.2">
      <c r="A668" s="5" t="str">
        <f>IF(AND(B668="",ISNUMBER(B669)),CHOOSE(MONTH(B669),"GENNAIO","FEBBRAIO","MARZO","APRILE","MAGGIO","GIUGNO","LUGLIO","AGOSTO","SETTEMBRE","OTTOBRE","NOVEMBRE","DICEMBRE")&amp;" "&amp;YEAR(B669),"")</f>
        <v/>
      </c>
      <c r="B668" s="11"/>
      <c r="C668" s="12"/>
      <c r="D668" s="12" t="str">
        <f>IF(C668="","",C668-IF(C667&lt;&gt;"",C667,IF(C666&lt;&gt;"",C666,IF(C665&lt;&gt;"",C665,0))))</f>
        <v/>
      </c>
      <c r="E668" s="12"/>
      <c r="F668" s="12"/>
      <c r="G668" s="9" t="str">
        <f>IF(AND(E668="",F668=""),"",IF(OR(E668&gt;1,F668&gt;1),(F668-E668)/100,F668-E668))</f>
        <v/>
      </c>
      <c r="H668" s="12" t="str">
        <f>IF(G668="","",64*G668)</f>
        <v/>
      </c>
      <c r="I668" s="13"/>
      <c r="J668" s="13" t="str">
        <f>IFERROR(IF(OR(D668="",D668=0),"",I668/D668*100),"")</f>
        <v/>
      </c>
      <c r="K668" s="14"/>
      <c r="L668" s="13" t="str">
        <f>IF(I668="","",I668*K668)</f>
        <v/>
      </c>
      <c r="M668" s="13" t="str">
        <f>IF(B668="","",IFERROR(SUMPRODUCT(ISNUMBER(B$3:B668)*(MONTH(IF(ISNUMBER(B$3:B668),B$3:B668,1))=MONTH(B668))*(YEAR(IF(ISNUMBER(B$3:B668),B$3:B668,1))=YEAR(B668))*IF(ISNUMBER(L$3:L668),L$3:L668,0)),""))</f>
        <v/>
      </c>
      <c r="N668" s="6"/>
      <c r="O668" s="7" t="str">
        <f>IF(AND(B668="",ISNUMBER(B669)),CHOOSE(MONTH(B669),"GENNAIO","FEBBRAIO","MARZO","APRILE","MAGGIO","GIUGNO","LUGLIO","AGOSTO","SETTEMBRE","OTTOBRE","NOVEMBRE","DICEMBRE")&amp;" "&amp;YEAR(B669),"")</f>
        <v/>
      </c>
      <c r="P668" s="12" t="str">
        <f>IF(K668=0.2,"CASA","")</f>
        <v/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" customHeight="1" x14ac:dyDescent="0.2">
      <c r="A669" s="5" t="str">
        <f>IF(AND(B669="",ISNUMBER(B670)),CHOOSE(MONTH(B670),"GENNAIO","FEBBRAIO","MARZO","APRILE","MAGGIO","GIUGNO","LUGLIO","AGOSTO","SETTEMBRE","OTTOBRE","NOVEMBRE","DICEMBRE")&amp;" "&amp;YEAR(B670),"")</f>
        <v/>
      </c>
      <c r="B669" s="11"/>
      <c r="C669" s="12"/>
      <c r="D669" s="12" t="str">
        <f>IF(C669="","",C669-IF(C668&lt;&gt;"",C668,IF(C667&lt;&gt;"",C667,IF(C666&lt;&gt;"",C666,0))))</f>
        <v/>
      </c>
      <c r="E669" s="12"/>
      <c r="F669" s="12"/>
      <c r="G669" s="9" t="str">
        <f>IF(AND(E669="",F669=""),"",IF(OR(E669&gt;1,F669&gt;1),(F669-E669)/100,F669-E669))</f>
        <v/>
      </c>
      <c r="H669" s="12" t="str">
        <f>IF(G669="","",64*G669)</f>
        <v/>
      </c>
      <c r="I669" s="13"/>
      <c r="J669" s="13" t="str">
        <f>IFERROR(IF(OR(D669="",D669=0),"",I669/D669*100),"")</f>
        <v/>
      </c>
      <c r="K669" s="14"/>
      <c r="L669" s="13" t="str">
        <f>IF(I669="","",I669*K669)</f>
        <v/>
      </c>
      <c r="M669" s="13" t="str">
        <f>IF(B669="","",IFERROR(SUMPRODUCT(ISNUMBER(B$3:B669)*(MONTH(IF(ISNUMBER(B$3:B669),B$3:B669,1))=MONTH(B669))*(YEAR(IF(ISNUMBER(B$3:B669),B$3:B669,1))=YEAR(B669))*IF(ISNUMBER(L$3:L669),L$3:L669,0)),""))</f>
        <v/>
      </c>
      <c r="N669" s="6"/>
      <c r="O669" s="7" t="str">
        <f>IF(AND(B669="",ISNUMBER(B670)),CHOOSE(MONTH(B670),"GENNAIO","FEBBRAIO","MARZO","APRILE","MAGGIO","GIUGNO","LUGLIO","AGOSTO","SETTEMBRE","OTTOBRE","NOVEMBRE","DICEMBRE")&amp;" "&amp;YEAR(B670),"")</f>
        <v/>
      </c>
      <c r="P669" s="12" t="str">
        <f>IF(K669=0.2,"CASA","")</f>
        <v/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" customHeight="1" x14ac:dyDescent="0.2">
      <c r="A670" s="5" t="str">
        <f>IF(AND(B670="",ISNUMBER(B671)),CHOOSE(MONTH(B671),"GENNAIO","FEBBRAIO","MARZO","APRILE","MAGGIO","GIUGNO","LUGLIO","AGOSTO","SETTEMBRE","OTTOBRE","NOVEMBRE","DICEMBRE")&amp;" "&amp;YEAR(B671),"")</f>
        <v/>
      </c>
      <c r="B670" s="11"/>
      <c r="C670" s="12"/>
      <c r="D670" s="12" t="str">
        <f>IF(C670="","",C670-IF(C669&lt;&gt;"",C669,IF(C668&lt;&gt;"",C668,IF(C667&lt;&gt;"",C667,0))))</f>
        <v/>
      </c>
      <c r="E670" s="12"/>
      <c r="F670" s="12"/>
      <c r="G670" s="9" t="str">
        <f>IF(AND(E670="",F670=""),"",IF(OR(E670&gt;1,F670&gt;1),(F670-E670)/100,F670-E670))</f>
        <v/>
      </c>
      <c r="H670" s="12" t="str">
        <f>IF(G670="","",64*G670)</f>
        <v/>
      </c>
      <c r="I670" s="13"/>
      <c r="J670" s="13" t="str">
        <f>IFERROR(IF(OR(D670="",D670=0),"",I670/D670*100),"")</f>
        <v/>
      </c>
      <c r="K670" s="14"/>
      <c r="L670" s="13" t="str">
        <f>IF(I670="","",I670*K670)</f>
        <v/>
      </c>
      <c r="M670" s="13" t="str">
        <f>IF(B670="","",IFERROR(SUMPRODUCT(ISNUMBER(B$3:B670)*(MONTH(IF(ISNUMBER(B$3:B670),B$3:B670,1))=MONTH(B670))*(YEAR(IF(ISNUMBER(B$3:B670),B$3:B670,1))=YEAR(B670))*IF(ISNUMBER(L$3:L670),L$3:L670,0)),""))</f>
        <v/>
      </c>
      <c r="N670" s="6"/>
      <c r="O670" s="7" t="str">
        <f>IF(AND(B670="",ISNUMBER(B671)),CHOOSE(MONTH(B671),"GENNAIO","FEBBRAIO","MARZO","APRILE","MAGGIO","GIUGNO","LUGLIO","AGOSTO","SETTEMBRE","OTTOBRE","NOVEMBRE","DICEMBRE")&amp;" "&amp;YEAR(B671),"")</f>
        <v/>
      </c>
      <c r="P670" s="12" t="str">
        <f>IF(K670=0.2,"CASA","")</f>
        <v/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" customHeight="1" x14ac:dyDescent="0.2">
      <c r="A671" s="5" t="str">
        <f>IF(AND(B671="",ISNUMBER(B672)),CHOOSE(MONTH(B672),"GENNAIO","FEBBRAIO","MARZO","APRILE","MAGGIO","GIUGNO","LUGLIO","AGOSTO","SETTEMBRE","OTTOBRE","NOVEMBRE","DICEMBRE")&amp;" "&amp;YEAR(B672),"")</f>
        <v/>
      </c>
      <c r="B671" s="11"/>
      <c r="C671" s="12"/>
      <c r="D671" s="12" t="str">
        <f>IF(C671="","",C671-IF(C670&lt;&gt;"",C670,IF(C669&lt;&gt;"",C669,IF(C668&lt;&gt;"",C668,0))))</f>
        <v/>
      </c>
      <c r="E671" s="12"/>
      <c r="F671" s="12"/>
      <c r="G671" s="9" t="str">
        <f>IF(AND(E671="",F671=""),"",IF(OR(E671&gt;1,F671&gt;1),(F671-E671)/100,F671-E671))</f>
        <v/>
      </c>
      <c r="H671" s="12" t="str">
        <f>IF(G671="","",64*G671)</f>
        <v/>
      </c>
      <c r="I671" s="13"/>
      <c r="J671" s="13" t="str">
        <f>IFERROR(IF(OR(D671="",D671=0),"",I671/D671*100),"")</f>
        <v/>
      </c>
      <c r="K671" s="14"/>
      <c r="L671" s="13" t="str">
        <f>IF(I671="","",I671*K671)</f>
        <v/>
      </c>
      <c r="M671" s="13" t="str">
        <f>IF(B671="","",IFERROR(SUMPRODUCT(ISNUMBER(B$3:B671)*(MONTH(IF(ISNUMBER(B$3:B671),B$3:B671,1))=MONTH(B671))*(YEAR(IF(ISNUMBER(B$3:B671),B$3:B671,1))=YEAR(B671))*IF(ISNUMBER(L$3:L671),L$3:L671,0)),""))</f>
        <v/>
      </c>
      <c r="N671" s="6"/>
      <c r="O671" s="7" t="str">
        <f>IF(AND(B671="",ISNUMBER(B672)),CHOOSE(MONTH(B672),"GENNAIO","FEBBRAIO","MARZO","APRILE","MAGGIO","GIUGNO","LUGLIO","AGOSTO","SETTEMBRE","OTTOBRE","NOVEMBRE","DICEMBRE")&amp;" "&amp;YEAR(B672),"")</f>
        <v/>
      </c>
      <c r="P671" s="12" t="str">
        <f>IF(K671=0.2,"CASA","")</f>
        <v/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" customHeight="1" x14ac:dyDescent="0.2">
      <c r="A672" s="5" t="str">
        <f>IF(AND(B672="",ISNUMBER(B673)),CHOOSE(MONTH(B673),"GENNAIO","FEBBRAIO","MARZO","APRILE","MAGGIO","GIUGNO","LUGLIO","AGOSTO","SETTEMBRE","OTTOBRE","NOVEMBRE","DICEMBRE")&amp;" "&amp;YEAR(B673),"")</f>
        <v/>
      </c>
      <c r="B672" s="11"/>
      <c r="C672" s="12"/>
      <c r="D672" s="12" t="str">
        <f>IF(C672="","",C672-IF(C671&lt;&gt;"",C671,IF(C670&lt;&gt;"",C670,IF(C669&lt;&gt;"",C669,0))))</f>
        <v/>
      </c>
      <c r="E672" s="12"/>
      <c r="F672" s="12"/>
      <c r="G672" s="9" t="str">
        <f>IF(AND(E672="",F672=""),"",IF(OR(E672&gt;1,F672&gt;1),(F672-E672)/100,F672-E672))</f>
        <v/>
      </c>
      <c r="H672" s="12" t="str">
        <f>IF(G672="","",64*G672)</f>
        <v/>
      </c>
      <c r="I672" s="13"/>
      <c r="J672" s="13" t="str">
        <f>IFERROR(IF(OR(D672="",D672=0),"",I672/D672*100),"")</f>
        <v/>
      </c>
      <c r="K672" s="14"/>
      <c r="L672" s="13" t="str">
        <f>IF(I672="","",I672*K672)</f>
        <v/>
      </c>
      <c r="M672" s="13" t="str">
        <f>IF(B672="","",IFERROR(SUMPRODUCT(ISNUMBER(B$3:B672)*(MONTH(IF(ISNUMBER(B$3:B672),B$3:B672,1))=MONTH(B672))*(YEAR(IF(ISNUMBER(B$3:B672),B$3:B672,1))=YEAR(B672))*IF(ISNUMBER(L$3:L672),L$3:L672,0)),""))</f>
        <v/>
      </c>
      <c r="N672" s="6"/>
      <c r="O672" s="7" t="str">
        <f>IF(AND(B672="",ISNUMBER(B673)),CHOOSE(MONTH(B673),"GENNAIO","FEBBRAIO","MARZO","APRILE","MAGGIO","GIUGNO","LUGLIO","AGOSTO","SETTEMBRE","OTTOBRE","NOVEMBRE","DICEMBRE")&amp;" "&amp;YEAR(B673),"")</f>
        <v/>
      </c>
      <c r="P672" s="12" t="str">
        <f>IF(K672=0.2,"CASA","")</f>
        <v/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" customHeight="1" x14ac:dyDescent="0.2">
      <c r="A673" s="5" t="str">
        <f>IF(AND(B673="",ISNUMBER(B674)),CHOOSE(MONTH(B674),"GENNAIO","FEBBRAIO","MARZO","APRILE","MAGGIO","GIUGNO","LUGLIO","AGOSTO","SETTEMBRE","OTTOBRE","NOVEMBRE","DICEMBRE")&amp;" "&amp;YEAR(B674),"")</f>
        <v/>
      </c>
      <c r="B673" s="11"/>
      <c r="C673" s="12"/>
      <c r="D673" s="12" t="str">
        <f>IF(C673="","",C673-IF(C672&lt;&gt;"",C672,IF(C671&lt;&gt;"",C671,IF(C670&lt;&gt;"",C670,0))))</f>
        <v/>
      </c>
      <c r="E673" s="12"/>
      <c r="F673" s="12"/>
      <c r="G673" s="9" t="str">
        <f>IF(AND(E673="",F673=""),"",IF(OR(E673&gt;1,F673&gt;1),(F673-E673)/100,F673-E673))</f>
        <v/>
      </c>
      <c r="H673" s="12" t="str">
        <f>IF(G673="","",64*G673)</f>
        <v/>
      </c>
      <c r="I673" s="13"/>
      <c r="J673" s="13" t="str">
        <f>IFERROR(IF(OR(D673="",D673=0),"",I673/D673*100),"")</f>
        <v/>
      </c>
      <c r="K673" s="14"/>
      <c r="L673" s="13" t="str">
        <f>IF(I673="","",I673*K673)</f>
        <v/>
      </c>
      <c r="M673" s="13" t="str">
        <f>IF(B673="","",IFERROR(SUMPRODUCT(ISNUMBER(B$3:B673)*(MONTH(IF(ISNUMBER(B$3:B673),B$3:B673,1))=MONTH(B673))*(YEAR(IF(ISNUMBER(B$3:B673),B$3:B673,1))=YEAR(B673))*IF(ISNUMBER(L$3:L673),L$3:L673,0)),""))</f>
        <v/>
      </c>
      <c r="N673" s="6"/>
      <c r="O673" s="7" t="str">
        <f>IF(AND(B673="",ISNUMBER(B674)),CHOOSE(MONTH(B674),"GENNAIO","FEBBRAIO","MARZO","APRILE","MAGGIO","GIUGNO","LUGLIO","AGOSTO","SETTEMBRE","OTTOBRE","NOVEMBRE","DICEMBRE")&amp;" "&amp;YEAR(B674),"")</f>
        <v/>
      </c>
      <c r="P673" s="12" t="str">
        <f>IF(K673=0.2,"CASA","")</f>
        <v/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" customHeight="1" x14ac:dyDescent="0.2">
      <c r="A674" s="5" t="str">
        <f>IF(AND(B674="",ISNUMBER(B675)),CHOOSE(MONTH(B675),"GENNAIO","FEBBRAIO","MARZO","APRILE","MAGGIO","GIUGNO","LUGLIO","AGOSTO","SETTEMBRE","OTTOBRE","NOVEMBRE","DICEMBRE")&amp;" "&amp;YEAR(B675),"")</f>
        <v/>
      </c>
      <c r="B674" s="11"/>
      <c r="C674" s="12"/>
      <c r="D674" s="12" t="str">
        <f>IF(C674="","",C674-IF(C673&lt;&gt;"",C673,IF(C672&lt;&gt;"",C672,IF(C671&lt;&gt;"",C671,0))))</f>
        <v/>
      </c>
      <c r="E674" s="12"/>
      <c r="F674" s="12"/>
      <c r="G674" s="9" t="str">
        <f>IF(AND(E674="",F674=""),"",IF(OR(E674&gt;1,F674&gt;1),(F674-E674)/100,F674-E674))</f>
        <v/>
      </c>
      <c r="H674" s="12" t="str">
        <f>IF(G674="","",64*G674)</f>
        <v/>
      </c>
      <c r="I674" s="13"/>
      <c r="J674" s="13" t="str">
        <f>IFERROR(IF(OR(D674="",D674=0),"",I674/D674*100),"")</f>
        <v/>
      </c>
      <c r="K674" s="14"/>
      <c r="L674" s="13" t="str">
        <f>IF(I674="","",I674*K674)</f>
        <v/>
      </c>
      <c r="M674" s="13" t="str">
        <f>IF(B674="","",IFERROR(SUMPRODUCT(ISNUMBER(B$3:B674)*(MONTH(IF(ISNUMBER(B$3:B674),B$3:B674,1))=MONTH(B674))*(YEAR(IF(ISNUMBER(B$3:B674),B$3:B674,1))=YEAR(B674))*IF(ISNUMBER(L$3:L674),L$3:L674,0)),""))</f>
        <v/>
      </c>
      <c r="N674" s="6"/>
      <c r="O674" s="7" t="str">
        <f>IF(AND(B674="",ISNUMBER(B675)),CHOOSE(MONTH(B675),"GENNAIO","FEBBRAIO","MARZO","APRILE","MAGGIO","GIUGNO","LUGLIO","AGOSTO","SETTEMBRE","OTTOBRE","NOVEMBRE","DICEMBRE")&amp;" "&amp;YEAR(B675),"")</f>
        <v/>
      </c>
      <c r="P674" s="12" t="str">
        <f>IF(K674=0.2,"CASA","")</f>
        <v/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" customHeight="1" x14ac:dyDescent="0.2">
      <c r="A675" s="5" t="str">
        <f>IF(AND(B675="",ISNUMBER(B676)),CHOOSE(MONTH(B676),"GENNAIO","FEBBRAIO","MARZO","APRILE","MAGGIO","GIUGNO","LUGLIO","AGOSTO","SETTEMBRE","OTTOBRE","NOVEMBRE","DICEMBRE")&amp;" "&amp;YEAR(B676),"")</f>
        <v/>
      </c>
      <c r="B675" s="11"/>
      <c r="C675" s="12"/>
      <c r="D675" s="12" t="str">
        <f>IF(C675="","",C675-IF(C674&lt;&gt;"",C674,IF(C673&lt;&gt;"",C673,IF(C672&lt;&gt;"",C672,0))))</f>
        <v/>
      </c>
      <c r="E675" s="12"/>
      <c r="F675" s="12"/>
      <c r="G675" s="9" t="str">
        <f>IF(AND(E675="",F675=""),"",IF(OR(E675&gt;1,F675&gt;1),(F675-E675)/100,F675-E675))</f>
        <v/>
      </c>
      <c r="H675" s="12" t="str">
        <f>IF(G675="","",64*G675)</f>
        <v/>
      </c>
      <c r="I675" s="13"/>
      <c r="J675" s="13" t="str">
        <f>IFERROR(IF(OR(D675="",D675=0),"",I675/D675*100),"")</f>
        <v/>
      </c>
      <c r="K675" s="14"/>
      <c r="L675" s="13" t="str">
        <f>IF(I675="","",I675*K675)</f>
        <v/>
      </c>
      <c r="M675" s="13" t="str">
        <f>IF(B675="","",IFERROR(SUMPRODUCT(ISNUMBER(B$3:B675)*(MONTH(IF(ISNUMBER(B$3:B675),B$3:B675,1))=MONTH(B675))*(YEAR(IF(ISNUMBER(B$3:B675),B$3:B675,1))=YEAR(B675))*IF(ISNUMBER(L$3:L675),L$3:L675,0)),""))</f>
        <v/>
      </c>
      <c r="N675" s="6"/>
      <c r="O675" s="7" t="str">
        <f>IF(AND(B675="",ISNUMBER(B676)),CHOOSE(MONTH(B676),"GENNAIO","FEBBRAIO","MARZO","APRILE","MAGGIO","GIUGNO","LUGLIO","AGOSTO","SETTEMBRE","OTTOBRE","NOVEMBRE","DICEMBRE")&amp;" "&amp;YEAR(B676),"")</f>
        <v/>
      </c>
      <c r="P675" s="12" t="str">
        <f>IF(K675=0.2,"CASA","")</f>
        <v/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" customHeight="1" x14ac:dyDescent="0.2">
      <c r="A676" s="5" t="str">
        <f>IF(AND(B676="",ISNUMBER(B677)),CHOOSE(MONTH(B677),"GENNAIO","FEBBRAIO","MARZO","APRILE","MAGGIO","GIUGNO","LUGLIO","AGOSTO","SETTEMBRE","OTTOBRE","NOVEMBRE","DICEMBRE")&amp;" "&amp;YEAR(B677),"")</f>
        <v/>
      </c>
      <c r="B676" s="11"/>
      <c r="C676" s="12"/>
      <c r="D676" s="12" t="str">
        <f>IF(C676="","",C676-IF(C675&lt;&gt;"",C675,IF(C674&lt;&gt;"",C674,IF(C673&lt;&gt;"",C673,0))))</f>
        <v/>
      </c>
      <c r="E676" s="12"/>
      <c r="F676" s="12"/>
      <c r="G676" s="9" t="str">
        <f>IF(AND(E676="",F676=""),"",IF(OR(E676&gt;1,F676&gt;1),(F676-E676)/100,F676-E676))</f>
        <v/>
      </c>
      <c r="H676" s="12" t="str">
        <f>IF(G676="","",64*G676)</f>
        <v/>
      </c>
      <c r="I676" s="13"/>
      <c r="J676" s="13" t="str">
        <f>IFERROR(IF(OR(D676="",D676=0),"",I676/D676*100),"")</f>
        <v/>
      </c>
      <c r="K676" s="14"/>
      <c r="L676" s="13" t="str">
        <f>IF(I676="","",I676*K676)</f>
        <v/>
      </c>
      <c r="M676" s="13" t="str">
        <f>IF(B676="","",IFERROR(SUMPRODUCT(ISNUMBER(B$3:B676)*(MONTH(IF(ISNUMBER(B$3:B676),B$3:B676,1))=MONTH(B676))*(YEAR(IF(ISNUMBER(B$3:B676),B$3:B676,1))=YEAR(B676))*IF(ISNUMBER(L$3:L676),L$3:L676,0)),""))</f>
        <v/>
      </c>
      <c r="N676" s="6"/>
      <c r="O676" s="7" t="str">
        <f>IF(AND(B676="",ISNUMBER(B677)),CHOOSE(MONTH(B677),"GENNAIO","FEBBRAIO","MARZO","APRILE","MAGGIO","GIUGNO","LUGLIO","AGOSTO","SETTEMBRE","OTTOBRE","NOVEMBRE","DICEMBRE")&amp;" "&amp;YEAR(B677),"")</f>
        <v/>
      </c>
      <c r="P676" s="12" t="str">
        <f>IF(K676=0.2,"CASA","")</f>
        <v/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" customHeight="1" x14ac:dyDescent="0.2">
      <c r="A677" s="5" t="str">
        <f>IF(AND(B677="",ISNUMBER(B678)),CHOOSE(MONTH(B678),"GENNAIO","FEBBRAIO","MARZO","APRILE","MAGGIO","GIUGNO","LUGLIO","AGOSTO","SETTEMBRE","OTTOBRE","NOVEMBRE","DICEMBRE")&amp;" "&amp;YEAR(B678),"")</f>
        <v/>
      </c>
      <c r="B677" s="11"/>
      <c r="C677" s="12"/>
      <c r="D677" s="12" t="str">
        <f>IF(C677="","",C677-IF(C676&lt;&gt;"",C676,IF(C675&lt;&gt;"",C675,IF(C674&lt;&gt;"",C674,0))))</f>
        <v/>
      </c>
      <c r="E677" s="12"/>
      <c r="F677" s="12"/>
      <c r="G677" s="9" t="str">
        <f>IF(AND(E677="",F677=""),"",IF(OR(E677&gt;1,F677&gt;1),(F677-E677)/100,F677-E677))</f>
        <v/>
      </c>
      <c r="H677" s="12" t="str">
        <f>IF(G677="","",64*G677)</f>
        <v/>
      </c>
      <c r="I677" s="13"/>
      <c r="J677" s="13" t="str">
        <f>IFERROR(IF(OR(D677="",D677=0),"",I677/D677*100),"")</f>
        <v/>
      </c>
      <c r="K677" s="14"/>
      <c r="L677" s="13" t="str">
        <f>IF(I677="","",I677*K677)</f>
        <v/>
      </c>
      <c r="M677" s="13" t="str">
        <f>IF(B677="","",IFERROR(SUMPRODUCT(ISNUMBER(B$3:B677)*(MONTH(IF(ISNUMBER(B$3:B677),B$3:B677,1))=MONTH(B677))*(YEAR(IF(ISNUMBER(B$3:B677),B$3:B677,1))=YEAR(B677))*IF(ISNUMBER(L$3:L677),L$3:L677,0)),""))</f>
        <v/>
      </c>
      <c r="N677" s="6"/>
      <c r="O677" s="7" t="str">
        <f>IF(AND(B677="",ISNUMBER(B678)),CHOOSE(MONTH(B678),"GENNAIO","FEBBRAIO","MARZO","APRILE","MAGGIO","GIUGNO","LUGLIO","AGOSTO","SETTEMBRE","OTTOBRE","NOVEMBRE","DICEMBRE")&amp;" "&amp;YEAR(B678),"")</f>
        <v/>
      </c>
      <c r="P677" s="12" t="str">
        <f>IF(K677=0.2,"CASA","")</f>
        <v/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" customHeight="1" x14ac:dyDescent="0.2">
      <c r="A678" s="5" t="str">
        <f>IF(AND(B678="",ISNUMBER(B679)),CHOOSE(MONTH(B679),"GENNAIO","FEBBRAIO","MARZO","APRILE","MAGGIO","GIUGNO","LUGLIO","AGOSTO","SETTEMBRE","OTTOBRE","NOVEMBRE","DICEMBRE")&amp;" "&amp;YEAR(B679),"")</f>
        <v/>
      </c>
      <c r="B678" s="11"/>
      <c r="C678" s="12"/>
      <c r="D678" s="12" t="str">
        <f>IF(C678="","",C678-IF(C677&lt;&gt;"",C677,IF(C676&lt;&gt;"",C676,IF(C675&lt;&gt;"",C675,0))))</f>
        <v/>
      </c>
      <c r="E678" s="12"/>
      <c r="F678" s="12"/>
      <c r="G678" s="9" t="str">
        <f>IF(AND(E678="",F678=""),"",IF(OR(E678&gt;1,F678&gt;1),(F678-E678)/100,F678-E678))</f>
        <v/>
      </c>
      <c r="H678" s="12" t="str">
        <f>IF(G678="","",64*G678)</f>
        <v/>
      </c>
      <c r="I678" s="13"/>
      <c r="J678" s="13" t="str">
        <f>IFERROR(IF(OR(D678="",D678=0),"",I678/D678*100),"")</f>
        <v/>
      </c>
      <c r="K678" s="14"/>
      <c r="L678" s="13" t="str">
        <f>IF(I678="","",I678*K678)</f>
        <v/>
      </c>
      <c r="M678" s="13" t="str">
        <f>IF(B678="","",IFERROR(SUMPRODUCT(ISNUMBER(B$3:B678)*(MONTH(IF(ISNUMBER(B$3:B678),B$3:B678,1))=MONTH(B678))*(YEAR(IF(ISNUMBER(B$3:B678),B$3:B678,1))=YEAR(B678))*IF(ISNUMBER(L$3:L678),L$3:L678,0)),""))</f>
        <v/>
      </c>
      <c r="N678" s="6"/>
      <c r="O678" s="7" t="str">
        <f>IF(AND(B678="",ISNUMBER(B679)),CHOOSE(MONTH(B679),"GENNAIO","FEBBRAIO","MARZO","APRILE","MAGGIO","GIUGNO","LUGLIO","AGOSTO","SETTEMBRE","OTTOBRE","NOVEMBRE","DICEMBRE")&amp;" "&amp;YEAR(B679),"")</f>
        <v/>
      </c>
      <c r="P678" s="12" t="str">
        <f>IF(K678=0.2,"CASA","")</f>
        <v/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" customHeight="1" x14ac:dyDescent="0.2">
      <c r="A679" s="5" t="str">
        <f>IF(AND(B679="",ISNUMBER(B680)),CHOOSE(MONTH(B680),"GENNAIO","FEBBRAIO","MARZO","APRILE","MAGGIO","GIUGNO","LUGLIO","AGOSTO","SETTEMBRE","OTTOBRE","NOVEMBRE","DICEMBRE")&amp;" "&amp;YEAR(B680),"")</f>
        <v/>
      </c>
      <c r="B679" s="11"/>
      <c r="C679" s="12"/>
      <c r="D679" s="12" t="str">
        <f>IF(C679="","",C679-IF(C678&lt;&gt;"",C678,IF(C677&lt;&gt;"",C677,IF(C676&lt;&gt;"",C676,0))))</f>
        <v/>
      </c>
      <c r="E679" s="12"/>
      <c r="F679" s="12"/>
      <c r="G679" s="9" t="str">
        <f>IF(AND(E679="",F679=""),"",IF(OR(E679&gt;1,F679&gt;1),(F679-E679)/100,F679-E679))</f>
        <v/>
      </c>
      <c r="H679" s="12" t="str">
        <f>IF(G679="","",64*G679)</f>
        <v/>
      </c>
      <c r="I679" s="13"/>
      <c r="J679" s="13" t="str">
        <f>IFERROR(IF(OR(D679="",D679=0),"",I679/D679*100),"")</f>
        <v/>
      </c>
      <c r="K679" s="14"/>
      <c r="L679" s="13" t="str">
        <f>IF(I679="","",I679*K679)</f>
        <v/>
      </c>
      <c r="M679" s="13" t="str">
        <f>IF(B679="","",IFERROR(SUMPRODUCT(ISNUMBER(B$3:B679)*(MONTH(IF(ISNUMBER(B$3:B679),B$3:B679,1))=MONTH(B679))*(YEAR(IF(ISNUMBER(B$3:B679),B$3:B679,1))=YEAR(B679))*IF(ISNUMBER(L$3:L679),L$3:L679,0)),""))</f>
        <v/>
      </c>
      <c r="N679" s="6"/>
      <c r="O679" s="7" t="str">
        <f>IF(AND(B679="",ISNUMBER(B680)),CHOOSE(MONTH(B680),"GENNAIO","FEBBRAIO","MARZO","APRILE","MAGGIO","GIUGNO","LUGLIO","AGOSTO","SETTEMBRE","OTTOBRE","NOVEMBRE","DICEMBRE")&amp;" "&amp;YEAR(B680),"")</f>
        <v/>
      </c>
      <c r="P679" s="12" t="str">
        <f>IF(K679=0.2,"CASA","")</f>
        <v/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" customHeight="1" x14ac:dyDescent="0.2">
      <c r="A680" s="5" t="str">
        <f>IF(AND(B680="",ISNUMBER(B681)),CHOOSE(MONTH(B681),"GENNAIO","FEBBRAIO","MARZO","APRILE","MAGGIO","GIUGNO","LUGLIO","AGOSTO","SETTEMBRE","OTTOBRE","NOVEMBRE","DICEMBRE")&amp;" "&amp;YEAR(B681),"")</f>
        <v/>
      </c>
      <c r="B680" s="11"/>
      <c r="C680" s="12"/>
      <c r="D680" s="12" t="str">
        <f>IF(C680="","",C680-IF(C679&lt;&gt;"",C679,IF(C678&lt;&gt;"",C678,IF(C677&lt;&gt;"",C677,0))))</f>
        <v/>
      </c>
      <c r="E680" s="12"/>
      <c r="F680" s="12"/>
      <c r="G680" s="9" t="str">
        <f>IF(AND(E680="",F680=""),"",IF(OR(E680&gt;1,F680&gt;1),(F680-E680)/100,F680-E680))</f>
        <v/>
      </c>
      <c r="H680" s="12" t="str">
        <f>IF(G680="","",64*G680)</f>
        <v/>
      </c>
      <c r="I680" s="13"/>
      <c r="J680" s="13" t="str">
        <f>IFERROR(IF(OR(D680="",D680=0),"",I680/D680*100),"")</f>
        <v/>
      </c>
      <c r="K680" s="14"/>
      <c r="L680" s="13" t="str">
        <f>IF(I680="","",I680*K680)</f>
        <v/>
      </c>
      <c r="M680" s="13" t="str">
        <f>IF(B680="","",IFERROR(SUMPRODUCT(ISNUMBER(B$3:B680)*(MONTH(IF(ISNUMBER(B$3:B680),B$3:B680,1))=MONTH(B680))*(YEAR(IF(ISNUMBER(B$3:B680),B$3:B680,1))=YEAR(B680))*IF(ISNUMBER(L$3:L680),L$3:L680,0)),""))</f>
        <v/>
      </c>
      <c r="N680" s="6"/>
      <c r="O680" s="7" t="str">
        <f>IF(AND(B680="",ISNUMBER(B681)),CHOOSE(MONTH(B681),"GENNAIO","FEBBRAIO","MARZO","APRILE","MAGGIO","GIUGNO","LUGLIO","AGOSTO","SETTEMBRE","OTTOBRE","NOVEMBRE","DICEMBRE")&amp;" "&amp;YEAR(B681),"")</f>
        <v/>
      </c>
      <c r="P680" s="12" t="str">
        <f>IF(K680=0.2,"CASA","")</f>
        <v/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" customHeight="1" x14ac:dyDescent="0.2">
      <c r="A681" s="5" t="str">
        <f>IF(AND(B681="",ISNUMBER(B682)),CHOOSE(MONTH(B682),"GENNAIO","FEBBRAIO","MARZO","APRILE","MAGGIO","GIUGNO","LUGLIO","AGOSTO","SETTEMBRE","OTTOBRE","NOVEMBRE","DICEMBRE")&amp;" "&amp;YEAR(B682),"")</f>
        <v/>
      </c>
      <c r="B681" s="11"/>
      <c r="C681" s="12"/>
      <c r="D681" s="12" t="str">
        <f>IF(C681="","",C681-IF(C680&lt;&gt;"",C680,IF(C679&lt;&gt;"",C679,IF(C678&lt;&gt;"",C678,0))))</f>
        <v/>
      </c>
      <c r="E681" s="12"/>
      <c r="F681" s="12"/>
      <c r="G681" s="9" t="str">
        <f>IF(AND(E681="",F681=""),"",IF(OR(E681&gt;1,F681&gt;1),(F681-E681)/100,F681-E681))</f>
        <v/>
      </c>
      <c r="H681" s="12" t="str">
        <f>IF(G681="","",64*G681)</f>
        <v/>
      </c>
      <c r="I681" s="13"/>
      <c r="J681" s="13" t="str">
        <f>IFERROR(IF(OR(D681="",D681=0),"",I681/D681*100),"")</f>
        <v/>
      </c>
      <c r="K681" s="14"/>
      <c r="L681" s="13" t="str">
        <f>IF(I681="","",I681*K681)</f>
        <v/>
      </c>
      <c r="M681" s="13" t="str">
        <f>IF(B681="","",IFERROR(SUMPRODUCT(ISNUMBER(B$3:B681)*(MONTH(IF(ISNUMBER(B$3:B681),B$3:B681,1))=MONTH(B681))*(YEAR(IF(ISNUMBER(B$3:B681),B$3:B681,1))=YEAR(B681))*IF(ISNUMBER(L$3:L681),L$3:L681,0)),""))</f>
        <v/>
      </c>
      <c r="N681" s="6"/>
      <c r="O681" s="7" t="str">
        <f>IF(AND(B681="",ISNUMBER(B682)),CHOOSE(MONTH(B682),"GENNAIO","FEBBRAIO","MARZO","APRILE","MAGGIO","GIUGNO","LUGLIO","AGOSTO","SETTEMBRE","OTTOBRE","NOVEMBRE","DICEMBRE")&amp;" "&amp;YEAR(B682),"")</f>
        <v/>
      </c>
      <c r="P681" s="12" t="str">
        <f>IF(K681=0.2,"CASA","")</f>
        <v/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" customHeight="1" x14ac:dyDescent="0.2">
      <c r="A682" s="5" t="str">
        <f>IF(AND(B682="",ISNUMBER(B683)),CHOOSE(MONTH(B683),"GENNAIO","FEBBRAIO","MARZO","APRILE","MAGGIO","GIUGNO","LUGLIO","AGOSTO","SETTEMBRE","OTTOBRE","NOVEMBRE","DICEMBRE")&amp;" "&amp;YEAR(B683),"")</f>
        <v/>
      </c>
      <c r="B682" s="11"/>
      <c r="C682" s="12"/>
      <c r="D682" s="12" t="str">
        <f>IF(C682="","",C682-IF(C681&lt;&gt;"",C681,IF(C680&lt;&gt;"",C680,IF(C679&lt;&gt;"",C679,0))))</f>
        <v/>
      </c>
      <c r="E682" s="12"/>
      <c r="F682" s="12"/>
      <c r="G682" s="9" t="str">
        <f>IF(AND(E682="",F682=""),"",IF(OR(E682&gt;1,F682&gt;1),(F682-E682)/100,F682-E682))</f>
        <v/>
      </c>
      <c r="H682" s="12" t="str">
        <f>IF(G682="","",64*G682)</f>
        <v/>
      </c>
      <c r="I682" s="13"/>
      <c r="J682" s="13" t="str">
        <f>IFERROR(IF(OR(D682="",D682=0),"",I682/D682*100),"")</f>
        <v/>
      </c>
      <c r="K682" s="14"/>
      <c r="L682" s="13" t="str">
        <f>IF(I682="","",I682*K682)</f>
        <v/>
      </c>
      <c r="M682" s="13" t="str">
        <f>IF(B682="","",IFERROR(SUMPRODUCT(ISNUMBER(B$3:B682)*(MONTH(IF(ISNUMBER(B$3:B682),B$3:B682,1))=MONTH(B682))*(YEAR(IF(ISNUMBER(B$3:B682),B$3:B682,1))=YEAR(B682))*IF(ISNUMBER(L$3:L682),L$3:L682,0)),""))</f>
        <v/>
      </c>
      <c r="N682" s="6"/>
      <c r="O682" s="7" t="str">
        <f>IF(AND(B682="",ISNUMBER(B683)),CHOOSE(MONTH(B683),"GENNAIO","FEBBRAIO","MARZO","APRILE","MAGGIO","GIUGNO","LUGLIO","AGOSTO","SETTEMBRE","OTTOBRE","NOVEMBRE","DICEMBRE")&amp;" "&amp;YEAR(B683),"")</f>
        <v/>
      </c>
      <c r="P682" s="12" t="str">
        <f>IF(K682=0.2,"CASA","")</f>
        <v/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" customHeight="1" x14ac:dyDescent="0.2">
      <c r="A683" s="5" t="str">
        <f>IF(AND(B683="",ISNUMBER(B684)),CHOOSE(MONTH(B684),"GENNAIO","FEBBRAIO","MARZO","APRILE","MAGGIO","GIUGNO","LUGLIO","AGOSTO","SETTEMBRE","OTTOBRE","NOVEMBRE","DICEMBRE")&amp;" "&amp;YEAR(B684),"")</f>
        <v/>
      </c>
      <c r="B683" s="11"/>
      <c r="C683" s="12"/>
      <c r="D683" s="12" t="str">
        <f>IF(C683="","",C683-IF(C682&lt;&gt;"",C682,IF(C681&lt;&gt;"",C681,IF(C680&lt;&gt;"",C680,0))))</f>
        <v/>
      </c>
      <c r="E683" s="12"/>
      <c r="F683" s="12"/>
      <c r="G683" s="9" t="str">
        <f>IF(AND(E683="",F683=""),"",IF(OR(E683&gt;1,F683&gt;1),(F683-E683)/100,F683-E683))</f>
        <v/>
      </c>
      <c r="H683" s="12" t="str">
        <f>IF(G683="","",64*G683)</f>
        <v/>
      </c>
      <c r="I683" s="13"/>
      <c r="J683" s="13" t="str">
        <f>IFERROR(IF(OR(D683="",D683=0),"",I683/D683*100),"")</f>
        <v/>
      </c>
      <c r="K683" s="14"/>
      <c r="L683" s="13" t="str">
        <f>IF(I683="","",I683*K683)</f>
        <v/>
      </c>
      <c r="M683" s="13" t="str">
        <f>IF(B683="","",IFERROR(SUMPRODUCT(ISNUMBER(B$3:B683)*(MONTH(IF(ISNUMBER(B$3:B683),B$3:B683,1))=MONTH(B683))*(YEAR(IF(ISNUMBER(B$3:B683),B$3:B683,1))=YEAR(B683))*IF(ISNUMBER(L$3:L683),L$3:L683,0)),""))</f>
        <v/>
      </c>
      <c r="N683" s="6"/>
      <c r="O683" s="7" t="str">
        <f>IF(AND(B683="",ISNUMBER(B684)),CHOOSE(MONTH(B684),"GENNAIO","FEBBRAIO","MARZO","APRILE","MAGGIO","GIUGNO","LUGLIO","AGOSTO","SETTEMBRE","OTTOBRE","NOVEMBRE","DICEMBRE")&amp;" "&amp;YEAR(B684),"")</f>
        <v/>
      </c>
      <c r="P683" s="12" t="str">
        <f>IF(K683=0.2,"CASA","")</f>
        <v/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" customHeight="1" x14ac:dyDescent="0.2">
      <c r="A684" s="5" t="str">
        <f>IF(AND(B684="",ISNUMBER(B685)),CHOOSE(MONTH(B685),"GENNAIO","FEBBRAIO","MARZO","APRILE","MAGGIO","GIUGNO","LUGLIO","AGOSTO","SETTEMBRE","OTTOBRE","NOVEMBRE","DICEMBRE")&amp;" "&amp;YEAR(B685),"")</f>
        <v/>
      </c>
      <c r="B684" s="11"/>
      <c r="C684" s="12"/>
      <c r="D684" s="12" t="str">
        <f>IF(C684="","",C684-IF(C683&lt;&gt;"",C683,IF(C682&lt;&gt;"",C682,IF(C681&lt;&gt;"",C681,0))))</f>
        <v/>
      </c>
      <c r="E684" s="12"/>
      <c r="F684" s="12"/>
      <c r="G684" s="9" t="str">
        <f>IF(AND(E684="",F684=""),"",IF(OR(E684&gt;1,F684&gt;1),(F684-E684)/100,F684-E684))</f>
        <v/>
      </c>
      <c r="H684" s="12" t="str">
        <f>IF(G684="","",64*G684)</f>
        <v/>
      </c>
      <c r="I684" s="13"/>
      <c r="J684" s="13" t="str">
        <f>IFERROR(IF(OR(D684="",D684=0),"",I684/D684*100),"")</f>
        <v/>
      </c>
      <c r="K684" s="14"/>
      <c r="L684" s="13" t="str">
        <f>IF(I684="","",I684*K684)</f>
        <v/>
      </c>
      <c r="M684" s="13" t="str">
        <f>IF(B684="","",IFERROR(SUMPRODUCT(ISNUMBER(B$3:B684)*(MONTH(IF(ISNUMBER(B$3:B684),B$3:B684,1))=MONTH(B684))*(YEAR(IF(ISNUMBER(B$3:B684),B$3:B684,1))=YEAR(B684))*IF(ISNUMBER(L$3:L684),L$3:L684,0)),""))</f>
        <v/>
      </c>
      <c r="N684" s="6"/>
      <c r="O684" s="7" t="str">
        <f>IF(AND(B684="",ISNUMBER(B685)),CHOOSE(MONTH(B685),"GENNAIO","FEBBRAIO","MARZO","APRILE","MAGGIO","GIUGNO","LUGLIO","AGOSTO","SETTEMBRE","OTTOBRE","NOVEMBRE","DICEMBRE")&amp;" "&amp;YEAR(B685),"")</f>
        <v/>
      </c>
      <c r="P684" s="12" t="str">
        <f>IF(K684=0.2,"CASA","")</f>
        <v/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" customHeight="1" x14ac:dyDescent="0.2">
      <c r="A685" s="5" t="str">
        <f>IF(AND(B685="",ISNUMBER(B686)),CHOOSE(MONTH(B686),"GENNAIO","FEBBRAIO","MARZO","APRILE","MAGGIO","GIUGNO","LUGLIO","AGOSTO","SETTEMBRE","OTTOBRE","NOVEMBRE","DICEMBRE")&amp;" "&amp;YEAR(B686),"")</f>
        <v/>
      </c>
      <c r="B685" s="11"/>
      <c r="C685" s="12"/>
      <c r="D685" s="12" t="str">
        <f>IF(C685="","",C685-IF(C684&lt;&gt;"",C684,IF(C683&lt;&gt;"",C683,IF(C682&lt;&gt;"",C682,0))))</f>
        <v/>
      </c>
      <c r="E685" s="12"/>
      <c r="F685" s="12"/>
      <c r="G685" s="9" t="str">
        <f>IF(AND(E685="",F685=""),"",IF(OR(E685&gt;1,F685&gt;1),(F685-E685)/100,F685-E685))</f>
        <v/>
      </c>
      <c r="H685" s="12" t="str">
        <f>IF(G685="","",64*G685)</f>
        <v/>
      </c>
      <c r="I685" s="13"/>
      <c r="J685" s="13" t="str">
        <f>IFERROR(IF(OR(D685="",D685=0),"",I685/D685*100),"")</f>
        <v/>
      </c>
      <c r="K685" s="14"/>
      <c r="L685" s="13" t="str">
        <f>IF(I685="","",I685*K685)</f>
        <v/>
      </c>
      <c r="M685" s="13" t="str">
        <f>IF(B685="","",IFERROR(SUMPRODUCT(ISNUMBER(B$3:B685)*(MONTH(IF(ISNUMBER(B$3:B685),B$3:B685,1))=MONTH(B685))*(YEAR(IF(ISNUMBER(B$3:B685),B$3:B685,1))=YEAR(B685))*IF(ISNUMBER(L$3:L685),L$3:L685,0)),""))</f>
        <v/>
      </c>
      <c r="N685" s="6"/>
      <c r="O685" s="7" t="str">
        <f>IF(AND(B685="",ISNUMBER(B686)),CHOOSE(MONTH(B686),"GENNAIO","FEBBRAIO","MARZO","APRILE","MAGGIO","GIUGNO","LUGLIO","AGOSTO","SETTEMBRE","OTTOBRE","NOVEMBRE","DICEMBRE")&amp;" "&amp;YEAR(B686),"")</f>
        <v/>
      </c>
      <c r="P685" s="12" t="str">
        <f>IF(K685=0.2,"CASA","")</f>
        <v/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" customHeight="1" x14ac:dyDescent="0.2">
      <c r="A686" s="5" t="str">
        <f>IF(AND(B686="",ISNUMBER(B687)),CHOOSE(MONTH(B687),"GENNAIO","FEBBRAIO","MARZO","APRILE","MAGGIO","GIUGNO","LUGLIO","AGOSTO","SETTEMBRE","OTTOBRE","NOVEMBRE","DICEMBRE")&amp;" "&amp;YEAR(B687),"")</f>
        <v/>
      </c>
      <c r="B686" s="11"/>
      <c r="C686" s="12"/>
      <c r="D686" s="12" t="str">
        <f>IF(C686="","",C686-IF(C685&lt;&gt;"",C685,IF(C684&lt;&gt;"",C684,IF(C683&lt;&gt;"",C683,0))))</f>
        <v/>
      </c>
      <c r="E686" s="12"/>
      <c r="F686" s="12"/>
      <c r="G686" s="9" t="str">
        <f>IF(AND(E686="",F686=""),"",IF(OR(E686&gt;1,F686&gt;1),(F686-E686)/100,F686-E686))</f>
        <v/>
      </c>
      <c r="H686" s="12" t="str">
        <f>IF(G686="","",64*G686)</f>
        <v/>
      </c>
      <c r="I686" s="13"/>
      <c r="J686" s="13" t="str">
        <f>IFERROR(IF(OR(D686="",D686=0),"",I686/D686*100),"")</f>
        <v/>
      </c>
      <c r="K686" s="14"/>
      <c r="L686" s="13" t="str">
        <f>IF(I686="","",I686*K686)</f>
        <v/>
      </c>
      <c r="M686" s="13" t="str">
        <f>IF(B686="","",IFERROR(SUMPRODUCT(ISNUMBER(B$3:B686)*(MONTH(IF(ISNUMBER(B$3:B686),B$3:B686,1))=MONTH(B686))*(YEAR(IF(ISNUMBER(B$3:B686),B$3:B686,1))=YEAR(B686))*IF(ISNUMBER(L$3:L686),L$3:L686,0)),""))</f>
        <v/>
      </c>
      <c r="N686" s="6"/>
      <c r="O686" s="7" t="str">
        <f>IF(AND(B686="",ISNUMBER(B687)),CHOOSE(MONTH(B687),"GENNAIO","FEBBRAIO","MARZO","APRILE","MAGGIO","GIUGNO","LUGLIO","AGOSTO","SETTEMBRE","OTTOBRE","NOVEMBRE","DICEMBRE")&amp;" "&amp;YEAR(B687),"")</f>
        <v/>
      </c>
      <c r="P686" s="12" t="str">
        <f>IF(K686=0.2,"CASA","")</f>
        <v/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" customHeight="1" x14ac:dyDescent="0.2">
      <c r="A687" s="5" t="str">
        <f>IF(AND(B687="",ISNUMBER(B688)),CHOOSE(MONTH(B688),"GENNAIO","FEBBRAIO","MARZO","APRILE","MAGGIO","GIUGNO","LUGLIO","AGOSTO","SETTEMBRE","OTTOBRE","NOVEMBRE","DICEMBRE")&amp;" "&amp;YEAR(B688),"")</f>
        <v/>
      </c>
      <c r="B687" s="11"/>
      <c r="C687" s="12"/>
      <c r="D687" s="12" t="str">
        <f>IF(C687="","",C687-IF(C686&lt;&gt;"",C686,IF(C685&lt;&gt;"",C685,IF(C684&lt;&gt;"",C684,0))))</f>
        <v/>
      </c>
      <c r="E687" s="12"/>
      <c r="F687" s="12"/>
      <c r="G687" s="9" t="str">
        <f>IF(AND(E687="",F687=""),"",IF(OR(E687&gt;1,F687&gt;1),(F687-E687)/100,F687-E687))</f>
        <v/>
      </c>
      <c r="H687" s="12" t="str">
        <f>IF(G687="","",64*G687)</f>
        <v/>
      </c>
      <c r="I687" s="13"/>
      <c r="J687" s="13" t="str">
        <f>IFERROR(IF(OR(D687="",D687=0),"",I687/D687*100),"")</f>
        <v/>
      </c>
      <c r="K687" s="14"/>
      <c r="L687" s="13" t="str">
        <f>IF(I687="","",I687*K687)</f>
        <v/>
      </c>
      <c r="M687" s="13" t="str">
        <f>IF(B687="","",IFERROR(SUMPRODUCT(ISNUMBER(B$3:B687)*(MONTH(IF(ISNUMBER(B$3:B687),B$3:B687,1))=MONTH(B687))*(YEAR(IF(ISNUMBER(B$3:B687),B$3:B687,1))=YEAR(B687))*IF(ISNUMBER(L$3:L687),L$3:L687,0)),""))</f>
        <v/>
      </c>
      <c r="N687" s="6"/>
      <c r="O687" s="7" t="str">
        <f>IF(AND(B687="",ISNUMBER(B688)),CHOOSE(MONTH(B688),"GENNAIO","FEBBRAIO","MARZO","APRILE","MAGGIO","GIUGNO","LUGLIO","AGOSTO","SETTEMBRE","OTTOBRE","NOVEMBRE","DICEMBRE")&amp;" "&amp;YEAR(B688),"")</f>
        <v/>
      </c>
      <c r="P687" s="12" t="str">
        <f>IF(K687=0.2,"CASA","")</f>
        <v/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" customHeight="1" x14ac:dyDescent="0.2">
      <c r="A688" s="5" t="str">
        <f>IF(AND(B688="",ISNUMBER(B689)),CHOOSE(MONTH(B689),"GENNAIO","FEBBRAIO","MARZO","APRILE","MAGGIO","GIUGNO","LUGLIO","AGOSTO","SETTEMBRE","OTTOBRE","NOVEMBRE","DICEMBRE")&amp;" "&amp;YEAR(B689),"")</f>
        <v/>
      </c>
      <c r="B688" s="11"/>
      <c r="C688" s="12"/>
      <c r="D688" s="12" t="str">
        <f>IF(C688="","",C688-IF(C687&lt;&gt;"",C687,IF(C686&lt;&gt;"",C686,IF(C685&lt;&gt;"",C685,0))))</f>
        <v/>
      </c>
      <c r="E688" s="12"/>
      <c r="F688" s="12"/>
      <c r="G688" s="9" t="str">
        <f>IF(AND(E688="",F688=""),"",IF(OR(E688&gt;1,F688&gt;1),(F688-E688)/100,F688-E688))</f>
        <v/>
      </c>
      <c r="H688" s="12" t="str">
        <f>IF(G688="","",64*G688)</f>
        <v/>
      </c>
      <c r="I688" s="13"/>
      <c r="J688" s="13" t="str">
        <f>IFERROR(IF(OR(D688="",D688=0),"",I688/D688*100),"")</f>
        <v/>
      </c>
      <c r="K688" s="14"/>
      <c r="L688" s="13" t="str">
        <f>IF(I688="","",I688*K688)</f>
        <v/>
      </c>
      <c r="M688" s="13" t="str">
        <f>IF(B688="","",IFERROR(SUMPRODUCT(ISNUMBER(B$3:B688)*(MONTH(IF(ISNUMBER(B$3:B688),B$3:B688,1))=MONTH(B688))*(YEAR(IF(ISNUMBER(B$3:B688),B$3:B688,1))=YEAR(B688))*IF(ISNUMBER(L$3:L688),L$3:L688,0)),""))</f>
        <v/>
      </c>
      <c r="N688" s="6"/>
      <c r="O688" s="7" t="str">
        <f>IF(AND(B688="",ISNUMBER(B689)),CHOOSE(MONTH(B689),"GENNAIO","FEBBRAIO","MARZO","APRILE","MAGGIO","GIUGNO","LUGLIO","AGOSTO","SETTEMBRE","OTTOBRE","NOVEMBRE","DICEMBRE")&amp;" "&amp;YEAR(B689),"")</f>
        <v/>
      </c>
      <c r="P688" s="12" t="str">
        <f>IF(K688=0.2,"CASA","")</f>
        <v/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" customHeight="1" x14ac:dyDescent="0.2">
      <c r="A689" s="5" t="str">
        <f>IF(AND(B689="",ISNUMBER(B690)),CHOOSE(MONTH(B690),"GENNAIO","FEBBRAIO","MARZO","APRILE","MAGGIO","GIUGNO","LUGLIO","AGOSTO","SETTEMBRE","OTTOBRE","NOVEMBRE","DICEMBRE")&amp;" "&amp;YEAR(B690),"")</f>
        <v/>
      </c>
      <c r="B689" s="11"/>
      <c r="C689" s="12"/>
      <c r="D689" s="12" t="str">
        <f>IF(C689="","",C689-IF(C688&lt;&gt;"",C688,IF(C687&lt;&gt;"",C687,IF(C686&lt;&gt;"",C686,0))))</f>
        <v/>
      </c>
      <c r="E689" s="12"/>
      <c r="F689" s="12"/>
      <c r="G689" s="9" t="str">
        <f>IF(AND(E689="",F689=""),"",IF(OR(E689&gt;1,F689&gt;1),(F689-E689)/100,F689-E689))</f>
        <v/>
      </c>
      <c r="H689" s="12" t="str">
        <f>IF(G689="","",64*G689)</f>
        <v/>
      </c>
      <c r="I689" s="13"/>
      <c r="J689" s="13" t="str">
        <f>IFERROR(IF(OR(D689="",D689=0),"",I689/D689*100),"")</f>
        <v/>
      </c>
      <c r="K689" s="14"/>
      <c r="L689" s="13" t="str">
        <f>IF(I689="","",I689*K689)</f>
        <v/>
      </c>
      <c r="M689" s="13" t="str">
        <f>IF(B689="","",IFERROR(SUMPRODUCT(ISNUMBER(B$3:B689)*(MONTH(IF(ISNUMBER(B$3:B689),B$3:B689,1))=MONTH(B689))*(YEAR(IF(ISNUMBER(B$3:B689),B$3:B689,1))=YEAR(B689))*IF(ISNUMBER(L$3:L689),L$3:L689,0)),""))</f>
        <v/>
      </c>
      <c r="N689" s="6"/>
      <c r="O689" s="7" t="str">
        <f>IF(AND(B689="",ISNUMBER(B690)),CHOOSE(MONTH(B690),"GENNAIO","FEBBRAIO","MARZO","APRILE","MAGGIO","GIUGNO","LUGLIO","AGOSTO","SETTEMBRE","OTTOBRE","NOVEMBRE","DICEMBRE")&amp;" "&amp;YEAR(B690),"")</f>
        <v/>
      </c>
      <c r="P689" s="12" t="str">
        <f>IF(K689=0.2,"CASA","")</f>
        <v/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" customHeight="1" x14ac:dyDescent="0.2">
      <c r="A690" s="5" t="str">
        <f>IF(AND(B690="",ISNUMBER(B691)),CHOOSE(MONTH(B691),"GENNAIO","FEBBRAIO","MARZO","APRILE","MAGGIO","GIUGNO","LUGLIO","AGOSTO","SETTEMBRE","OTTOBRE","NOVEMBRE","DICEMBRE")&amp;" "&amp;YEAR(B691),"")</f>
        <v/>
      </c>
      <c r="B690" s="11"/>
      <c r="C690" s="12"/>
      <c r="D690" s="12" t="str">
        <f>IF(C690="","",C690-IF(C689&lt;&gt;"",C689,IF(C688&lt;&gt;"",C688,IF(C687&lt;&gt;"",C687,0))))</f>
        <v/>
      </c>
      <c r="E690" s="12"/>
      <c r="F690" s="12"/>
      <c r="G690" s="9" t="str">
        <f>IF(AND(E690="",F690=""),"",IF(OR(E690&gt;1,F690&gt;1),(F690-E690)/100,F690-E690))</f>
        <v/>
      </c>
      <c r="H690" s="12" t="str">
        <f>IF(G690="","",64*G690)</f>
        <v/>
      </c>
      <c r="I690" s="13"/>
      <c r="J690" s="13" t="str">
        <f>IFERROR(IF(OR(D690="",D690=0),"",I690/D690*100),"")</f>
        <v/>
      </c>
      <c r="K690" s="14"/>
      <c r="L690" s="13" t="str">
        <f>IF(I690="","",I690*K690)</f>
        <v/>
      </c>
      <c r="M690" s="13" t="str">
        <f>IF(B690="","",IFERROR(SUMPRODUCT(ISNUMBER(B$3:B690)*(MONTH(IF(ISNUMBER(B$3:B690),B$3:B690,1))=MONTH(B690))*(YEAR(IF(ISNUMBER(B$3:B690),B$3:B690,1))=YEAR(B690))*IF(ISNUMBER(L$3:L690),L$3:L690,0)),""))</f>
        <v/>
      </c>
      <c r="N690" s="6"/>
      <c r="O690" s="7" t="str">
        <f>IF(AND(B690="",ISNUMBER(B691)),CHOOSE(MONTH(B691),"GENNAIO","FEBBRAIO","MARZO","APRILE","MAGGIO","GIUGNO","LUGLIO","AGOSTO","SETTEMBRE","OTTOBRE","NOVEMBRE","DICEMBRE")&amp;" "&amp;YEAR(B691),"")</f>
        <v/>
      </c>
      <c r="P690" s="12" t="str">
        <f>IF(K690=0.2,"CASA","")</f>
        <v/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" customHeight="1" x14ac:dyDescent="0.2">
      <c r="A691" s="5" t="str">
        <f>IF(AND(B691="",ISNUMBER(B692)),CHOOSE(MONTH(B692),"GENNAIO","FEBBRAIO","MARZO","APRILE","MAGGIO","GIUGNO","LUGLIO","AGOSTO","SETTEMBRE","OTTOBRE","NOVEMBRE","DICEMBRE")&amp;" "&amp;YEAR(B692),"")</f>
        <v/>
      </c>
      <c r="B691" s="11"/>
      <c r="C691" s="12"/>
      <c r="D691" s="12" t="str">
        <f>IF(C691="","",C691-IF(C690&lt;&gt;"",C690,IF(C689&lt;&gt;"",C689,IF(C688&lt;&gt;"",C688,0))))</f>
        <v/>
      </c>
      <c r="E691" s="12"/>
      <c r="F691" s="12"/>
      <c r="G691" s="9" t="str">
        <f>IF(AND(E691="",F691=""),"",IF(OR(E691&gt;1,F691&gt;1),(F691-E691)/100,F691-E691))</f>
        <v/>
      </c>
      <c r="H691" s="12" t="str">
        <f>IF(G691="","",64*G691)</f>
        <v/>
      </c>
      <c r="I691" s="13"/>
      <c r="J691" s="13" t="str">
        <f>IFERROR(IF(OR(D691="",D691=0),"",I691/D691*100),"")</f>
        <v/>
      </c>
      <c r="K691" s="14"/>
      <c r="L691" s="13" t="str">
        <f>IF(I691="","",I691*K691)</f>
        <v/>
      </c>
      <c r="M691" s="13" t="str">
        <f>IF(B691="","",IFERROR(SUMPRODUCT(ISNUMBER(B$3:B691)*(MONTH(IF(ISNUMBER(B$3:B691),B$3:B691,1))=MONTH(B691))*(YEAR(IF(ISNUMBER(B$3:B691),B$3:B691,1))=YEAR(B691))*IF(ISNUMBER(L$3:L691),L$3:L691,0)),""))</f>
        <v/>
      </c>
      <c r="N691" s="6"/>
      <c r="O691" s="7" t="str">
        <f>IF(AND(B691="",ISNUMBER(B692)),CHOOSE(MONTH(B692),"GENNAIO","FEBBRAIO","MARZO","APRILE","MAGGIO","GIUGNO","LUGLIO","AGOSTO","SETTEMBRE","OTTOBRE","NOVEMBRE","DICEMBRE")&amp;" "&amp;YEAR(B692),"")</f>
        <v/>
      </c>
      <c r="P691" s="12" t="str">
        <f>IF(K691=0.2,"CASA","")</f>
        <v/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" customHeight="1" x14ac:dyDescent="0.2">
      <c r="A692" s="5" t="str">
        <f>IF(AND(B692="",ISNUMBER(B693)),CHOOSE(MONTH(B693),"GENNAIO","FEBBRAIO","MARZO","APRILE","MAGGIO","GIUGNO","LUGLIO","AGOSTO","SETTEMBRE","OTTOBRE","NOVEMBRE","DICEMBRE")&amp;" "&amp;YEAR(B693),"")</f>
        <v/>
      </c>
      <c r="B692" s="11"/>
      <c r="C692" s="12"/>
      <c r="D692" s="12" t="str">
        <f>IF(C692="","",C692-IF(C691&lt;&gt;"",C691,IF(C690&lt;&gt;"",C690,IF(C689&lt;&gt;"",C689,0))))</f>
        <v/>
      </c>
      <c r="E692" s="12"/>
      <c r="F692" s="12"/>
      <c r="G692" s="9" t="str">
        <f>IF(AND(E692="",F692=""),"",IF(OR(E692&gt;1,F692&gt;1),(F692-E692)/100,F692-E692))</f>
        <v/>
      </c>
      <c r="H692" s="12" t="str">
        <f>IF(G692="","",64*G692)</f>
        <v/>
      </c>
      <c r="I692" s="13"/>
      <c r="J692" s="13" t="str">
        <f>IFERROR(IF(OR(D692="",D692=0),"",I692/D692*100),"")</f>
        <v/>
      </c>
      <c r="K692" s="14"/>
      <c r="L692" s="13" t="str">
        <f>IF(I692="","",I692*K692)</f>
        <v/>
      </c>
      <c r="M692" s="13" t="str">
        <f>IF(B692="","",IFERROR(SUMPRODUCT(ISNUMBER(B$3:B692)*(MONTH(IF(ISNUMBER(B$3:B692),B$3:B692,1))=MONTH(B692))*(YEAR(IF(ISNUMBER(B$3:B692),B$3:B692,1))=YEAR(B692))*IF(ISNUMBER(L$3:L692),L$3:L692,0)),""))</f>
        <v/>
      </c>
      <c r="N692" s="6"/>
      <c r="O692" s="7" t="str">
        <f>IF(AND(B692="",ISNUMBER(B693)),CHOOSE(MONTH(B693),"GENNAIO","FEBBRAIO","MARZO","APRILE","MAGGIO","GIUGNO","LUGLIO","AGOSTO","SETTEMBRE","OTTOBRE","NOVEMBRE","DICEMBRE")&amp;" "&amp;YEAR(B693),"")</f>
        <v/>
      </c>
      <c r="P692" s="12" t="str">
        <f>IF(K692=0.2,"CASA","")</f>
        <v/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" customHeight="1" x14ac:dyDescent="0.2">
      <c r="A693" s="5" t="str">
        <f>IF(AND(B693="",ISNUMBER(B694)),CHOOSE(MONTH(B694),"GENNAIO","FEBBRAIO","MARZO","APRILE","MAGGIO","GIUGNO","LUGLIO","AGOSTO","SETTEMBRE","OTTOBRE","NOVEMBRE","DICEMBRE")&amp;" "&amp;YEAR(B694),"")</f>
        <v/>
      </c>
      <c r="B693" s="11"/>
      <c r="C693" s="12"/>
      <c r="D693" s="12" t="str">
        <f>IF(C693="","",C693-IF(C692&lt;&gt;"",C692,IF(C691&lt;&gt;"",C691,IF(C690&lt;&gt;"",C690,0))))</f>
        <v/>
      </c>
      <c r="E693" s="12"/>
      <c r="F693" s="12"/>
      <c r="G693" s="9" t="str">
        <f>IF(AND(E693="",F693=""),"",IF(OR(E693&gt;1,F693&gt;1),(F693-E693)/100,F693-E693))</f>
        <v/>
      </c>
      <c r="H693" s="12" t="str">
        <f>IF(G693="","",64*G693)</f>
        <v/>
      </c>
      <c r="I693" s="13"/>
      <c r="J693" s="13" t="str">
        <f>IFERROR(IF(OR(D693="",D693=0),"",I693/D693*100),"")</f>
        <v/>
      </c>
      <c r="K693" s="14"/>
      <c r="L693" s="13" t="str">
        <f>IF(I693="","",I693*K693)</f>
        <v/>
      </c>
      <c r="M693" s="13" t="str">
        <f>IF(B693="","",IFERROR(SUMPRODUCT(ISNUMBER(B$3:B693)*(MONTH(IF(ISNUMBER(B$3:B693),B$3:B693,1))=MONTH(B693))*(YEAR(IF(ISNUMBER(B$3:B693),B$3:B693,1))=YEAR(B693))*IF(ISNUMBER(L$3:L693),L$3:L693,0)),""))</f>
        <v/>
      </c>
      <c r="N693" s="6"/>
      <c r="O693" s="7" t="str">
        <f>IF(AND(B693="",ISNUMBER(B694)),CHOOSE(MONTH(B694),"GENNAIO","FEBBRAIO","MARZO","APRILE","MAGGIO","GIUGNO","LUGLIO","AGOSTO","SETTEMBRE","OTTOBRE","NOVEMBRE","DICEMBRE")&amp;" "&amp;YEAR(B694),"")</f>
        <v/>
      </c>
      <c r="P693" s="12" t="str">
        <f>IF(K693=0.2,"CASA","")</f>
        <v/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" customHeight="1" x14ac:dyDescent="0.2">
      <c r="A694" s="5" t="str">
        <f>IF(AND(B694="",ISNUMBER(B695)),CHOOSE(MONTH(B695),"GENNAIO","FEBBRAIO","MARZO","APRILE","MAGGIO","GIUGNO","LUGLIO","AGOSTO","SETTEMBRE","OTTOBRE","NOVEMBRE","DICEMBRE")&amp;" "&amp;YEAR(B695),"")</f>
        <v/>
      </c>
      <c r="B694" s="11"/>
      <c r="C694" s="12"/>
      <c r="D694" s="12" t="str">
        <f>IF(C694="","",C694-IF(C693&lt;&gt;"",C693,IF(C692&lt;&gt;"",C692,IF(C691&lt;&gt;"",C691,0))))</f>
        <v/>
      </c>
      <c r="E694" s="12"/>
      <c r="F694" s="12"/>
      <c r="G694" s="9" t="str">
        <f>IF(AND(E694="",F694=""),"",IF(OR(E694&gt;1,F694&gt;1),(F694-E694)/100,F694-E694))</f>
        <v/>
      </c>
      <c r="H694" s="12" t="str">
        <f>IF(G694="","",64*G694)</f>
        <v/>
      </c>
      <c r="I694" s="13"/>
      <c r="J694" s="13" t="str">
        <f>IFERROR(IF(OR(D694="",D694=0),"",I694/D694*100),"")</f>
        <v/>
      </c>
      <c r="K694" s="14"/>
      <c r="L694" s="13" t="str">
        <f>IF(I694="","",I694*K694)</f>
        <v/>
      </c>
      <c r="M694" s="13" t="str">
        <f>IF(B694="","",IFERROR(SUMPRODUCT(ISNUMBER(B$3:B694)*(MONTH(IF(ISNUMBER(B$3:B694),B$3:B694,1))=MONTH(B694))*(YEAR(IF(ISNUMBER(B$3:B694),B$3:B694,1))=YEAR(B694))*IF(ISNUMBER(L$3:L694),L$3:L694,0)),""))</f>
        <v/>
      </c>
      <c r="N694" s="6"/>
      <c r="O694" s="7" t="str">
        <f>IF(AND(B694="",ISNUMBER(B695)),CHOOSE(MONTH(B695),"GENNAIO","FEBBRAIO","MARZO","APRILE","MAGGIO","GIUGNO","LUGLIO","AGOSTO","SETTEMBRE","OTTOBRE","NOVEMBRE","DICEMBRE")&amp;" "&amp;YEAR(B695),"")</f>
        <v/>
      </c>
      <c r="P694" s="12" t="str">
        <f>IF(K694=0.2,"CASA","")</f>
        <v/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" customHeight="1" x14ac:dyDescent="0.2">
      <c r="A695" s="5" t="str">
        <f>IF(AND(B695="",ISNUMBER(B696)),CHOOSE(MONTH(B696),"GENNAIO","FEBBRAIO","MARZO","APRILE","MAGGIO","GIUGNO","LUGLIO","AGOSTO","SETTEMBRE","OTTOBRE","NOVEMBRE","DICEMBRE")&amp;" "&amp;YEAR(B696),"")</f>
        <v/>
      </c>
      <c r="B695" s="11"/>
      <c r="C695" s="12"/>
      <c r="D695" s="12" t="str">
        <f>IF(C695="","",C695-IF(C694&lt;&gt;"",C694,IF(C693&lt;&gt;"",C693,IF(C692&lt;&gt;"",C692,0))))</f>
        <v/>
      </c>
      <c r="E695" s="12"/>
      <c r="F695" s="12"/>
      <c r="G695" s="9" t="str">
        <f>IF(AND(E695="",F695=""),"",IF(OR(E695&gt;1,F695&gt;1),(F695-E695)/100,F695-E695))</f>
        <v/>
      </c>
      <c r="H695" s="12" t="str">
        <f>IF(G695="","",64*G695)</f>
        <v/>
      </c>
      <c r="I695" s="13"/>
      <c r="J695" s="13" t="str">
        <f>IFERROR(IF(OR(D695="",D695=0),"",I695/D695*100),"")</f>
        <v/>
      </c>
      <c r="K695" s="14"/>
      <c r="L695" s="13" t="str">
        <f>IF(I695="","",I695*K695)</f>
        <v/>
      </c>
      <c r="M695" s="13" t="str">
        <f>IF(B695="","",IFERROR(SUMPRODUCT(ISNUMBER(B$3:B695)*(MONTH(IF(ISNUMBER(B$3:B695),B$3:B695,1))=MONTH(B695))*(YEAR(IF(ISNUMBER(B$3:B695),B$3:B695,1))=YEAR(B695))*IF(ISNUMBER(L$3:L695),L$3:L695,0)),""))</f>
        <v/>
      </c>
      <c r="N695" s="6"/>
      <c r="O695" s="7" t="str">
        <f>IF(AND(B695="",ISNUMBER(B696)),CHOOSE(MONTH(B696),"GENNAIO","FEBBRAIO","MARZO","APRILE","MAGGIO","GIUGNO","LUGLIO","AGOSTO","SETTEMBRE","OTTOBRE","NOVEMBRE","DICEMBRE")&amp;" "&amp;YEAR(B696),"")</f>
        <v/>
      </c>
      <c r="P695" s="12" t="str">
        <f>IF(K695=0.2,"CASA","")</f>
        <v/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" customHeight="1" x14ac:dyDescent="0.2">
      <c r="A696" s="5" t="str">
        <f>IF(AND(B696="",ISNUMBER(B697)),CHOOSE(MONTH(B697),"GENNAIO","FEBBRAIO","MARZO","APRILE","MAGGIO","GIUGNO","LUGLIO","AGOSTO","SETTEMBRE","OTTOBRE","NOVEMBRE","DICEMBRE")&amp;" "&amp;YEAR(B697),"")</f>
        <v/>
      </c>
      <c r="B696" s="11"/>
      <c r="C696" s="12"/>
      <c r="D696" s="12" t="str">
        <f>IF(C696="","",C696-IF(C695&lt;&gt;"",C695,IF(C694&lt;&gt;"",C694,IF(C693&lt;&gt;"",C693,0))))</f>
        <v/>
      </c>
      <c r="E696" s="12"/>
      <c r="F696" s="12"/>
      <c r="G696" s="9" t="str">
        <f>IF(AND(E696="",F696=""),"",IF(OR(E696&gt;1,F696&gt;1),(F696-E696)/100,F696-E696))</f>
        <v/>
      </c>
      <c r="H696" s="12" t="str">
        <f>IF(G696="","",64*G696)</f>
        <v/>
      </c>
      <c r="I696" s="13"/>
      <c r="J696" s="13" t="str">
        <f>IFERROR(IF(OR(D696="",D696=0),"",I696/D696*100),"")</f>
        <v/>
      </c>
      <c r="K696" s="14"/>
      <c r="L696" s="13" t="str">
        <f>IF(I696="","",I696*K696)</f>
        <v/>
      </c>
      <c r="M696" s="13" t="str">
        <f>IF(B696="","",IFERROR(SUMPRODUCT(ISNUMBER(B$3:B696)*(MONTH(IF(ISNUMBER(B$3:B696),B$3:B696,1))=MONTH(B696))*(YEAR(IF(ISNUMBER(B$3:B696),B$3:B696,1))=YEAR(B696))*IF(ISNUMBER(L$3:L696),L$3:L696,0)),""))</f>
        <v/>
      </c>
      <c r="N696" s="6"/>
      <c r="O696" s="7" t="str">
        <f>IF(AND(B696="",ISNUMBER(B697)),CHOOSE(MONTH(B697),"GENNAIO","FEBBRAIO","MARZO","APRILE","MAGGIO","GIUGNO","LUGLIO","AGOSTO","SETTEMBRE","OTTOBRE","NOVEMBRE","DICEMBRE")&amp;" "&amp;YEAR(B697),"")</f>
        <v/>
      </c>
      <c r="P696" s="12" t="str">
        <f>IF(K696=0.2,"CASA","")</f>
        <v/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" customHeight="1" x14ac:dyDescent="0.2">
      <c r="A697" s="5" t="str">
        <f>IF(AND(B697="",ISNUMBER(B698)),CHOOSE(MONTH(B698),"GENNAIO","FEBBRAIO","MARZO","APRILE","MAGGIO","GIUGNO","LUGLIO","AGOSTO","SETTEMBRE","OTTOBRE","NOVEMBRE","DICEMBRE")&amp;" "&amp;YEAR(B698),"")</f>
        <v/>
      </c>
      <c r="B697" s="11"/>
      <c r="C697" s="12"/>
      <c r="D697" s="12" t="str">
        <f>IF(C697="","",C697-IF(C696&lt;&gt;"",C696,IF(C695&lt;&gt;"",C695,IF(C694&lt;&gt;"",C694,0))))</f>
        <v/>
      </c>
      <c r="E697" s="12"/>
      <c r="F697" s="12"/>
      <c r="G697" s="9" t="str">
        <f>IF(AND(E697="",F697=""),"",IF(OR(E697&gt;1,F697&gt;1),(F697-E697)/100,F697-E697))</f>
        <v/>
      </c>
      <c r="H697" s="12" t="str">
        <f>IF(G697="","",64*G697)</f>
        <v/>
      </c>
      <c r="I697" s="13"/>
      <c r="J697" s="13" t="str">
        <f>IFERROR(IF(OR(D697="",D697=0),"",I697/D697*100),"")</f>
        <v/>
      </c>
      <c r="K697" s="14"/>
      <c r="L697" s="13" t="str">
        <f>IF(I697="","",I697*K697)</f>
        <v/>
      </c>
      <c r="M697" s="13" t="str">
        <f>IF(B697="","",IFERROR(SUMPRODUCT(ISNUMBER(B$3:B697)*(MONTH(IF(ISNUMBER(B$3:B697),B$3:B697,1))=MONTH(B697))*(YEAR(IF(ISNUMBER(B$3:B697),B$3:B697,1))=YEAR(B697))*IF(ISNUMBER(L$3:L697),L$3:L697,0)),""))</f>
        <v/>
      </c>
      <c r="N697" s="6"/>
      <c r="O697" s="7" t="str">
        <f>IF(AND(B697="",ISNUMBER(B698)),CHOOSE(MONTH(B698),"GENNAIO","FEBBRAIO","MARZO","APRILE","MAGGIO","GIUGNO","LUGLIO","AGOSTO","SETTEMBRE","OTTOBRE","NOVEMBRE","DICEMBRE")&amp;" "&amp;YEAR(B698),"")</f>
        <v/>
      </c>
      <c r="P697" s="12" t="str">
        <f>IF(K697=0.2,"CASA","")</f>
        <v/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" customHeight="1" x14ac:dyDescent="0.2">
      <c r="A698" s="5" t="str">
        <f>IF(AND(B698="",ISNUMBER(B699)),CHOOSE(MONTH(B699),"GENNAIO","FEBBRAIO","MARZO","APRILE","MAGGIO","GIUGNO","LUGLIO","AGOSTO","SETTEMBRE","OTTOBRE","NOVEMBRE","DICEMBRE")&amp;" "&amp;YEAR(B699),"")</f>
        <v/>
      </c>
      <c r="B698" s="11"/>
      <c r="C698" s="12"/>
      <c r="D698" s="12" t="str">
        <f>IF(C698="","",C698-IF(C697&lt;&gt;"",C697,IF(C696&lt;&gt;"",C696,IF(C695&lt;&gt;"",C695,0))))</f>
        <v/>
      </c>
      <c r="E698" s="12"/>
      <c r="F698" s="12"/>
      <c r="G698" s="9" t="str">
        <f>IF(AND(E698="",F698=""),"",IF(OR(E698&gt;1,F698&gt;1),(F698-E698)/100,F698-E698))</f>
        <v/>
      </c>
      <c r="H698" s="12" t="str">
        <f>IF(G698="","",64*G698)</f>
        <v/>
      </c>
      <c r="I698" s="13"/>
      <c r="J698" s="13" t="str">
        <f>IFERROR(IF(OR(D698="",D698=0),"",I698/D698*100),"")</f>
        <v/>
      </c>
      <c r="K698" s="14"/>
      <c r="L698" s="13" t="str">
        <f>IF(I698="","",I698*K698)</f>
        <v/>
      </c>
      <c r="M698" s="13" t="str">
        <f>IF(B698="","",IFERROR(SUMPRODUCT(ISNUMBER(B$3:B698)*(MONTH(IF(ISNUMBER(B$3:B698),B$3:B698,1))=MONTH(B698))*(YEAR(IF(ISNUMBER(B$3:B698),B$3:B698,1))=YEAR(B698))*IF(ISNUMBER(L$3:L698),L$3:L698,0)),""))</f>
        <v/>
      </c>
      <c r="N698" s="6"/>
      <c r="O698" s="7" t="str">
        <f>IF(AND(B698="",ISNUMBER(B699)),CHOOSE(MONTH(B699),"GENNAIO","FEBBRAIO","MARZO","APRILE","MAGGIO","GIUGNO","LUGLIO","AGOSTO","SETTEMBRE","OTTOBRE","NOVEMBRE","DICEMBRE")&amp;" "&amp;YEAR(B699),"")</f>
        <v/>
      </c>
      <c r="P698" s="12" t="str">
        <f>IF(K698=0.2,"CASA","")</f>
        <v/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" customHeight="1" x14ac:dyDescent="0.2">
      <c r="A699" s="5" t="str">
        <f>IF(AND(B699="",ISNUMBER(B700)),CHOOSE(MONTH(B700),"GENNAIO","FEBBRAIO","MARZO","APRILE","MAGGIO","GIUGNO","LUGLIO","AGOSTO","SETTEMBRE","OTTOBRE","NOVEMBRE","DICEMBRE")&amp;" "&amp;YEAR(B700),"")</f>
        <v/>
      </c>
      <c r="B699" s="11"/>
      <c r="C699" s="12"/>
      <c r="D699" s="12" t="str">
        <f>IF(C699="","",C699-IF(C698&lt;&gt;"",C698,IF(C697&lt;&gt;"",C697,IF(C696&lt;&gt;"",C696,0))))</f>
        <v/>
      </c>
      <c r="E699" s="12"/>
      <c r="F699" s="12"/>
      <c r="G699" s="9" t="str">
        <f>IF(AND(E699="",F699=""),"",IF(OR(E699&gt;1,F699&gt;1),(F699-E699)/100,F699-E699))</f>
        <v/>
      </c>
      <c r="H699" s="12" t="str">
        <f>IF(G699="","",64*G699)</f>
        <v/>
      </c>
      <c r="I699" s="13"/>
      <c r="J699" s="13" t="str">
        <f>IFERROR(IF(OR(D699="",D699=0),"",I699/D699*100),"")</f>
        <v/>
      </c>
      <c r="K699" s="14"/>
      <c r="L699" s="13" t="str">
        <f>IF(I699="","",I699*K699)</f>
        <v/>
      </c>
      <c r="M699" s="13" t="str">
        <f>IF(B699="","",IFERROR(SUMPRODUCT(ISNUMBER(B$3:B699)*(MONTH(IF(ISNUMBER(B$3:B699),B$3:B699,1))=MONTH(B699))*(YEAR(IF(ISNUMBER(B$3:B699),B$3:B699,1))=YEAR(B699))*IF(ISNUMBER(L$3:L699),L$3:L699,0)),""))</f>
        <v/>
      </c>
      <c r="N699" s="6"/>
      <c r="O699" s="7" t="str">
        <f>IF(AND(B699="",ISNUMBER(B700)),CHOOSE(MONTH(B700),"GENNAIO","FEBBRAIO","MARZO","APRILE","MAGGIO","GIUGNO","LUGLIO","AGOSTO","SETTEMBRE","OTTOBRE","NOVEMBRE","DICEMBRE")&amp;" "&amp;YEAR(B700),"")</f>
        <v/>
      </c>
      <c r="P699" s="12" t="str">
        <f>IF(K699=0.2,"CASA","")</f>
        <v/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" customHeight="1" x14ac:dyDescent="0.2">
      <c r="A700" s="5" t="str">
        <f>IF(AND(B700="",ISNUMBER(B701)),CHOOSE(MONTH(B701),"GENNAIO","FEBBRAIO","MARZO","APRILE","MAGGIO","GIUGNO","LUGLIO","AGOSTO","SETTEMBRE","OTTOBRE","NOVEMBRE","DICEMBRE")&amp;" "&amp;YEAR(B701),"")</f>
        <v/>
      </c>
      <c r="B700" s="11"/>
      <c r="C700" s="12"/>
      <c r="D700" s="12" t="str">
        <f>IF(C700="","",C700-IF(C699&lt;&gt;"",C699,IF(C698&lt;&gt;"",C698,IF(C697&lt;&gt;"",C697,0))))</f>
        <v/>
      </c>
      <c r="E700" s="12"/>
      <c r="F700" s="12"/>
      <c r="G700" s="9" t="str">
        <f>IF(AND(E700="",F700=""),"",IF(OR(E700&gt;1,F700&gt;1),(F700-E700)/100,F700-E700))</f>
        <v/>
      </c>
      <c r="H700" s="12" t="str">
        <f>IF(G700="","",64*G700)</f>
        <v/>
      </c>
      <c r="I700" s="13"/>
      <c r="J700" s="13" t="str">
        <f>IFERROR(IF(OR(D700="",D700=0),"",I700/D700*100),"")</f>
        <v/>
      </c>
      <c r="K700" s="14"/>
      <c r="L700" s="13" t="str">
        <f>IF(I700="","",I700*K700)</f>
        <v/>
      </c>
      <c r="M700" s="13" t="str">
        <f>IF(B700="","",IFERROR(SUMPRODUCT(ISNUMBER(B$3:B700)*(MONTH(IF(ISNUMBER(B$3:B700),B$3:B700,1))=MONTH(B700))*(YEAR(IF(ISNUMBER(B$3:B700),B$3:B700,1))=YEAR(B700))*IF(ISNUMBER(L$3:L700),L$3:L700,0)),""))</f>
        <v/>
      </c>
      <c r="N700" s="6"/>
      <c r="O700" s="7" t="str">
        <f>IF(AND(B700="",ISNUMBER(B701)),CHOOSE(MONTH(B701),"GENNAIO","FEBBRAIO","MARZO","APRILE","MAGGIO","GIUGNO","LUGLIO","AGOSTO","SETTEMBRE","OTTOBRE","NOVEMBRE","DICEMBRE")&amp;" "&amp;YEAR(B701),"")</f>
        <v/>
      </c>
      <c r="P700" s="12" t="str">
        <f>IF(K700=0.2,"CASA","")</f>
        <v/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" customHeight="1" x14ac:dyDescent="0.2">
      <c r="A701" s="5" t="str">
        <f>IF(AND(B701="",ISNUMBER(B702)),CHOOSE(MONTH(B702),"GENNAIO","FEBBRAIO","MARZO","APRILE","MAGGIO","GIUGNO","LUGLIO","AGOSTO","SETTEMBRE","OTTOBRE","NOVEMBRE","DICEMBRE")&amp;" "&amp;YEAR(B702),"")</f>
        <v/>
      </c>
      <c r="B701" s="11"/>
      <c r="C701" s="12"/>
      <c r="D701" s="12" t="str">
        <f>IF(C701="","",C701-IF(C700&lt;&gt;"",C700,IF(C699&lt;&gt;"",C699,IF(C698&lt;&gt;"",C698,0))))</f>
        <v/>
      </c>
      <c r="E701" s="12"/>
      <c r="F701" s="12"/>
      <c r="G701" s="9" t="str">
        <f>IF(AND(E701="",F701=""),"",IF(OR(E701&gt;1,F701&gt;1),(F701-E701)/100,F701-E701))</f>
        <v/>
      </c>
      <c r="H701" s="12" t="str">
        <f>IF(G701="","",64*G701)</f>
        <v/>
      </c>
      <c r="I701" s="13"/>
      <c r="J701" s="13" t="str">
        <f>IFERROR(IF(OR(D701="",D701=0),"",I701/D701*100),"")</f>
        <v/>
      </c>
      <c r="K701" s="14"/>
      <c r="L701" s="13" t="str">
        <f>IF(I701="","",I701*K701)</f>
        <v/>
      </c>
      <c r="M701" s="13" t="str">
        <f>IF(B701="","",IFERROR(SUMPRODUCT(ISNUMBER(B$3:B701)*(MONTH(IF(ISNUMBER(B$3:B701),B$3:B701,1))=MONTH(B701))*(YEAR(IF(ISNUMBER(B$3:B701),B$3:B701,1))=YEAR(B701))*IF(ISNUMBER(L$3:L701),L$3:L701,0)),""))</f>
        <v/>
      </c>
      <c r="N701" s="6"/>
      <c r="O701" s="7" t="str">
        <f>IF(AND(B701="",ISNUMBER(B702)),CHOOSE(MONTH(B702),"GENNAIO","FEBBRAIO","MARZO","APRILE","MAGGIO","GIUGNO","LUGLIO","AGOSTO","SETTEMBRE","OTTOBRE","NOVEMBRE","DICEMBRE")&amp;" "&amp;YEAR(B702),"")</f>
        <v/>
      </c>
      <c r="P701" s="12" t="str">
        <f>IF(K701=0.2,"CASA","")</f>
        <v/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" customHeight="1" x14ac:dyDescent="0.2">
      <c r="A702" s="5" t="str">
        <f>IF(AND(B702="",ISNUMBER(B703)),CHOOSE(MONTH(B703),"GENNAIO","FEBBRAIO","MARZO","APRILE","MAGGIO","GIUGNO","LUGLIO","AGOSTO","SETTEMBRE","OTTOBRE","NOVEMBRE","DICEMBRE")&amp;" "&amp;YEAR(B703),"")</f>
        <v/>
      </c>
      <c r="B702" s="11"/>
      <c r="C702" s="12"/>
      <c r="D702" s="12" t="str">
        <f>IF(C702="","",C702-IF(C701&lt;&gt;"",C701,IF(C700&lt;&gt;"",C700,IF(C699&lt;&gt;"",C699,0))))</f>
        <v/>
      </c>
      <c r="E702" s="12"/>
      <c r="F702" s="12"/>
      <c r="G702" s="9" t="str">
        <f>IF(AND(E702="",F702=""),"",IF(OR(E702&gt;1,F702&gt;1),(F702-E702)/100,F702-E702))</f>
        <v/>
      </c>
      <c r="H702" s="12" t="str">
        <f>IF(G702="","",64*G702)</f>
        <v/>
      </c>
      <c r="I702" s="13"/>
      <c r="J702" s="13" t="str">
        <f>IFERROR(IF(OR(D702="",D702=0),"",I702/D702*100),"")</f>
        <v/>
      </c>
      <c r="K702" s="14"/>
      <c r="L702" s="13" t="str">
        <f>IF(I702="","",I702*K702)</f>
        <v/>
      </c>
      <c r="M702" s="13" t="str">
        <f>IF(B702="","",IFERROR(SUMPRODUCT(ISNUMBER(B$3:B702)*(MONTH(IF(ISNUMBER(B$3:B702),B$3:B702,1))=MONTH(B702))*(YEAR(IF(ISNUMBER(B$3:B702),B$3:B702,1))=YEAR(B702))*IF(ISNUMBER(L$3:L702),L$3:L702,0)),""))</f>
        <v/>
      </c>
      <c r="N702" s="6"/>
      <c r="O702" s="7" t="str">
        <f>IF(AND(B702="",ISNUMBER(B703)),CHOOSE(MONTH(B703),"GENNAIO","FEBBRAIO","MARZO","APRILE","MAGGIO","GIUGNO","LUGLIO","AGOSTO","SETTEMBRE","OTTOBRE","NOVEMBRE","DICEMBRE")&amp;" "&amp;YEAR(B703),"")</f>
        <v/>
      </c>
      <c r="P702" s="12" t="str">
        <f>IF(K702=0.2,"CASA","")</f>
        <v/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" customHeight="1" x14ac:dyDescent="0.2">
      <c r="A703" s="5" t="str">
        <f>IF(AND(B703="",ISNUMBER(B704)),CHOOSE(MONTH(B704),"GENNAIO","FEBBRAIO","MARZO","APRILE","MAGGIO","GIUGNO","LUGLIO","AGOSTO","SETTEMBRE","OTTOBRE","NOVEMBRE","DICEMBRE")&amp;" "&amp;YEAR(B704),"")</f>
        <v/>
      </c>
      <c r="B703" s="11"/>
      <c r="C703" s="12"/>
      <c r="D703" s="12" t="str">
        <f>IF(C703="","",C703-IF(C702&lt;&gt;"",C702,IF(C701&lt;&gt;"",C701,IF(C700&lt;&gt;"",C700,0))))</f>
        <v/>
      </c>
      <c r="E703" s="12"/>
      <c r="F703" s="12"/>
      <c r="G703" s="9" t="str">
        <f>IF(AND(E703="",F703=""),"",IF(OR(E703&gt;1,F703&gt;1),(F703-E703)/100,F703-E703))</f>
        <v/>
      </c>
      <c r="H703" s="12" t="str">
        <f>IF(G703="","",64*G703)</f>
        <v/>
      </c>
      <c r="I703" s="13"/>
      <c r="J703" s="13" t="str">
        <f>IFERROR(IF(OR(D703="",D703=0),"",I703/D703*100),"")</f>
        <v/>
      </c>
      <c r="K703" s="14"/>
      <c r="L703" s="13" t="str">
        <f>IF(I703="","",I703*K703)</f>
        <v/>
      </c>
      <c r="M703" s="13" t="str">
        <f>IF(B703="","",IFERROR(SUMPRODUCT(ISNUMBER(B$3:B703)*(MONTH(IF(ISNUMBER(B$3:B703),B$3:B703,1))=MONTH(B703))*(YEAR(IF(ISNUMBER(B$3:B703),B$3:B703,1))=YEAR(B703))*IF(ISNUMBER(L$3:L703),L$3:L703,0)),""))</f>
        <v/>
      </c>
      <c r="N703" s="6"/>
      <c r="O703" s="7" t="str">
        <f>IF(AND(B703="",ISNUMBER(B704)),CHOOSE(MONTH(B704),"GENNAIO","FEBBRAIO","MARZO","APRILE","MAGGIO","GIUGNO","LUGLIO","AGOSTO","SETTEMBRE","OTTOBRE","NOVEMBRE","DICEMBRE")&amp;" "&amp;YEAR(B704),"")</f>
        <v/>
      </c>
      <c r="P703" s="12" t="str">
        <f>IF(K703=0.2,"CASA","")</f>
        <v/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" customHeight="1" x14ac:dyDescent="0.2">
      <c r="A704" s="5" t="str">
        <f>IF(AND(B704="",ISNUMBER(B705)),CHOOSE(MONTH(B705),"GENNAIO","FEBBRAIO","MARZO","APRILE","MAGGIO","GIUGNO","LUGLIO","AGOSTO","SETTEMBRE","OTTOBRE","NOVEMBRE","DICEMBRE")&amp;" "&amp;YEAR(B705),"")</f>
        <v/>
      </c>
      <c r="B704" s="11"/>
      <c r="C704" s="12"/>
      <c r="D704" s="12" t="str">
        <f>IF(C704="","",C704-IF(C703&lt;&gt;"",C703,IF(C702&lt;&gt;"",C702,IF(C701&lt;&gt;"",C701,0))))</f>
        <v/>
      </c>
      <c r="E704" s="12"/>
      <c r="F704" s="12"/>
      <c r="G704" s="9" t="str">
        <f>IF(AND(E704="",F704=""),"",IF(OR(E704&gt;1,F704&gt;1),(F704-E704)/100,F704-E704))</f>
        <v/>
      </c>
      <c r="H704" s="12" t="str">
        <f>IF(G704="","",64*G704)</f>
        <v/>
      </c>
      <c r="I704" s="13"/>
      <c r="J704" s="13" t="str">
        <f>IFERROR(IF(OR(D704="",D704=0),"",I704/D704*100),"")</f>
        <v/>
      </c>
      <c r="K704" s="14"/>
      <c r="L704" s="13" t="str">
        <f>IF(I704="","",I704*K704)</f>
        <v/>
      </c>
      <c r="M704" s="13" t="str">
        <f>IF(B704="","",IFERROR(SUMPRODUCT(ISNUMBER(B$3:B704)*(MONTH(IF(ISNUMBER(B$3:B704),B$3:B704,1))=MONTH(B704))*(YEAR(IF(ISNUMBER(B$3:B704),B$3:B704,1))=YEAR(B704))*IF(ISNUMBER(L$3:L704),L$3:L704,0)),""))</f>
        <v/>
      </c>
      <c r="N704" s="6"/>
      <c r="O704" s="7" t="str">
        <f>IF(AND(B704="",ISNUMBER(B705)),CHOOSE(MONTH(B705),"GENNAIO","FEBBRAIO","MARZO","APRILE","MAGGIO","GIUGNO","LUGLIO","AGOSTO","SETTEMBRE","OTTOBRE","NOVEMBRE","DICEMBRE")&amp;" "&amp;YEAR(B705),"")</f>
        <v/>
      </c>
      <c r="P704" s="12" t="str">
        <f>IF(K704=0.2,"CASA","")</f>
        <v/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" customHeight="1" x14ac:dyDescent="0.2">
      <c r="A705" s="5" t="str">
        <f>IF(AND(B705="",ISNUMBER(B706)),CHOOSE(MONTH(B706),"GENNAIO","FEBBRAIO","MARZO","APRILE","MAGGIO","GIUGNO","LUGLIO","AGOSTO","SETTEMBRE","OTTOBRE","NOVEMBRE","DICEMBRE")&amp;" "&amp;YEAR(B706),"")</f>
        <v/>
      </c>
      <c r="B705" s="11"/>
      <c r="C705" s="12"/>
      <c r="D705" s="12" t="str">
        <f>IF(C705="","",C705-IF(C704&lt;&gt;"",C704,IF(C703&lt;&gt;"",C703,IF(C702&lt;&gt;"",C702,0))))</f>
        <v/>
      </c>
      <c r="E705" s="12"/>
      <c r="F705" s="12"/>
      <c r="G705" s="9" t="str">
        <f>IF(AND(E705="",F705=""),"",IF(OR(E705&gt;1,F705&gt;1),(F705-E705)/100,F705-E705))</f>
        <v/>
      </c>
      <c r="H705" s="12" t="str">
        <f>IF(G705="","",64*G705)</f>
        <v/>
      </c>
      <c r="I705" s="13"/>
      <c r="J705" s="13" t="str">
        <f>IFERROR(IF(OR(D705="",D705=0),"",I705/D705*100),"")</f>
        <v/>
      </c>
      <c r="K705" s="14"/>
      <c r="L705" s="13" t="str">
        <f>IF(I705="","",I705*K705)</f>
        <v/>
      </c>
      <c r="M705" s="13" t="str">
        <f>IF(B705="","",IFERROR(SUMPRODUCT(ISNUMBER(B$3:B705)*(MONTH(IF(ISNUMBER(B$3:B705),B$3:B705,1))=MONTH(B705))*(YEAR(IF(ISNUMBER(B$3:B705),B$3:B705,1))=YEAR(B705))*IF(ISNUMBER(L$3:L705),L$3:L705,0)),""))</f>
        <v/>
      </c>
      <c r="N705" s="6"/>
      <c r="O705" s="7" t="str">
        <f>IF(AND(B705="",ISNUMBER(B706)),CHOOSE(MONTH(B706),"GENNAIO","FEBBRAIO","MARZO","APRILE","MAGGIO","GIUGNO","LUGLIO","AGOSTO","SETTEMBRE","OTTOBRE","NOVEMBRE","DICEMBRE")&amp;" "&amp;YEAR(B706),"")</f>
        <v/>
      </c>
      <c r="P705" s="12" t="str">
        <f>IF(K705=0.2,"CASA","")</f>
        <v/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" customHeight="1" x14ac:dyDescent="0.2">
      <c r="A706" s="5" t="str">
        <f>IF(AND(B706="",ISNUMBER(B707)),CHOOSE(MONTH(B707),"GENNAIO","FEBBRAIO","MARZO","APRILE","MAGGIO","GIUGNO","LUGLIO","AGOSTO","SETTEMBRE","OTTOBRE","NOVEMBRE","DICEMBRE")&amp;" "&amp;YEAR(B707),"")</f>
        <v/>
      </c>
      <c r="B706" s="11"/>
      <c r="C706" s="12"/>
      <c r="D706" s="12" t="str">
        <f>IF(C706="","",C706-IF(C705&lt;&gt;"",C705,IF(C704&lt;&gt;"",C704,IF(C703&lt;&gt;"",C703,0))))</f>
        <v/>
      </c>
      <c r="E706" s="12"/>
      <c r="F706" s="12"/>
      <c r="G706" s="9" t="str">
        <f>IF(AND(E706="",F706=""),"",IF(OR(E706&gt;1,F706&gt;1),(F706-E706)/100,F706-E706))</f>
        <v/>
      </c>
      <c r="H706" s="12" t="str">
        <f>IF(G706="","",64*G706)</f>
        <v/>
      </c>
      <c r="I706" s="13"/>
      <c r="J706" s="13" t="str">
        <f>IFERROR(IF(OR(D706="",D706=0),"",I706/D706*100),"")</f>
        <v/>
      </c>
      <c r="K706" s="14"/>
      <c r="L706" s="13" t="str">
        <f>IF(I706="","",I706*K706)</f>
        <v/>
      </c>
      <c r="M706" s="13" t="str">
        <f>IF(B706="","",IFERROR(SUMPRODUCT(ISNUMBER(B$3:B706)*(MONTH(IF(ISNUMBER(B$3:B706),B$3:B706,1))=MONTH(B706))*(YEAR(IF(ISNUMBER(B$3:B706),B$3:B706,1))=YEAR(B706))*IF(ISNUMBER(L$3:L706),L$3:L706,0)),""))</f>
        <v/>
      </c>
      <c r="N706" s="6"/>
      <c r="O706" s="7" t="str">
        <f>IF(AND(B706="",ISNUMBER(B707)),CHOOSE(MONTH(B707),"GENNAIO","FEBBRAIO","MARZO","APRILE","MAGGIO","GIUGNO","LUGLIO","AGOSTO","SETTEMBRE","OTTOBRE","NOVEMBRE","DICEMBRE")&amp;" "&amp;YEAR(B707),"")</f>
        <v/>
      </c>
      <c r="P706" s="12" t="str">
        <f>IF(K706=0.2,"CASA","")</f>
        <v/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" customHeight="1" x14ac:dyDescent="0.2">
      <c r="A707" s="5" t="str">
        <f>IF(AND(B707="",ISNUMBER(B708)),CHOOSE(MONTH(B708),"GENNAIO","FEBBRAIO","MARZO","APRILE","MAGGIO","GIUGNO","LUGLIO","AGOSTO","SETTEMBRE","OTTOBRE","NOVEMBRE","DICEMBRE")&amp;" "&amp;YEAR(B708),"")</f>
        <v/>
      </c>
      <c r="B707" s="11"/>
      <c r="C707" s="12"/>
      <c r="D707" s="12" t="str">
        <f>IF(C707="","",C707-IF(C706&lt;&gt;"",C706,IF(C705&lt;&gt;"",C705,IF(C704&lt;&gt;"",C704,0))))</f>
        <v/>
      </c>
      <c r="E707" s="12"/>
      <c r="F707" s="12"/>
      <c r="G707" s="9" t="str">
        <f>IF(AND(E707="",F707=""),"",IF(OR(E707&gt;1,F707&gt;1),(F707-E707)/100,F707-E707))</f>
        <v/>
      </c>
      <c r="H707" s="12" t="str">
        <f>IF(G707="","",64*G707)</f>
        <v/>
      </c>
      <c r="I707" s="13"/>
      <c r="J707" s="13" t="str">
        <f>IFERROR(IF(OR(D707="",D707=0),"",I707/D707*100),"")</f>
        <v/>
      </c>
      <c r="K707" s="14"/>
      <c r="L707" s="13" t="str">
        <f>IF(I707="","",I707*K707)</f>
        <v/>
      </c>
      <c r="M707" s="13" t="str">
        <f>IF(B707="","",IFERROR(SUMPRODUCT(ISNUMBER(B$3:B707)*(MONTH(IF(ISNUMBER(B$3:B707),B$3:B707,1))=MONTH(B707))*(YEAR(IF(ISNUMBER(B$3:B707),B$3:B707,1))=YEAR(B707))*IF(ISNUMBER(L$3:L707),L$3:L707,0)),""))</f>
        <v/>
      </c>
      <c r="N707" s="6"/>
      <c r="O707" s="7" t="str">
        <f>IF(AND(B707="",ISNUMBER(B708)),CHOOSE(MONTH(B708),"GENNAIO","FEBBRAIO","MARZO","APRILE","MAGGIO","GIUGNO","LUGLIO","AGOSTO","SETTEMBRE","OTTOBRE","NOVEMBRE","DICEMBRE")&amp;" "&amp;YEAR(B708),"")</f>
        <v/>
      </c>
      <c r="P707" s="12" t="str">
        <f>IF(K707=0.2,"CASA","")</f>
        <v/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" customHeight="1" x14ac:dyDescent="0.2">
      <c r="A708" s="5" t="str">
        <f>IF(AND(B708="",ISNUMBER(B709)),CHOOSE(MONTH(B709),"GENNAIO","FEBBRAIO","MARZO","APRILE","MAGGIO","GIUGNO","LUGLIO","AGOSTO","SETTEMBRE","OTTOBRE","NOVEMBRE","DICEMBRE")&amp;" "&amp;YEAR(B709),"")</f>
        <v/>
      </c>
      <c r="B708" s="11"/>
      <c r="C708" s="12"/>
      <c r="D708" s="12" t="str">
        <f>IF(C708="","",C708-IF(C707&lt;&gt;"",C707,IF(C706&lt;&gt;"",C706,IF(C705&lt;&gt;"",C705,0))))</f>
        <v/>
      </c>
      <c r="E708" s="12"/>
      <c r="F708" s="12"/>
      <c r="G708" s="9" t="str">
        <f>IF(AND(E708="",F708=""),"",IF(OR(E708&gt;1,F708&gt;1),(F708-E708)/100,F708-E708))</f>
        <v/>
      </c>
      <c r="H708" s="12" t="str">
        <f>IF(G708="","",64*G708)</f>
        <v/>
      </c>
      <c r="I708" s="13"/>
      <c r="J708" s="13" t="str">
        <f>IFERROR(IF(OR(D708="",D708=0),"",I708/D708*100),"")</f>
        <v/>
      </c>
      <c r="K708" s="14"/>
      <c r="L708" s="13" t="str">
        <f>IF(I708="","",I708*K708)</f>
        <v/>
      </c>
      <c r="M708" s="13" t="str">
        <f>IF(B708="","",IFERROR(SUMPRODUCT(ISNUMBER(B$3:B708)*(MONTH(IF(ISNUMBER(B$3:B708),B$3:B708,1))=MONTH(B708))*(YEAR(IF(ISNUMBER(B$3:B708),B$3:B708,1))=YEAR(B708))*IF(ISNUMBER(L$3:L708),L$3:L708,0)),""))</f>
        <v/>
      </c>
      <c r="N708" s="6"/>
      <c r="O708" s="7" t="str">
        <f>IF(AND(B708="",ISNUMBER(B709)),CHOOSE(MONTH(B709),"GENNAIO","FEBBRAIO","MARZO","APRILE","MAGGIO","GIUGNO","LUGLIO","AGOSTO","SETTEMBRE","OTTOBRE","NOVEMBRE","DICEMBRE")&amp;" "&amp;YEAR(B709),"")</f>
        <v/>
      </c>
      <c r="P708" s="12" t="str">
        <f>IF(K708=0.2,"CASA","")</f>
        <v/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" customHeight="1" x14ac:dyDescent="0.2">
      <c r="A709" s="5" t="str">
        <f>IF(AND(B709="",ISNUMBER(B710)),CHOOSE(MONTH(B710),"GENNAIO","FEBBRAIO","MARZO","APRILE","MAGGIO","GIUGNO","LUGLIO","AGOSTO","SETTEMBRE","OTTOBRE","NOVEMBRE","DICEMBRE")&amp;" "&amp;YEAR(B710),"")</f>
        <v/>
      </c>
      <c r="B709" s="11"/>
      <c r="C709" s="12"/>
      <c r="D709" s="12" t="str">
        <f>IF(C709="","",C709-IF(C708&lt;&gt;"",C708,IF(C707&lt;&gt;"",C707,IF(C706&lt;&gt;"",C706,0))))</f>
        <v/>
      </c>
      <c r="E709" s="12"/>
      <c r="F709" s="12"/>
      <c r="G709" s="9" t="str">
        <f>IF(AND(E709="",F709=""),"",IF(OR(E709&gt;1,F709&gt;1),(F709-E709)/100,F709-E709))</f>
        <v/>
      </c>
      <c r="H709" s="12" t="str">
        <f>IF(G709="","",64*G709)</f>
        <v/>
      </c>
      <c r="I709" s="13"/>
      <c r="J709" s="13" t="str">
        <f>IFERROR(IF(OR(D709="",D709=0),"",I709/D709*100),"")</f>
        <v/>
      </c>
      <c r="K709" s="14"/>
      <c r="L709" s="13" t="str">
        <f>IF(I709="","",I709*K709)</f>
        <v/>
      </c>
      <c r="M709" s="13" t="str">
        <f>IF(B709="","",IFERROR(SUMPRODUCT(ISNUMBER(B$3:B709)*(MONTH(IF(ISNUMBER(B$3:B709),B$3:B709,1))=MONTH(B709))*(YEAR(IF(ISNUMBER(B$3:B709),B$3:B709,1))=YEAR(B709))*IF(ISNUMBER(L$3:L709),L$3:L709,0)),""))</f>
        <v/>
      </c>
      <c r="N709" s="6"/>
      <c r="O709" s="7" t="str">
        <f>IF(AND(B709="",ISNUMBER(B710)),CHOOSE(MONTH(B710),"GENNAIO","FEBBRAIO","MARZO","APRILE","MAGGIO","GIUGNO","LUGLIO","AGOSTO","SETTEMBRE","OTTOBRE","NOVEMBRE","DICEMBRE")&amp;" "&amp;YEAR(B710),"")</f>
        <v/>
      </c>
      <c r="P709" s="12" t="str">
        <f>IF(K709=0.2,"CASA","")</f>
        <v/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" customHeight="1" x14ac:dyDescent="0.2">
      <c r="A710" s="5" t="str">
        <f>IF(AND(B710="",ISNUMBER(B711)),CHOOSE(MONTH(B711),"GENNAIO","FEBBRAIO","MARZO","APRILE","MAGGIO","GIUGNO","LUGLIO","AGOSTO","SETTEMBRE","OTTOBRE","NOVEMBRE","DICEMBRE")&amp;" "&amp;YEAR(B711),"")</f>
        <v/>
      </c>
      <c r="B710" s="11"/>
      <c r="C710" s="12"/>
      <c r="D710" s="12" t="str">
        <f>IF(C710="","",C710-IF(C709&lt;&gt;"",C709,IF(C708&lt;&gt;"",C708,IF(C707&lt;&gt;"",C707,0))))</f>
        <v/>
      </c>
      <c r="E710" s="12"/>
      <c r="F710" s="12"/>
      <c r="G710" s="9" t="str">
        <f>IF(AND(E710="",F710=""),"",IF(OR(E710&gt;1,F710&gt;1),(F710-E710)/100,F710-E710))</f>
        <v/>
      </c>
      <c r="H710" s="12" t="str">
        <f>IF(G710="","",64*G710)</f>
        <v/>
      </c>
      <c r="I710" s="13"/>
      <c r="J710" s="13" t="str">
        <f>IFERROR(IF(OR(D710="",D710=0),"",I710/D710*100),"")</f>
        <v/>
      </c>
      <c r="K710" s="14"/>
      <c r="L710" s="13" t="str">
        <f>IF(I710="","",I710*K710)</f>
        <v/>
      </c>
      <c r="M710" s="13" t="str">
        <f>IF(B710="","",IFERROR(SUMPRODUCT(ISNUMBER(B$3:B710)*(MONTH(IF(ISNUMBER(B$3:B710),B$3:B710,1))=MONTH(B710))*(YEAR(IF(ISNUMBER(B$3:B710),B$3:B710,1))=YEAR(B710))*IF(ISNUMBER(L$3:L710),L$3:L710,0)),""))</f>
        <v/>
      </c>
      <c r="N710" s="6"/>
      <c r="O710" s="7" t="str">
        <f>IF(AND(B710="",ISNUMBER(B711)),CHOOSE(MONTH(B711),"GENNAIO","FEBBRAIO","MARZO","APRILE","MAGGIO","GIUGNO","LUGLIO","AGOSTO","SETTEMBRE","OTTOBRE","NOVEMBRE","DICEMBRE")&amp;" "&amp;YEAR(B711),"")</f>
        <v/>
      </c>
      <c r="P710" s="12" t="str">
        <f>IF(K710=0.2,"CASA","")</f>
        <v/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" customHeight="1" x14ac:dyDescent="0.2">
      <c r="A711" s="5" t="str">
        <f>IF(AND(B711="",ISNUMBER(B712)),CHOOSE(MONTH(B712),"GENNAIO","FEBBRAIO","MARZO","APRILE","MAGGIO","GIUGNO","LUGLIO","AGOSTO","SETTEMBRE","OTTOBRE","NOVEMBRE","DICEMBRE")&amp;" "&amp;YEAR(B712),"")</f>
        <v/>
      </c>
      <c r="B711" s="11"/>
      <c r="C711" s="12"/>
      <c r="D711" s="12" t="str">
        <f>IF(C711="","",C711-IF(C710&lt;&gt;"",C710,IF(C709&lt;&gt;"",C709,IF(C708&lt;&gt;"",C708,0))))</f>
        <v/>
      </c>
      <c r="E711" s="12"/>
      <c r="F711" s="12"/>
      <c r="G711" s="9" t="str">
        <f>IF(AND(E711="",F711=""),"",IF(OR(E711&gt;1,F711&gt;1),(F711-E711)/100,F711-E711))</f>
        <v/>
      </c>
      <c r="H711" s="12" t="str">
        <f>IF(G711="","",64*G711)</f>
        <v/>
      </c>
      <c r="I711" s="13"/>
      <c r="J711" s="13" t="str">
        <f>IFERROR(IF(OR(D711="",D711=0),"",I711/D711*100),"")</f>
        <v/>
      </c>
      <c r="K711" s="14"/>
      <c r="L711" s="13" t="str">
        <f>IF(I711="","",I711*K711)</f>
        <v/>
      </c>
      <c r="M711" s="13" t="str">
        <f>IF(B711="","",IFERROR(SUMPRODUCT(ISNUMBER(B$3:B711)*(MONTH(IF(ISNUMBER(B$3:B711),B$3:B711,1))=MONTH(B711))*(YEAR(IF(ISNUMBER(B$3:B711),B$3:B711,1))=YEAR(B711))*IF(ISNUMBER(L$3:L711),L$3:L711,0)),""))</f>
        <v/>
      </c>
      <c r="N711" s="6"/>
      <c r="O711" s="7" t="str">
        <f>IF(AND(B711="",ISNUMBER(B712)),CHOOSE(MONTH(B712),"GENNAIO","FEBBRAIO","MARZO","APRILE","MAGGIO","GIUGNO","LUGLIO","AGOSTO","SETTEMBRE","OTTOBRE","NOVEMBRE","DICEMBRE")&amp;" "&amp;YEAR(B712),"")</f>
        <v/>
      </c>
      <c r="P711" s="12" t="str">
        <f>IF(K711=0.2,"CASA","")</f>
        <v/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" customHeight="1" x14ac:dyDescent="0.2">
      <c r="A712" s="5" t="str">
        <f>IF(AND(B712="",ISNUMBER(B713)),CHOOSE(MONTH(B713),"GENNAIO","FEBBRAIO","MARZO","APRILE","MAGGIO","GIUGNO","LUGLIO","AGOSTO","SETTEMBRE","OTTOBRE","NOVEMBRE","DICEMBRE")&amp;" "&amp;YEAR(B713),"")</f>
        <v/>
      </c>
      <c r="B712" s="11"/>
      <c r="C712" s="12"/>
      <c r="D712" s="12" t="str">
        <f>IF(C712="","",C712-IF(C711&lt;&gt;"",C711,IF(C710&lt;&gt;"",C710,IF(C709&lt;&gt;"",C709,0))))</f>
        <v/>
      </c>
      <c r="E712" s="12"/>
      <c r="F712" s="12"/>
      <c r="G712" s="9" t="str">
        <f>IF(AND(E712="",F712=""),"",IF(OR(E712&gt;1,F712&gt;1),(F712-E712)/100,F712-E712))</f>
        <v/>
      </c>
      <c r="H712" s="12" t="str">
        <f>IF(G712="","",64*G712)</f>
        <v/>
      </c>
      <c r="I712" s="13"/>
      <c r="J712" s="13" t="str">
        <f>IFERROR(IF(OR(D712="",D712=0),"",I712/D712*100),"")</f>
        <v/>
      </c>
      <c r="K712" s="14"/>
      <c r="L712" s="13" t="str">
        <f>IF(I712="","",I712*K712)</f>
        <v/>
      </c>
      <c r="M712" s="13" t="str">
        <f>IF(B712="","",IFERROR(SUMPRODUCT(ISNUMBER(B$3:B712)*(MONTH(IF(ISNUMBER(B$3:B712),B$3:B712,1))=MONTH(B712))*(YEAR(IF(ISNUMBER(B$3:B712),B$3:B712,1))=YEAR(B712))*IF(ISNUMBER(L$3:L712),L$3:L712,0)),""))</f>
        <v/>
      </c>
      <c r="N712" s="6"/>
      <c r="O712" s="7" t="str">
        <f>IF(AND(B712="",ISNUMBER(B713)),CHOOSE(MONTH(B713),"GENNAIO","FEBBRAIO","MARZO","APRILE","MAGGIO","GIUGNO","LUGLIO","AGOSTO","SETTEMBRE","OTTOBRE","NOVEMBRE","DICEMBRE")&amp;" "&amp;YEAR(B713),"")</f>
        <v/>
      </c>
      <c r="P712" s="12" t="str">
        <f>IF(K712=0.2,"CASA","")</f>
        <v/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" customHeight="1" x14ac:dyDescent="0.2">
      <c r="A713" s="5" t="str">
        <f>IF(AND(B713="",ISNUMBER(B714)),CHOOSE(MONTH(B714),"GENNAIO","FEBBRAIO","MARZO","APRILE","MAGGIO","GIUGNO","LUGLIO","AGOSTO","SETTEMBRE","OTTOBRE","NOVEMBRE","DICEMBRE")&amp;" "&amp;YEAR(B714),"")</f>
        <v/>
      </c>
      <c r="B713" s="11"/>
      <c r="C713" s="12"/>
      <c r="D713" s="12" t="str">
        <f>IF(C713="","",C713-IF(C712&lt;&gt;"",C712,IF(C711&lt;&gt;"",C711,IF(C710&lt;&gt;"",C710,0))))</f>
        <v/>
      </c>
      <c r="E713" s="12"/>
      <c r="F713" s="12"/>
      <c r="G713" s="9" t="str">
        <f>IF(AND(E713="",F713=""),"",IF(OR(E713&gt;1,F713&gt;1),(F713-E713)/100,F713-E713))</f>
        <v/>
      </c>
      <c r="H713" s="12" t="str">
        <f>IF(G713="","",64*G713)</f>
        <v/>
      </c>
      <c r="I713" s="13"/>
      <c r="J713" s="13" t="str">
        <f>IFERROR(IF(OR(D713="",D713=0),"",I713/D713*100),"")</f>
        <v/>
      </c>
      <c r="K713" s="14"/>
      <c r="L713" s="13" t="str">
        <f>IF(I713="","",I713*K713)</f>
        <v/>
      </c>
      <c r="M713" s="13" t="str">
        <f>IF(B713="","",IFERROR(SUMPRODUCT(ISNUMBER(B$3:B713)*(MONTH(IF(ISNUMBER(B$3:B713),B$3:B713,1))=MONTH(B713))*(YEAR(IF(ISNUMBER(B$3:B713),B$3:B713,1))=YEAR(B713))*IF(ISNUMBER(L$3:L713),L$3:L713,0)),""))</f>
        <v/>
      </c>
      <c r="N713" s="6"/>
      <c r="O713" s="7" t="str">
        <f>IF(AND(B713="",ISNUMBER(B714)),CHOOSE(MONTH(B714),"GENNAIO","FEBBRAIO","MARZO","APRILE","MAGGIO","GIUGNO","LUGLIO","AGOSTO","SETTEMBRE","OTTOBRE","NOVEMBRE","DICEMBRE")&amp;" "&amp;YEAR(B714),"")</f>
        <v/>
      </c>
      <c r="P713" s="12" t="str">
        <f>IF(K713=0.2,"CASA","")</f>
        <v/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" customHeight="1" x14ac:dyDescent="0.2">
      <c r="A714" s="5" t="str">
        <f>IF(AND(B714="",ISNUMBER(B715)),CHOOSE(MONTH(B715),"GENNAIO","FEBBRAIO","MARZO","APRILE","MAGGIO","GIUGNO","LUGLIO","AGOSTO","SETTEMBRE","OTTOBRE","NOVEMBRE","DICEMBRE")&amp;" "&amp;YEAR(B715),"")</f>
        <v/>
      </c>
      <c r="B714" s="11"/>
      <c r="C714" s="12"/>
      <c r="D714" s="12" t="str">
        <f>IF(C714="","",C714-IF(C713&lt;&gt;"",C713,IF(C712&lt;&gt;"",C712,IF(C711&lt;&gt;"",C711,0))))</f>
        <v/>
      </c>
      <c r="E714" s="12"/>
      <c r="F714" s="12"/>
      <c r="G714" s="9" t="str">
        <f>IF(AND(E714="",F714=""),"",IF(OR(E714&gt;1,F714&gt;1),(F714-E714)/100,F714-E714))</f>
        <v/>
      </c>
      <c r="H714" s="12" t="str">
        <f>IF(G714="","",64*G714)</f>
        <v/>
      </c>
      <c r="I714" s="13"/>
      <c r="J714" s="13" t="str">
        <f>IFERROR(IF(OR(D714="",D714=0),"",I714/D714*100),"")</f>
        <v/>
      </c>
      <c r="K714" s="14"/>
      <c r="L714" s="13" t="str">
        <f>IF(I714="","",I714*K714)</f>
        <v/>
      </c>
      <c r="M714" s="13" t="str">
        <f>IF(B714="","",IFERROR(SUMPRODUCT(ISNUMBER(B$3:B714)*(MONTH(IF(ISNUMBER(B$3:B714),B$3:B714,1))=MONTH(B714))*(YEAR(IF(ISNUMBER(B$3:B714),B$3:B714,1))=YEAR(B714))*IF(ISNUMBER(L$3:L714),L$3:L714,0)),""))</f>
        <v/>
      </c>
      <c r="N714" s="6"/>
      <c r="O714" s="7" t="str">
        <f>IF(AND(B714="",ISNUMBER(B715)),CHOOSE(MONTH(B715),"GENNAIO","FEBBRAIO","MARZO","APRILE","MAGGIO","GIUGNO","LUGLIO","AGOSTO","SETTEMBRE","OTTOBRE","NOVEMBRE","DICEMBRE")&amp;" "&amp;YEAR(B715),"")</f>
        <v/>
      </c>
      <c r="P714" s="12" t="str">
        <f>IF(K714=0.2,"CASA","")</f>
        <v/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" customHeight="1" x14ac:dyDescent="0.2">
      <c r="A715" s="5" t="str">
        <f>IF(AND(B715="",ISNUMBER(B716)),CHOOSE(MONTH(B716),"GENNAIO","FEBBRAIO","MARZO","APRILE","MAGGIO","GIUGNO","LUGLIO","AGOSTO","SETTEMBRE","OTTOBRE","NOVEMBRE","DICEMBRE")&amp;" "&amp;YEAR(B716),"")</f>
        <v/>
      </c>
      <c r="B715" s="11"/>
      <c r="C715" s="12"/>
      <c r="D715" s="12" t="str">
        <f>IF(C715="","",C715-IF(C714&lt;&gt;"",C714,IF(C713&lt;&gt;"",C713,IF(C712&lt;&gt;"",C712,0))))</f>
        <v/>
      </c>
      <c r="E715" s="12"/>
      <c r="F715" s="12"/>
      <c r="G715" s="9" t="str">
        <f>IF(AND(E715="",F715=""),"",IF(OR(E715&gt;1,F715&gt;1),(F715-E715)/100,F715-E715))</f>
        <v/>
      </c>
      <c r="H715" s="12" t="str">
        <f>IF(G715="","",64*G715)</f>
        <v/>
      </c>
      <c r="I715" s="13"/>
      <c r="J715" s="13" t="str">
        <f>IFERROR(IF(OR(D715="",D715=0),"",I715/D715*100),"")</f>
        <v/>
      </c>
      <c r="K715" s="14"/>
      <c r="L715" s="13" t="str">
        <f>IF(I715="","",I715*K715)</f>
        <v/>
      </c>
      <c r="M715" s="13" t="str">
        <f>IF(B715="","",IFERROR(SUMPRODUCT(ISNUMBER(B$3:B715)*(MONTH(IF(ISNUMBER(B$3:B715),B$3:B715,1))=MONTH(B715))*(YEAR(IF(ISNUMBER(B$3:B715),B$3:B715,1))=YEAR(B715))*IF(ISNUMBER(L$3:L715),L$3:L715,0)),""))</f>
        <v/>
      </c>
      <c r="N715" s="6"/>
      <c r="O715" s="7" t="str">
        <f>IF(AND(B715="",ISNUMBER(B716)),CHOOSE(MONTH(B716),"GENNAIO","FEBBRAIO","MARZO","APRILE","MAGGIO","GIUGNO","LUGLIO","AGOSTO","SETTEMBRE","OTTOBRE","NOVEMBRE","DICEMBRE")&amp;" "&amp;YEAR(B716),"")</f>
        <v/>
      </c>
      <c r="P715" s="12" t="str">
        <f>IF(K715=0.2,"CASA","")</f>
        <v/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" customHeight="1" x14ac:dyDescent="0.2">
      <c r="A716" s="5" t="str">
        <f>IF(AND(B716="",ISNUMBER(B717)),CHOOSE(MONTH(B717),"GENNAIO","FEBBRAIO","MARZO","APRILE","MAGGIO","GIUGNO","LUGLIO","AGOSTO","SETTEMBRE","OTTOBRE","NOVEMBRE","DICEMBRE")&amp;" "&amp;YEAR(B717),"")</f>
        <v/>
      </c>
      <c r="B716" s="11"/>
      <c r="C716" s="12"/>
      <c r="D716" s="12" t="str">
        <f>IF(C716="","",C716-IF(C715&lt;&gt;"",C715,IF(C714&lt;&gt;"",C714,IF(C713&lt;&gt;"",C713,0))))</f>
        <v/>
      </c>
      <c r="E716" s="12"/>
      <c r="F716" s="12"/>
      <c r="G716" s="9" t="str">
        <f>IF(AND(E716="",F716=""),"",IF(OR(E716&gt;1,F716&gt;1),(F716-E716)/100,F716-E716))</f>
        <v/>
      </c>
      <c r="H716" s="12" t="str">
        <f>IF(G716="","",64*G716)</f>
        <v/>
      </c>
      <c r="I716" s="13"/>
      <c r="J716" s="13" t="str">
        <f>IFERROR(IF(OR(D716="",D716=0),"",I716/D716*100),"")</f>
        <v/>
      </c>
      <c r="K716" s="14"/>
      <c r="L716" s="13" t="str">
        <f>IF(I716="","",I716*K716)</f>
        <v/>
      </c>
      <c r="M716" s="13" t="str">
        <f>IF(B716="","",IFERROR(SUMPRODUCT(ISNUMBER(B$3:B716)*(MONTH(IF(ISNUMBER(B$3:B716),B$3:B716,1))=MONTH(B716))*(YEAR(IF(ISNUMBER(B$3:B716),B$3:B716,1))=YEAR(B716))*IF(ISNUMBER(L$3:L716),L$3:L716,0)),""))</f>
        <v/>
      </c>
      <c r="N716" s="6"/>
      <c r="O716" s="7" t="str">
        <f>IF(AND(B716="",ISNUMBER(B717)),CHOOSE(MONTH(B717),"GENNAIO","FEBBRAIO","MARZO","APRILE","MAGGIO","GIUGNO","LUGLIO","AGOSTO","SETTEMBRE","OTTOBRE","NOVEMBRE","DICEMBRE")&amp;" "&amp;YEAR(B717),"")</f>
        <v/>
      </c>
      <c r="P716" s="12" t="str">
        <f>IF(K716=0.2,"CASA","")</f>
        <v/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" customHeight="1" x14ac:dyDescent="0.2">
      <c r="A717" s="5" t="str">
        <f>IF(AND(B717="",ISNUMBER(B718)),CHOOSE(MONTH(B718),"GENNAIO","FEBBRAIO","MARZO","APRILE","MAGGIO","GIUGNO","LUGLIO","AGOSTO","SETTEMBRE","OTTOBRE","NOVEMBRE","DICEMBRE")&amp;" "&amp;YEAR(B718),"")</f>
        <v/>
      </c>
      <c r="B717" s="11"/>
      <c r="C717" s="12"/>
      <c r="D717" s="12" t="str">
        <f>IF(C717="","",C717-IF(C716&lt;&gt;"",C716,IF(C715&lt;&gt;"",C715,IF(C714&lt;&gt;"",C714,0))))</f>
        <v/>
      </c>
      <c r="E717" s="12"/>
      <c r="F717" s="12"/>
      <c r="G717" s="9" t="str">
        <f>IF(AND(E717="",F717=""),"",IF(OR(E717&gt;1,F717&gt;1),(F717-E717)/100,F717-E717))</f>
        <v/>
      </c>
      <c r="H717" s="12" t="str">
        <f>IF(G717="","",64*G717)</f>
        <v/>
      </c>
      <c r="I717" s="13"/>
      <c r="J717" s="13" t="str">
        <f>IFERROR(IF(OR(D717="",D717=0),"",I717/D717*100),"")</f>
        <v/>
      </c>
      <c r="K717" s="14"/>
      <c r="L717" s="13" t="str">
        <f>IF(I717="","",I717*K717)</f>
        <v/>
      </c>
      <c r="M717" s="13" t="str">
        <f>IF(B717="","",IFERROR(SUMPRODUCT(ISNUMBER(B$3:B717)*(MONTH(IF(ISNUMBER(B$3:B717),B$3:B717,1))=MONTH(B717))*(YEAR(IF(ISNUMBER(B$3:B717),B$3:B717,1))=YEAR(B717))*IF(ISNUMBER(L$3:L717),L$3:L717,0)),""))</f>
        <v/>
      </c>
      <c r="N717" s="6"/>
      <c r="O717" s="7" t="str">
        <f>IF(AND(B717="",ISNUMBER(B718)),CHOOSE(MONTH(B718),"GENNAIO","FEBBRAIO","MARZO","APRILE","MAGGIO","GIUGNO","LUGLIO","AGOSTO","SETTEMBRE","OTTOBRE","NOVEMBRE","DICEMBRE")&amp;" "&amp;YEAR(B718),"")</f>
        <v/>
      </c>
      <c r="P717" s="12" t="str">
        <f>IF(K717=0.2,"CASA","")</f>
        <v/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" customHeight="1" x14ac:dyDescent="0.2">
      <c r="A718" s="5" t="str">
        <f>IF(AND(B718="",ISNUMBER(B719)),CHOOSE(MONTH(B719),"GENNAIO","FEBBRAIO","MARZO","APRILE","MAGGIO","GIUGNO","LUGLIO","AGOSTO","SETTEMBRE","OTTOBRE","NOVEMBRE","DICEMBRE")&amp;" "&amp;YEAR(B719),"")</f>
        <v/>
      </c>
      <c r="B718" s="11"/>
      <c r="C718" s="12"/>
      <c r="D718" s="12" t="str">
        <f>IF(C718="","",C718-IF(C717&lt;&gt;"",C717,IF(C716&lt;&gt;"",C716,IF(C715&lt;&gt;"",C715,0))))</f>
        <v/>
      </c>
      <c r="E718" s="12"/>
      <c r="F718" s="12"/>
      <c r="G718" s="9" t="str">
        <f>IF(AND(E718="",F718=""),"",IF(OR(E718&gt;1,F718&gt;1),(F718-E718)/100,F718-E718))</f>
        <v/>
      </c>
      <c r="H718" s="12" t="str">
        <f>IF(G718="","",64*G718)</f>
        <v/>
      </c>
      <c r="I718" s="13"/>
      <c r="J718" s="13" t="str">
        <f>IFERROR(IF(OR(D718="",D718=0),"",I718/D718*100),"")</f>
        <v/>
      </c>
      <c r="K718" s="14"/>
      <c r="L718" s="13" t="str">
        <f>IF(I718="","",I718*K718)</f>
        <v/>
      </c>
      <c r="M718" s="13" t="str">
        <f>IF(B718="","",IFERROR(SUMPRODUCT(ISNUMBER(B$3:B718)*(MONTH(IF(ISNUMBER(B$3:B718),B$3:B718,1))=MONTH(B718))*(YEAR(IF(ISNUMBER(B$3:B718),B$3:B718,1))=YEAR(B718))*IF(ISNUMBER(L$3:L718),L$3:L718,0)),""))</f>
        <v/>
      </c>
      <c r="N718" s="6"/>
      <c r="O718" s="7" t="str">
        <f>IF(AND(B718="",ISNUMBER(B719)),CHOOSE(MONTH(B719),"GENNAIO","FEBBRAIO","MARZO","APRILE","MAGGIO","GIUGNO","LUGLIO","AGOSTO","SETTEMBRE","OTTOBRE","NOVEMBRE","DICEMBRE")&amp;" "&amp;YEAR(B719),"")</f>
        <v/>
      </c>
      <c r="P718" s="12" t="str">
        <f>IF(K718=0.2,"CASA","")</f>
        <v/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" customHeight="1" x14ac:dyDescent="0.2">
      <c r="A719" s="5" t="str">
        <f>IF(AND(B719="",ISNUMBER(B720)),CHOOSE(MONTH(B720),"GENNAIO","FEBBRAIO","MARZO","APRILE","MAGGIO","GIUGNO","LUGLIO","AGOSTO","SETTEMBRE","OTTOBRE","NOVEMBRE","DICEMBRE")&amp;" "&amp;YEAR(B720),"")</f>
        <v/>
      </c>
      <c r="B719" s="11"/>
      <c r="C719" s="12"/>
      <c r="D719" s="12" t="str">
        <f>IF(C719="","",C719-IF(C718&lt;&gt;"",C718,IF(C717&lt;&gt;"",C717,IF(C716&lt;&gt;"",C716,0))))</f>
        <v/>
      </c>
      <c r="E719" s="12"/>
      <c r="F719" s="12"/>
      <c r="G719" s="9" t="str">
        <f>IF(AND(E719="",F719=""),"",IF(OR(E719&gt;1,F719&gt;1),(F719-E719)/100,F719-E719))</f>
        <v/>
      </c>
      <c r="H719" s="12" t="str">
        <f>IF(G719="","",64*G719)</f>
        <v/>
      </c>
      <c r="I719" s="13"/>
      <c r="J719" s="13" t="str">
        <f>IFERROR(IF(OR(D719="",D719=0),"",I719/D719*100),"")</f>
        <v/>
      </c>
      <c r="K719" s="14"/>
      <c r="L719" s="13" t="str">
        <f>IF(I719="","",I719*K719)</f>
        <v/>
      </c>
      <c r="M719" s="13" t="str">
        <f>IF(B719="","",IFERROR(SUMPRODUCT(ISNUMBER(B$3:B719)*(MONTH(IF(ISNUMBER(B$3:B719),B$3:B719,1))=MONTH(B719))*(YEAR(IF(ISNUMBER(B$3:B719),B$3:B719,1))=YEAR(B719))*IF(ISNUMBER(L$3:L719),L$3:L719,0)),""))</f>
        <v/>
      </c>
      <c r="N719" s="6"/>
      <c r="O719" s="7" t="str">
        <f>IF(AND(B719="",ISNUMBER(B720)),CHOOSE(MONTH(B720),"GENNAIO","FEBBRAIO","MARZO","APRILE","MAGGIO","GIUGNO","LUGLIO","AGOSTO","SETTEMBRE","OTTOBRE","NOVEMBRE","DICEMBRE")&amp;" "&amp;YEAR(B720),"")</f>
        <v/>
      </c>
      <c r="P719" s="12" t="str">
        <f>IF(K719=0.2,"CASA","")</f>
        <v/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" customHeight="1" x14ac:dyDescent="0.2">
      <c r="A720" s="5" t="str">
        <f>IF(AND(B720="",ISNUMBER(B721)),CHOOSE(MONTH(B721),"GENNAIO","FEBBRAIO","MARZO","APRILE","MAGGIO","GIUGNO","LUGLIO","AGOSTO","SETTEMBRE","OTTOBRE","NOVEMBRE","DICEMBRE")&amp;" "&amp;YEAR(B721),"")</f>
        <v/>
      </c>
      <c r="B720" s="11"/>
      <c r="C720" s="12"/>
      <c r="D720" s="12" t="str">
        <f>IF(C720="","",C720-IF(C719&lt;&gt;"",C719,IF(C718&lt;&gt;"",C718,IF(C717&lt;&gt;"",C717,0))))</f>
        <v/>
      </c>
      <c r="E720" s="12"/>
      <c r="F720" s="12"/>
      <c r="G720" s="9" t="str">
        <f>IF(AND(E720="",F720=""),"",IF(OR(E720&gt;1,F720&gt;1),(F720-E720)/100,F720-E720))</f>
        <v/>
      </c>
      <c r="H720" s="12" t="str">
        <f>IF(G720="","",64*G720)</f>
        <v/>
      </c>
      <c r="I720" s="13"/>
      <c r="J720" s="13" t="str">
        <f>IFERROR(IF(OR(D720="",D720=0),"",I720/D720*100),"")</f>
        <v/>
      </c>
      <c r="K720" s="14"/>
      <c r="L720" s="13" t="str">
        <f>IF(I720="","",I720*K720)</f>
        <v/>
      </c>
      <c r="M720" s="13" t="str">
        <f>IF(B720="","",IFERROR(SUMPRODUCT(ISNUMBER(B$3:B720)*(MONTH(IF(ISNUMBER(B$3:B720),B$3:B720,1))=MONTH(B720))*(YEAR(IF(ISNUMBER(B$3:B720),B$3:B720,1))=YEAR(B720))*IF(ISNUMBER(L$3:L720),L$3:L720,0)),""))</f>
        <v/>
      </c>
      <c r="N720" s="6"/>
      <c r="O720" s="7" t="str">
        <f>IF(AND(B720="",ISNUMBER(B721)),CHOOSE(MONTH(B721),"GENNAIO","FEBBRAIO","MARZO","APRILE","MAGGIO","GIUGNO","LUGLIO","AGOSTO","SETTEMBRE","OTTOBRE","NOVEMBRE","DICEMBRE")&amp;" "&amp;YEAR(B721),"")</f>
        <v/>
      </c>
      <c r="P720" s="12" t="str">
        <f>IF(K720=0.2,"CASA","")</f>
        <v/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" customHeight="1" x14ac:dyDescent="0.2">
      <c r="A721" s="5" t="str">
        <f>IF(AND(B721="",ISNUMBER(B722)),CHOOSE(MONTH(B722),"GENNAIO","FEBBRAIO","MARZO","APRILE","MAGGIO","GIUGNO","LUGLIO","AGOSTO","SETTEMBRE","OTTOBRE","NOVEMBRE","DICEMBRE")&amp;" "&amp;YEAR(B722),"")</f>
        <v/>
      </c>
      <c r="B721" s="11"/>
      <c r="C721" s="12"/>
      <c r="D721" s="12" t="str">
        <f>IF(C721="","",C721-IF(C720&lt;&gt;"",C720,IF(C719&lt;&gt;"",C719,IF(C718&lt;&gt;"",C718,0))))</f>
        <v/>
      </c>
      <c r="E721" s="12"/>
      <c r="F721" s="12"/>
      <c r="G721" s="9" t="str">
        <f>IF(AND(E721="",F721=""),"",IF(OR(E721&gt;1,F721&gt;1),(F721-E721)/100,F721-E721))</f>
        <v/>
      </c>
      <c r="H721" s="12" t="str">
        <f>IF(G721="","",64*G721)</f>
        <v/>
      </c>
      <c r="I721" s="13"/>
      <c r="J721" s="13" t="str">
        <f>IFERROR(IF(OR(D721="",D721=0),"",I721/D721*100),"")</f>
        <v/>
      </c>
      <c r="K721" s="14"/>
      <c r="L721" s="13" t="str">
        <f>IF(I721="","",I721*K721)</f>
        <v/>
      </c>
      <c r="M721" s="13" t="str">
        <f>IF(B721="","",IFERROR(SUMPRODUCT(ISNUMBER(B$3:B721)*(MONTH(IF(ISNUMBER(B$3:B721),B$3:B721,1))=MONTH(B721))*(YEAR(IF(ISNUMBER(B$3:B721),B$3:B721,1))=YEAR(B721))*IF(ISNUMBER(L$3:L721),L$3:L721,0)),""))</f>
        <v/>
      </c>
      <c r="N721" s="6"/>
      <c r="O721" s="7" t="str">
        <f>IF(AND(B721="",ISNUMBER(B722)),CHOOSE(MONTH(B722),"GENNAIO","FEBBRAIO","MARZO","APRILE","MAGGIO","GIUGNO","LUGLIO","AGOSTO","SETTEMBRE","OTTOBRE","NOVEMBRE","DICEMBRE")&amp;" "&amp;YEAR(B722),"")</f>
        <v/>
      </c>
      <c r="P721" s="12" t="str">
        <f>IF(K721=0.2,"CASA","")</f>
        <v/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" customHeight="1" x14ac:dyDescent="0.2">
      <c r="A722" s="5" t="str">
        <f>IF(AND(B722="",ISNUMBER(B723)),CHOOSE(MONTH(B723),"GENNAIO","FEBBRAIO","MARZO","APRILE","MAGGIO","GIUGNO","LUGLIO","AGOSTO","SETTEMBRE","OTTOBRE","NOVEMBRE","DICEMBRE")&amp;" "&amp;YEAR(B723),"")</f>
        <v/>
      </c>
      <c r="B722" s="11"/>
      <c r="C722" s="12"/>
      <c r="D722" s="12" t="str">
        <f>IF(C722="","",C722-IF(C721&lt;&gt;"",C721,IF(C720&lt;&gt;"",C720,IF(C719&lt;&gt;"",C719,0))))</f>
        <v/>
      </c>
      <c r="E722" s="12"/>
      <c r="F722" s="12"/>
      <c r="G722" s="9" t="str">
        <f>IF(AND(E722="",F722=""),"",IF(OR(E722&gt;1,F722&gt;1),(F722-E722)/100,F722-E722))</f>
        <v/>
      </c>
      <c r="H722" s="12" t="str">
        <f>IF(G722="","",64*G722)</f>
        <v/>
      </c>
      <c r="I722" s="13"/>
      <c r="J722" s="13" t="str">
        <f>IFERROR(IF(OR(D722="",D722=0),"",I722/D722*100),"")</f>
        <v/>
      </c>
      <c r="K722" s="14"/>
      <c r="L722" s="13" t="str">
        <f>IF(I722="","",I722*K722)</f>
        <v/>
      </c>
      <c r="M722" s="13" t="str">
        <f>IF(B722="","",IFERROR(SUMPRODUCT(ISNUMBER(B$3:B722)*(MONTH(IF(ISNUMBER(B$3:B722),B$3:B722,1))=MONTH(B722))*(YEAR(IF(ISNUMBER(B$3:B722),B$3:B722,1))=YEAR(B722))*IF(ISNUMBER(L$3:L722),L$3:L722,0)),""))</f>
        <v/>
      </c>
      <c r="N722" s="6"/>
      <c r="O722" s="7" t="str">
        <f>IF(AND(B722="",ISNUMBER(B723)),CHOOSE(MONTH(B723),"GENNAIO","FEBBRAIO","MARZO","APRILE","MAGGIO","GIUGNO","LUGLIO","AGOSTO","SETTEMBRE","OTTOBRE","NOVEMBRE","DICEMBRE")&amp;" "&amp;YEAR(B723),"")</f>
        <v/>
      </c>
      <c r="P722" s="12" t="str">
        <f>IF(K722=0.2,"CASA","")</f>
        <v/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" customHeight="1" x14ac:dyDescent="0.2">
      <c r="A723" s="5" t="str">
        <f>IF(AND(B723="",ISNUMBER(B724)),CHOOSE(MONTH(B724),"GENNAIO","FEBBRAIO","MARZO","APRILE","MAGGIO","GIUGNO","LUGLIO","AGOSTO","SETTEMBRE","OTTOBRE","NOVEMBRE","DICEMBRE")&amp;" "&amp;YEAR(B724),"")</f>
        <v/>
      </c>
      <c r="B723" s="11"/>
      <c r="C723" s="12"/>
      <c r="D723" s="12" t="str">
        <f>IF(C723="","",C723-IF(C722&lt;&gt;"",C722,IF(C721&lt;&gt;"",C721,IF(C720&lt;&gt;"",C720,0))))</f>
        <v/>
      </c>
      <c r="E723" s="12"/>
      <c r="F723" s="12"/>
      <c r="G723" s="9" t="str">
        <f>IF(AND(E723="",F723=""),"",IF(OR(E723&gt;1,F723&gt;1),(F723-E723)/100,F723-E723))</f>
        <v/>
      </c>
      <c r="H723" s="12" t="str">
        <f>IF(G723="","",64*G723)</f>
        <v/>
      </c>
      <c r="I723" s="13"/>
      <c r="J723" s="13" t="str">
        <f>IFERROR(IF(OR(D723="",D723=0),"",I723/D723*100),"")</f>
        <v/>
      </c>
      <c r="K723" s="14"/>
      <c r="L723" s="13" t="str">
        <f>IF(I723="","",I723*K723)</f>
        <v/>
      </c>
      <c r="M723" s="13" t="str">
        <f>IF(B723="","",IFERROR(SUMPRODUCT(ISNUMBER(B$3:B723)*(MONTH(IF(ISNUMBER(B$3:B723),B$3:B723,1))=MONTH(B723))*(YEAR(IF(ISNUMBER(B$3:B723),B$3:B723,1))=YEAR(B723))*IF(ISNUMBER(L$3:L723),L$3:L723,0)),""))</f>
        <v/>
      </c>
      <c r="N723" s="6"/>
      <c r="O723" s="7" t="str">
        <f>IF(AND(B723="",ISNUMBER(B724)),CHOOSE(MONTH(B724),"GENNAIO","FEBBRAIO","MARZO","APRILE","MAGGIO","GIUGNO","LUGLIO","AGOSTO","SETTEMBRE","OTTOBRE","NOVEMBRE","DICEMBRE")&amp;" "&amp;YEAR(B724),"")</f>
        <v/>
      </c>
      <c r="P723" s="12" t="str">
        <f>IF(K723=0.2,"CASA","")</f>
        <v/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" customHeight="1" x14ac:dyDescent="0.2">
      <c r="A724" s="5" t="str">
        <f>IF(AND(B724="",ISNUMBER(B725)),CHOOSE(MONTH(B725),"GENNAIO","FEBBRAIO","MARZO","APRILE","MAGGIO","GIUGNO","LUGLIO","AGOSTO","SETTEMBRE","OTTOBRE","NOVEMBRE","DICEMBRE")&amp;" "&amp;YEAR(B725),"")</f>
        <v/>
      </c>
      <c r="B724" s="11"/>
      <c r="C724" s="12"/>
      <c r="D724" s="12" t="str">
        <f>IF(C724="","",C724-IF(C723&lt;&gt;"",C723,IF(C722&lt;&gt;"",C722,IF(C721&lt;&gt;"",C721,0))))</f>
        <v/>
      </c>
      <c r="E724" s="12"/>
      <c r="F724" s="12"/>
      <c r="G724" s="9" t="str">
        <f>IF(AND(E724="",F724=""),"",IF(OR(E724&gt;1,F724&gt;1),(F724-E724)/100,F724-E724))</f>
        <v/>
      </c>
      <c r="H724" s="12" t="str">
        <f>IF(G724="","",64*G724)</f>
        <v/>
      </c>
      <c r="I724" s="13"/>
      <c r="J724" s="13" t="str">
        <f>IFERROR(IF(OR(D724="",D724=0),"",I724/D724*100),"")</f>
        <v/>
      </c>
      <c r="K724" s="14"/>
      <c r="L724" s="13" t="str">
        <f>IF(I724="","",I724*K724)</f>
        <v/>
      </c>
      <c r="M724" s="13" t="str">
        <f>IF(B724="","",IFERROR(SUMPRODUCT(ISNUMBER(B$3:B724)*(MONTH(IF(ISNUMBER(B$3:B724),B$3:B724,1))=MONTH(B724))*(YEAR(IF(ISNUMBER(B$3:B724),B$3:B724,1))=YEAR(B724))*IF(ISNUMBER(L$3:L724),L$3:L724,0)),""))</f>
        <v/>
      </c>
      <c r="N724" s="6"/>
      <c r="O724" s="7" t="str">
        <f>IF(AND(B724="",ISNUMBER(B725)),CHOOSE(MONTH(B725),"GENNAIO","FEBBRAIO","MARZO","APRILE","MAGGIO","GIUGNO","LUGLIO","AGOSTO","SETTEMBRE","OTTOBRE","NOVEMBRE","DICEMBRE")&amp;" "&amp;YEAR(B725),"")</f>
        <v/>
      </c>
      <c r="P724" s="12" t="str">
        <f>IF(K724=0.2,"CASA","")</f>
        <v/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" customHeight="1" x14ac:dyDescent="0.2">
      <c r="A725" s="5" t="str">
        <f>IF(AND(B725="",ISNUMBER(B726)),CHOOSE(MONTH(B726),"GENNAIO","FEBBRAIO","MARZO","APRILE","MAGGIO","GIUGNO","LUGLIO","AGOSTO","SETTEMBRE","OTTOBRE","NOVEMBRE","DICEMBRE")&amp;" "&amp;YEAR(B726),"")</f>
        <v/>
      </c>
      <c r="B725" s="11"/>
      <c r="C725" s="12"/>
      <c r="D725" s="12" t="str">
        <f>IF(C725="","",C725-IF(C724&lt;&gt;"",C724,IF(C723&lt;&gt;"",C723,IF(C722&lt;&gt;"",C722,0))))</f>
        <v/>
      </c>
      <c r="E725" s="12"/>
      <c r="F725" s="12"/>
      <c r="G725" s="9" t="str">
        <f>IF(AND(E725="",F725=""),"",IF(OR(E725&gt;1,F725&gt;1),(F725-E725)/100,F725-E725))</f>
        <v/>
      </c>
      <c r="H725" s="12" t="str">
        <f>IF(G725="","",64*G725)</f>
        <v/>
      </c>
      <c r="I725" s="13"/>
      <c r="J725" s="13" t="str">
        <f>IFERROR(IF(OR(D725="",D725=0),"",I725/D725*100),"")</f>
        <v/>
      </c>
      <c r="K725" s="14"/>
      <c r="L725" s="13" t="str">
        <f>IF(I725="","",I725*K725)</f>
        <v/>
      </c>
      <c r="M725" s="13" t="str">
        <f>IF(B725="","",IFERROR(SUMPRODUCT(ISNUMBER(B$3:B725)*(MONTH(IF(ISNUMBER(B$3:B725),B$3:B725,1))=MONTH(B725))*(YEAR(IF(ISNUMBER(B$3:B725),B$3:B725,1))=YEAR(B725))*IF(ISNUMBER(L$3:L725),L$3:L725,0)),""))</f>
        <v/>
      </c>
      <c r="N725" s="6"/>
      <c r="O725" s="7" t="str">
        <f>IF(AND(B725="",ISNUMBER(B726)),CHOOSE(MONTH(B726),"GENNAIO","FEBBRAIO","MARZO","APRILE","MAGGIO","GIUGNO","LUGLIO","AGOSTO","SETTEMBRE","OTTOBRE","NOVEMBRE","DICEMBRE")&amp;" "&amp;YEAR(B726),"")</f>
        <v/>
      </c>
      <c r="P725" s="12" t="str">
        <f>IF(K725=0.2,"CASA","")</f>
        <v/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" customHeight="1" x14ac:dyDescent="0.2">
      <c r="A726" s="5" t="str">
        <f>IF(AND(B726="",ISNUMBER(B727)),CHOOSE(MONTH(B727),"GENNAIO","FEBBRAIO","MARZO","APRILE","MAGGIO","GIUGNO","LUGLIO","AGOSTO","SETTEMBRE","OTTOBRE","NOVEMBRE","DICEMBRE")&amp;" "&amp;YEAR(B727),"")</f>
        <v/>
      </c>
      <c r="B726" s="11"/>
      <c r="C726" s="12"/>
      <c r="D726" s="12" t="str">
        <f>IF(C726="","",C726-IF(C725&lt;&gt;"",C725,IF(C724&lt;&gt;"",C724,IF(C723&lt;&gt;"",C723,0))))</f>
        <v/>
      </c>
      <c r="E726" s="12"/>
      <c r="F726" s="12"/>
      <c r="G726" s="9" t="str">
        <f>IF(AND(E726="",F726=""),"",IF(OR(E726&gt;1,F726&gt;1),(F726-E726)/100,F726-E726))</f>
        <v/>
      </c>
      <c r="H726" s="12" t="str">
        <f>IF(G726="","",64*G726)</f>
        <v/>
      </c>
      <c r="I726" s="13"/>
      <c r="J726" s="13" t="str">
        <f>IFERROR(IF(OR(D726="",D726=0),"",I726/D726*100),"")</f>
        <v/>
      </c>
      <c r="K726" s="14"/>
      <c r="L726" s="13" t="str">
        <f>IF(I726="","",I726*K726)</f>
        <v/>
      </c>
      <c r="M726" s="13" t="str">
        <f>IF(B726="","",IFERROR(SUMPRODUCT(ISNUMBER(B$3:B726)*(MONTH(IF(ISNUMBER(B$3:B726),B$3:B726,1))=MONTH(B726))*(YEAR(IF(ISNUMBER(B$3:B726),B$3:B726,1))=YEAR(B726))*IF(ISNUMBER(L$3:L726),L$3:L726,0)),""))</f>
        <v/>
      </c>
      <c r="N726" s="6"/>
      <c r="O726" s="7" t="str">
        <f>IF(AND(B726="",ISNUMBER(B727)),CHOOSE(MONTH(B727),"GENNAIO","FEBBRAIO","MARZO","APRILE","MAGGIO","GIUGNO","LUGLIO","AGOSTO","SETTEMBRE","OTTOBRE","NOVEMBRE","DICEMBRE")&amp;" "&amp;YEAR(B727),"")</f>
        <v/>
      </c>
      <c r="P726" s="12" t="str">
        <f>IF(K726=0.2,"CASA","")</f>
        <v/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" customHeight="1" x14ac:dyDescent="0.2">
      <c r="A727" s="5" t="str">
        <f>IF(AND(B727="",ISNUMBER(B728)),CHOOSE(MONTH(B728),"GENNAIO","FEBBRAIO","MARZO","APRILE","MAGGIO","GIUGNO","LUGLIO","AGOSTO","SETTEMBRE","OTTOBRE","NOVEMBRE","DICEMBRE")&amp;" "&amp;YEAR(B728),"")</f>
        <v/>
      </c>
      <c r="B727" s="11"/>
      <c r="C727" s="12"/>
      <c r="D727" s="12" t="str">
        <f>IF(C727="","",C727-IF(C726&lt;&gt;"",C726,IF(C725&lt;&gt;"",C725,IF(C724&lt;&gt;"",C724,0))))</f>
        <v/>
      </c>
      <c r="E727" s="12"/>
      <c r="F727" s="12"/>
      <c r="G727" s="9" t="str">
        <f>IF(AND(E727="",F727=""),"",IF(OR(E727&gt;1,F727&gt;1),(F727-E727)/100,F727-E727))</f>
        <v/>
      </c>
      <c r="H727" s="12" t="str">
        <f>IF(G727="","",64*G727)</f>
        <v/>
      </c>
      <c r="I727" s="13"/>
      <c r="J727" s="13" t="str">
        <f>IFERROR(IF(OR(D727="",D727=0),"",I727/D727*100),"")</f>
        <v/>
      </c>
      <c r="K727" s="14"/>
      <c r="L727" s="13" t="str">
        <f>IF(I727="","",I727*K727)</f>
        <v/>
      </c>
      <c r="M727" s="13" t="str">
        <f>IF(B727="","",IFERROR(SUMPRODUCT(ISNUMBER(B$3:B727)*(MONTH(IF(ISNUMBER(B$3:B727),B$3:B727,1))=MONTH(B727))*(YEAR(IF(ISNUMBER(B$3:B727),B$3:B727,1))=YEAR(B727))*IF(ISNUMBER(L$3:L727),L$3:L727,0)),""))</f>
        <v/>
      </c>
      <c r="N727" s="6"/>
      <c r="O727" s="7" t="str">
        <f>IF(AND(B727="",ISNUMBER(B728)),CHOOSE(MONTH(B728),"GENNAIO","FEBBRAIO","MARZO","APRILE","MAGGIO","GIUGNO","LUGLIO","AGOSTO","SETTEMBRE","OTTOBRE","NOVEMBRE","DICEMBRE")&amp;" "&amp;YEAR(B728),"")</f>
        <v/>
      </c>
      <c r="P727" s="12" t="str">
        <f>IF(K727=0.2,"CASA","")</f>
        <v/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" customHeight="1" x14ac:dyDescent="0.2">
      <c r="A728" s="5" t="str">
        <f>IF(AND(B728="",ISNUMBER(B729)),CHOOSE(MONTH(B729),"GENNAIO","FEBBRAIO","MARZO","APRILE","MAGGIO","GIUGNO","LUGLIO","AGOSTO","SETTEMBRE","OTTOBRE","NOVEMBRE","DICEMBRE")&amp;" "&amp;YEAR(B729),"")</f>
        <v/>
      </c>
      <c r="B728" s="11"/>
      <c r="C728" s="12"/>
      <c r="D728" s="12" t="str">
        <f>IF(C728="","",C728-IF(C727&lt;&gt;"",C727,IF(C726&lt;&gt;"",C726,IF(C725&lt;&gt;"",C725,0))))</f>
        <v/>
      </c>
      <c r="E728" s="12"/>
      <c r="F728" s="12"/>
      <c r="G728" s="9" t="str">
        <f>IF(AND(E728="",F728=""),"",IF(OR(E728&gt;1,F728&gt;1),(F728-E728)/100,F728-E728))</f>
        <v/>
      </c>
      <c r="H728" s="12" t="str">
        <f>IF(G728="","",64*G728)</f>
        <v/>
      </c>
      <c r="I728" s="13"/>
      <c r="J728" s="13" t="str">
        <f>IFERROR(IF(OR(D728="",D728=0),"",I728/D728*100),"")</f>
        <v/>
      </c>
      <c r="K728" s="14"/>
      <c r="L728" s="13" t="str">
        <f>IF(I728="","",I728*K728)</f>
        <v/>
      </c>
      <c r="M728" s="13" t="str">
        <f>IF(B728="","",IFERROR(SUMPRODUCT(ISNUMBER(B$3:B728)*(MONTH(IF(ISNUMBER(B$3:B728),B$3:B728,1))=MONTH(B728))*(YEAR(IF(ISNUMBER(B$3:B728),B$3:B728,1))=YEAR(B728))*IF(ISNUMBER(L$3:L728),L$3:L728,0)),""))</f>
        <v/>
      </c>
      <c r="N728" s="6"/>
      <c r="O728" s="7" t="str">
        <f>IF(AND(B728="",ISNUMBER(B729)),CHOOSE(MONTH(B729),"GENNAIO","FEBBRAIO","MARZO","APRILE","MAGGIO","GIUGNO","LUGLIO","AGOSTO","SETTEMBRE","OTTOBRE","NOVEMBRE","DICEMBRE")&amp;" "&amp;YEAR(B729),"")</f>
        <v/>
      </c>
      <c r="P728" s="12" t="str">
        <f>IF(K728=0.2,"CASA","")</f>
        <v/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" customHeight="1" x14ac:dyDescent="0.2">
      <c r="A729" s="5" t="str">
        <f>IF(AND(B729="",ISNUMBER(B730)),CHOOSE(MONTH(B730),"GENNAIO","FEBBRAIO","MARZO","APRILE","MAGGIO","GIUGNO","LUGLIO","AGOSTO","SETTEMBRE","OTTOBRE","NOVEMBRE","DICEMBRE")&amp;" "&amp;YEAR(B730),"")</f>
        <v/>
      </c>
      <c r="B729" s="11"/>
      <c r="C729" s="12"/>
      <c r="D729" s="12" t="str">
        <f>IF(C729="","",C729-IF(C728&lt;&gt;"",C728,IF(C727&lt;&gt;"",C727,IF(C726&lt;&gt;"",C726,0))))</f>
        <v/>
      </c>
      <c r="E729" s="12"/>
      <c r="F729" s="12"/>
      <c r="G729" s="9" t="str">
        <f>IF(AND(E729="",F729=""),"",IF(OR(E729&gt;1,F729&gt;1),(F729-E729)/100,F729-E729))</f>
        <v/>
      </c>
      <c r="H729" s="12" t="str">
        <f>IF(G729="","",64*G729)</f>
        <v/>
      </c>
      <c r="I729" s="13"/>
      <c r="J729" s="13" t="str">
        <f>IFERROR(IF(OR(D729="",D729=0),"",I729/D729*100),"")</f>
        <v/>
      </c>
      <c r="K729" s="14"/>
      <c r="L729" s="13" t="str">
        <f>IF(I729="","",I729*K729)</f>
        <v/>
      </c>
      <c r="M729" s="13" t="str">
        <f>IF(B729="","",IFERROR(SUMPRODUCT(ISNUMBER(B$3:B729)*(MONTH(IF(ISNUMBER(B$3:B729),B$3:B729,1))=MONTH(B729))*(YEAR(IF(ISNUMBER(B$3:B729),B$3:B729,1))=YEAR(B729))*IF(ISNUMBER(L$3:L729),L$3:L729,0)),""))</f>
        <v/>
      </c>
      <c r="N729" s="6"/>
      <c r="O729" s="7" t="str">
        <f>IF(AND(B729="",ISNUMBER(B730)),CHOOSE(MONTH(B730),"GENNAIO","FEBBRAIO","MARZO","APRILE","MAGGIO","GIUGNO","LUGLIO","AGOSTO","SETTEMBRE","OTTOBRE","NOVEMBRE","DICEMBRE")&amp;" "&amp;YEAR(B730),"")</f>
        <v/>
      </c>
      <c r="P729" s="12" t="str">
        <f>IF(K729=0.2,"CASA","")</f>
        <v/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" customHeight="1" x14ac:dyDescent="0.2">
      <c r="A730" s="5" t="str">
        <f>IF(AND(B730="",ISNUMBER(B731)),CHOOSE(MONTH(B731),"GENNAIO","FEBBRAIO","MARZO","APRILE","MAGGIO","GIUGNO","LUGLIO","AGOSTO","SETTEMBRE","OTTOBRE","NOVEMBRE","DICEMBRE")&amp;" "&amp;YEAR(B731),"")</f>
        <v/>
      </c>
      <c r="B730" s="11"/>
      <c r="C730" s="12"/>
      <c r="D730" s="12" t="str">
        <f>IF(C730="","",C730-IF(C729&lt;&gt;"",C729,IF(C728&lt;&gt;"",C728,IF(C727&lt;&gt;"",C727,0))))</f>
        <v/>
      </c>
      <c r="E730" s="12"/>
      <c r="F730" s="12"/>
      <c r="G730" s="9" t="str">
        <f>IF(AND(E730="",F730=""),"",IF(OR(E730&gt;1,F730&gt;1),(F730-E730)/100,F730-E730))</f>
        <v/>
      </c>
      <c r="H730" s="12" t="str">
        <f>IF(G730="","",64*G730)</f>
        <v/>
      </c>
      <c r="I730" s="13"/>
      <c r="J730" s="13" t="str">
        <f>IFERROR(IF(OR(D730="",D730=0),"",I730/D730*100),"")</f>
        <v/>
      </c>
      <c r="K730" s="14"/>
      <c r="L730" s="13" t="str">
        <f>IF(I730="","",I730*K730)</f>
        <v/>
      </c>
      <c r="M730" s="13" t="str">
        <f>IF(B730="","",IFERROR(SUMPRODUCT(ISNUMBER(B$3:B730)*(MONTH(IF(ISNUMBER(B$3:B730),B$3:B730,1))=MONTH(B730))*(YEAR(IF(ISNUMBER(B$3:B730),B$3:B730,1))=YEAR(B730))*IF(ISNUMBER(L$3:L730),L$3:L730,0)),""))</f>
        <v/>
      </c>
      <c r="N730" s="6"/>
      <c r="O730" s="7" t="str">
        <f>IF(AND(B730="",ISNUMBER(B731)),CHOOSE(MONTH(B731),"GENNAIO","FEBBRAIO","MARZO","APRILE","MAGGIO","GIUGNO","LUGLIO","AGOSTO","SETTEMBRE","OTTOBRE","NOVEMBRE","DICEMBRE")&amp;" "&amp;YEAR(B731),"")</f>
        <v/>
      </c>
      <c r="P730" s="12" t="str">
        <f>IF(K730=0.2,"CASA","")</f>
        <v/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" customHeight="1" x14ac:dyDescent="0.2">
      <c r="A731" s="5" t="str">
        <f>IF(AND(B731="",ISNUMBER(B732)),CHOOSE(MONTH(B732),"GENNAIO","FEBBRAIO","MARZO","APRILE","MAGGIO","GIUGNO","LUGLIO","AGOSTO","SETTEMBRE","OTTOBRE","NOVEMBRE","DICEMBRE")&amp;" "&amp;YEAR(B732),"")</f>
        <v/>
      </c>
      <c r="B731" s="11"/>
      <c r="C731" s="12"/>
      <c r="D731" s="12" t="str">
        <f>IF(C731="","",C731-IF(C730&lt;&gt;"",C730,IF(C729&lt;&gt;"",C729,IF(C728&lt;&gt;"",C728,0))))</f>
        <v/>
      </c>
      <c r="E731" s="12"/>
      <c r="F731" s="12"/>
      <c r="G731" s="9" t="str">
        <f>IF(AND(E731="",F731=""),"",IF(OR(E731&gt;1,F731&gt;1),(F731-E731)/100,F731-E731))</f>
        <v/>
      </c>
      <c r="H731" s="12" t="str">
        <f>IF(G731="","",64*G731)</f>
        <v/>
      </c>
      <c r="I731" s="13"/>
      <c r="J731" s="13" t="str">
        <f>IFERROR(IF(OR(D731="",D731=0),"",I731/D731*100),"")</f>
        <v/>
      </c>
      <c r="K731" s="14"/>
      <c r="L731" s="13" t="str">
        <f>IF(I731="","",I731*K731)</f>
        <v/>
      </c>
      <c r="M731" s="13" t="str">
        <f>IF(B731="","",IFERROR(SUMPRODUCT(ISNUMBER(B$3:B731)*(MONTH(IF(ISNUMBER(B$3:B731),B$3:B731,1))=MONTH(B731))*(YEAR(IF(ISNUMBER(B$3:B731),B$3:B731,1))=YEAR(B731))*IF(ISNUMBER(L$3:L731),L$3:L731,0)),""))</f>
        <v/>
      </c>
      <c r="N731" s="6"/>
      <c r="O731" s="7" t="str">
        <f>IF(AND(B731="",ISNUMBER(B732)),CHOOSE(MONTH(B732),"GENNAIO","FEBBRAIO","MARZO","APRILE","MAGGIO","GIUGNO","LUGLIO","AGOSTO","SETTEMBRE","OTTOBRE","NOVEMBRE","DICEMBRE")&amp;" "&amp;YEAR(B732),"")</f>
        <v/>
      </c>
      <c r="P731" s="12" t="str">
        <f>IF(K731=0.2,"CASA","")</f>
        <v/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" customHeight="1" x14ac:dyDescent="0.2">
      <c r="A732" s="5" t="str">
        <f>IF(AND(B732="",ISNUMBER(B733)),CHOOSE(MONTH(B733),"GENNAIO","FEBBRAIO","MARZO","APRILE","MAGGIO","GIUGNO","LUGLIO","AGOSTO","SETTEMBRE","OTTOBRE","NOVEMBRE","DICEMBRE")&amp;" "&amp;YEAR(B733),"")</f>
        <v/>
      </c>
      <c r="B732" s="11"/>
      <c r="C732" s="12"/>
      <c r="D732" s="12" t="str">
        <f>IF(C732="","",C732-IF(C731&lt;&gt;"",C731,IF(C730&lt;&gt;"",C730,IF(C729&lt;&gt;"",C729,0))))</f>
        <v/>
      </c>
      <c r="E732" s="12"/>
      <c r="F732" s="12"/>
      <c r="G732" s="9" t="str">
        <f>IF(AND(E732="",F732=""),"",IF(OR(E732&gt;1,F732&gt;1),(F732-E732)/100,F732-E732))</f>
        <v/>
      </c>
      <c r="H732" s="12" t="str">
        <f>IF(G732="","",64*G732)</f>
        <v/>
      </c>
      <c r="I732" s="13"/>
      <c r="J732" s="13" t="str">
        <f>IFERROR(IF(OR(D732="",D732=0),"",I732/D732*100),"")</f>
        <v/>
      </c>
      <c r="K732" s="14"/>
      <c r="L732" s="13" t="str">
        <f>IF(I732="","",I732*K732)</f>
        <v/>
      </c>
      <c r="M732" s="13" t="str">
        <f>IF(B732="","",IFERROR(SUMPRODUCT(ISNUMBER(B$3:B732)*(MONTH(IF(ISNUMBER(B$3:B732),B$3:B732,1))=MONTH(B732))*(YEAR(IF(ISNUMBER(B$3:B732),B$3:B732,1))=YEAR(B732))*IF(ISNUMBER(L$3:L732),L$3:L732,0)),""))</f>
        <v/>
      </c>
      <c r="N732" s="6"/>
      <c r="O732" s="7" t="str">
        <f>IF(AND(B732="",ISNUMBER(B733)),CHOOSE(MONTH(B733),"GENNAIO","FEBBRAIO","MARZO","APRILE","MAGGIO","GIUGNO","LUGLIO","AGOSTO","SETTEMBRE","OTTOBRE","NOVEMBRE","DICEMBRE")&amp;" "&amp;YEAR(B733),"")</f>
        <v/>
      </c>
      <c r="P732" s="12" t="str">
        <f>IF(K732=0.2,"CASA","")</f>
        <v/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" customHeight="1" x14ac:dyDescent="0.2">
      <c r="A733" s="5" t="str">
        <f>IF(AND(B733="",ISNUMBER(B734)),CHOOSE(MONTH(B734),"GENNAIO","FEBBRAIO","MARZO","APRILE","MAGGIO","GIUGNO","LUGLIO","AGOSTO","SETTEMBRE","OTTOBRE","NOVEMBRE","DICEMBRE")&amp;" "&amp;YEAR(B734),"")</f>
        <v/>
      </c>
      <c r="B733" s="11"/>
      <c r="C733" s="12"/>
      <c r="D733" s="12" t="str">
        <f>IF(C733="","",C733-IF(C732&lt;&gt;"",C732,IF(C731&lt;&gt;"",C731,IF(C730&lt;&gt;"",C730,0))))</f>
        <v/>
      </c>
      <c r="E733" s="12"/>
      <c r="F733" s="12"/>
      <c r="G733" s="9" t="str">
        <f>IF(AND(E733="",F733=""),"",IF(OR(E733&gt;1,F733&gt;1),(F733-E733)/100,F733-E733))</f>
        <v/>
      </c>
      <c r="H733" s="12" t="str">
        <f>IF(G733="","",64*G733)</f>
        <v/>
      </c>
      <c r="I733" s="13"/>
      <c r="J733" s="13" t="str">
        <f>IFERROR(IF(OR(D733="",D733=0),"",I733/D733*100),"")</f>
        <v/>
      </c>
      <c r="K733" s="14"/>
      <c r="L733" s="13" t="str">
        <f>IF(I733="","",I733*K733)</f>
        <v/>
      </c>
      <c r="M733" s="13" t="str">
        <f>IF(B733="","",IFERROR(SUMPRODUCT(ISNUMBER(B$3:B733)*(MONTH(IF(ISNUMBER(B$3:B733),B$3:B733,1))=MONTH(B733))*(YEAR(IF(ISNUMBER(B$3:B733),B$3:B733,1))=YEAR(B733))*IF(ISNUMBER(L$3:L733),L$3:L733,0)),""))</f>
        <v/>
      </c>
      <c r="N733" s="6"/>
      <c r="O733" s="7" t="str">
        <f>IF(AND(B733="",ISNUMBER(B734)),CHOOSE(MONTH(B734),"GENNAIO","FEBBRAIO","MARZO","APRILE","MAGGIO","GIUGNO","LUGLIO","AGOSTO","SETTEMBRE","OTTOBRE","NOVEMBRE","DICEMBRE")&amp;" "&amp;YEAR(B734),"")</f>
        <v/>
      </c>
      <c r="P733" s="12" t="str">
        <f>IF(K733=0.2,"CASA","")</f>
        <v/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" customHeight="1" x14ac:dyDescent="0.2">
      <c r="A734" s="5" t="str">
        <f>IF(AND(B734="",ISNUMBER(B735)),CHOOSE(MONTH(B735),"GENNAIO","FEBBRAIO","MARZO","APRILE","MAGGIO","GIUGNO","LUGLIO","AGOSTO","SETTEMBRE","OTTOBRE","NOVEMBRE","DICEMBRE")&amp;" "&amp;YEAR(B735),"")</f>
        <v/>
      </c>
      <c r="B734" s="11"/>
      <c r="C734" s="12"/>
      <c r="D734" s="12" t="str">
        <f>IF(C734="","",C734-IF(C733&lt;&gt;"",C733,IF(C732&lt;&gt;"",C732,IF(C731&lt;&gt;"",C731,0))))</f>
        <v/>
      </c>
      <c r="E734" s="12"/>
      <c r="F734" s="12"/>
      <c r="G734" s="9" t="str">
        <f>IF(AND(E734="",F734=""),"",IF(OR(E734&gt;1,F734&gt;1),(F734-E734)/100,F734-E734))</f>
        <v/>
      </c>
      <c r="H734" s="12" t="str">
        <f>IF(G734="","",64*G734)</f>
        <v/>
      </c>
      <c r="I734" s="13"/>
      <c r="J734" s="13" t="str">
        <f>IFERROR(IF(OR(D734="",D734=0),"",I734/D734*100),"")</f>
        <v/>
      </c>
      <c r="K734" s="14"/>
      <c r="L734" s="13" t="str">
        <f>IF(I734="","",I734*K734)</f>
        <v/>
      </c>
      <c r="M734" s="13" t="str">
        <f>IF(B734="","",IFERROR(SUMPRODUCT(ISNUMBER(B$3:B734)*(MONTH(IF(ISNUMBER(B$3:B734),B$3:B734,1))=MONTH(B734))*(YEAR(IF(ISNUMBER(B$3:B734),B$3:B734,1))=YEAR(B734))*IF(ISNUMBER(L$3:L734),L$3:L734,0)),""))</f>
        <v/>
      </c>
      <c r="N734" s="6"/>
      <c r="O734" s="7" t="str">
        <f>IF(AND(B734="",ISNUMBER(B735)),CHOOSE(MONTH(B735),"GENNAIO","FEBBRAIO","MARZO","APRILE","MAGGIO","GIUGNO","LUGLIO","AGOSTO","SETTEMBRE","OTTOBRE","NOVEMBRE","DICEMBRE")&amp;" "&amp;YEAR(B735),"")</f>
        <v/>
      </c>
      <c r="P734" s="12" t="str">
        <f>IF(K734=0.2,"CASA","")</f>
        <v/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" customHeight="1" x14ac:dyDescent="0.2">
      <c r="A735" s="5" t="str">
        <f>IF(AND(B735="",ISNUMBER(B736)),CHOOSE(MONTH(B736),"GENNAIO","FEBBRAIO","MARZO","APRILE","MAGGIO","GIUGNO","LUGLIO","AGOSTO","SETTEMBRE","OTTOBRE","NOVEMBRE","DICEMBRE")&amp;" "&amp;YEAR(B736),"")</f>
        <v/>
      </c>
      <c r="B735" s="11"/>
      <c r="C735" s="12"/>
      <c r="D735" s="12" t="str">
        <f>IF(C735="","",C735-IF(C734&lt;&gt;"",C734,IF(C733&lt;&gt;"",C733,IF(C732&lt;&gt;"",C732,0))))</f>
        <v/>
      </c>
      <c r="E735" s="12"/>
      <c r="F735" s="12"/>
      <c r="G735" s="9" t="str">
        <f>IF(AND(E735="",F735=""),"",IF(OR(E735&gt;1,F735&gt;1),(F735-E735)/100,F735-E735))</f>
        <v/>
      </c>
      <c r="H735" s="12" t="str">
        <f>IF(G735="","",64*G735)</f>
        <v/>
      </c>
      <c r="I735" s="13"/>
      <c r="J735" s="13" t="str">
        <f>IFERROR(IF(OR(D735="",D735=0),"",I735/D735*100),"")</f>
        <v/>
      </c>
      <c r="K735" s="14"/>
      <c r="L735" s="13" t="str">
        <f>IF(I735="","",I735*K735)</f>
        <v/>
      </c>
      <c r="M735" s="13" t="str">
        <f>IF(B735="","",IFERROR(SUMPRODUCT(ISNUMBER(B$3:B735)*(MONTH(IF(ISNUMBER(B$3:B735),B$3:B735,1))=MONTH(B735))*(YEAR(IF(ISNUMBER(B$3:B735),B$3:B735,1))=YEAR(B735))*IF(ISNUMBER(L$3:L735),L$3:L735,0)),""))</f>
        <v/>
      </c>
      <c r="N735" s="6"/>
      <c r="O735" s="7" t="str">
        <f>IF(AND(B735="",ISNUMBER(B736)),CHOOSE(MONTH(B736),"GENNAIO","FEBBRAIO","MARZO","APRILE","MAGGIO","GIUGNO","LUGLIO","AGOSTO","SETTEMBRE","OTTOBRE","NOVEMBRE","DICEMBRE")&amp;" "&amp;YEAR(B736),"")</f>
        <v/>
      </c>
      <c r="P735" s="12" t="str">
        <f>IF(K735=0.2,"CASA","")</f>
        <v/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" customHeight="1" x14ac:dyDescent="0.2">
      <c r="A736" s="5" t="str">
        <f>IF(AND(B736="",ISNUMBER(B737)),CHOOSE(MONTH(B737),"GENNAIO","FEBBRAIO","MARZO","APRILE","MAGGIO","GIUGNO","LUGLIO","AGOSTO","SETTEMBRE","OTTOBRE","NOVEMBRE","DICEMBRE")&amp;" "&amp;YEAR(B737),"")</f>
        <v/>
      </c>
      <c r="B736" s="11"/>
      <c r="C736" s="12"/>
      <c r="D736" s="12" t="str">
        <f>IF(C736="","",C736-IF(C735&lt;&gt;"",C735,IF(C734&lt;&gt;"",C734,IF(C733&lt;&gt;"",C733,0))))</f>
        <v/>
      </c>
      <c r="E736" s="12"/>
      <c r="F736" s="12"/>
      <c r="G736" s="9" t="str">
        <f>IF(AND(E736="",F736=""),"",IF(OR(E736&gt;1,F736&gt;1),(F736-E736)/100,F736-E736))</f>
        <v/>
      </c>
      <c r="H736" s="12" t="str">
        <f>IF(G736="","",64*G736)</f>
        <v/>
      </c>
      <c r="I736" s="13"/>
      <c r="J736" s="13" t="str">
        <f>IFERROR(IF(OR(D736="",D736=0),"",I736/D736*100),"")</f>
        <v/>
      </c>
      <c r="K736" s="14"/>
      <c r="L736" s="13" t="str">
        <f>IF(I736="","",I736*K736)</f>
        <v/>
      </c>
      <c r="M736" s="13" t="str">
        <f>IF(B736="","",IFERROR(SUMPRODUCT(ISNUMBER(B$3:B736)*(MONTH(IF(ISNUMBER(B$3:B736),B$3:B736,1))=MONTH(B736))*(YEAR(IF(ISNUMBER(B$3:B736),B$3:B736,1))=YEAR(B736))*IF(ISNUMBER(L$3:L736),L$3:L736,0)),""))</f>
        <v/>
      </c>
      <c r="N736" s="6"/>
      <c r="O736" s="7" t="str">
        <f>IF(AND(B736="",ISNUMBER(B737)),CHOOSE(MONTH(B737),"GENNAIO","FEBBRAIO","MARZO","APRILE","MAGGIO","GIUGNO","LUGLIO","AGOSTO","SETTEMBRE","OTTOBRE","NOVEMBRE","DICEMBRE")&amp;" "&amp;YEAR(B737),"")</f>
        <v/>
      </c>
      <c r="P736" s="12" t="str">
        <f>IF(K736=0.2,"CASA","")</f>
        <v/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" customHeight="1" x14ac:dyDescent="0.2">
      <c r="A737" s="5" t="str">
        <f>IF(AND(B737="",ISNUMBER(B738)),CHOOSE(MONTH(B738),"GENNAIO","FEBBRAIO","MARZO","APRILE","MAGGIO","GIUGNO","LUGLIO","AGOSTO","SETTEMBRE","OTTOBRE","NOVEMBRE","DICEMBRE")&amp;" "&amp;YEAR(B738),"")</f>
        <v/>
      </c>
      <c r="B737" s="11"/>
      <c r="C737" s="12"/>
      <c r="D737" s="12" t="str">
        <f>IF(C737="","",C737-IF(C736&lt;&gt;"",C736,IF(C735&lt;&gt;"",C735,IF(C734&lt;&gt;"",C734,0))))</f>
        <v/>
      </c>
      <c r="E737" s="12"/>
      <c r="F737" s="12"/>
      <c r="G737" s="9" t="str">
        <f>IF(AND(E737="",F737=""),"",IF(OR(E737&gt;1,F737&gt;1),(F737-E737)/100,F737-E737))</f>
        <v/>
      </c>
      <c r="H737" s="12" t="str">
        <f>IF(G737="","",64*G737)</f>
        <v/>
      </c>
      <c r="I737" s="13"/>
      <c r="J737" s="13" t="str">
        <f>IFERROR(IF(OR(D737="",D737=0),"",I737/D737*100),"")</f>
        <v/>
      </c>
      <c r="K737" s="14"/>
      <c r="L737" s="13" t="str">
        <f>IF(I737="","",I737*K737)</f>
        <v/>
      </c>
      <c r="M737" s="13" t="str">
        <f>IF(B737="","",IFERROR(SUMPRODUCT(ISNUMBER(B$3:B737)*(MONTH(IF(ISNUMBER(B$3:B737),B$3:B737,1))=MONTH(B737))*(YEAR(IF(ISNUMBER(B$3:B737),B$3:B737,1))=YEAR(B737))*IF(ISNUMBER(L$3:L737),L$3:L737,0)),""))</f>
        <v/>
      </c>
      <c r="N737" s="6"/>
      <c r="O737" s="7" t="str">
        <f>IF(AND(B737="",ISNUMBER(B738)),CHOOSE(MONTH(B738),"GENNAIO","FEBBRAIO","MARZO","APRILE","MAGGIO","GIUGNO","LUGLIO","AGOSTO","SETTEMBRE","OTTOBRE","NOVEMBRE","DICEMBRE")&amp;" "&amp;YEAR(B738),"")</f>
        <v/>
      </c>
      <c r="P737" s="12" t="str">
        <f>IF(K737=0.2,"CASA","")</f>
        <v/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" customHeight="1" x14ac:dyDescent="0.2">
      <c r="A738" s="5" t="str">
        <f>IF(AND(B738="",ISNUMBER(B739)),CHOOSE(MONTH(B739),"GENNAIO","FEBBRAIO","MARZO","APRILE","MAGGIO","GIUGNO","LUGLIO","AGOSTO","SETTEMBRE","OTTOBRE","NOVEMBRE","DICEMBRE")&amp;" "&amp;YEAR(B739),"")</f>
        <v/>
      </c>
      <c r="B738" s="11"/>
      <c r="C738" s="12"/>
      <c r="D738" s="12" t="str">
        <f>IF(C738="","",C738-IF(C737&lt;&gt;"",C737,IF(C736&lt;&gt;"",C736,IF(C735&lt;&gt;"",C735,0))))</f>
        <v/>
      </c>
      <c r="E738" s="12"/>
      <c r="F738" s="12"/>
      <c r="G738" s="9" t="str">
        <f>IF(AND(E738="",F738=""),"",IF(OR(E738&gt;1,F738&gt;1),(F738-E738)/100,F738-E738))</f>
        <v/>
      </c>
      <c r="H738" s="12" t="str">
        <f>IF(G738="","",64*G738)</f>
        <v/>
      </c>
      <c r="I738" s="13"/>
      <c r="J738" s="13" t="str">
        <f>IFERROR(IF(OR(D738="",D738=0),"",I738/D738*100),"")</f>
        <v/>
      </c>
      <c r="K738" s="14"/>
      <c r="L738" s="13" t="str">
        <f>IF(I738="","",I738*K738)</f>
        <v/>
      </c>
      <c r="M738" s="13" t="str">
        <f>IF(B738="","",IFERROR(SUMPRODUCT(ISNUMBER(B$3:B738)*(MONTH(IF(ISNUMBER(B$3:B738),B$3:B738,1))=MONTH(B738))*(YEAR(IF(ISNUMBER(B$3:B738),B$3:B738,1))=YEAR(B738))*IF(ISNUMBER(L$3:L738),L$3:L738,0)),""))</f>
        <v/>
      </c>
      <c r="N738" s="6"/>
      <c r="O738" s="7" t="str">
        <f>IF(AND(B738="",ISNUMBER(B739)),CHOOSE(MONTH(B739),"GENNAIO","FEBBRAIO","MARZO","APRILE","MAGGIO","GIUGNO","LUGLIO","AGOSTO","SETTEMBRE","OTTOBRE","NOVEMBRE","DICEMBRE")&amp;" "&amp;YEAR(B739),"")</f>
        <v/>
      </c>
      <c r="P738" s="12" t="str">
        <f>IF(K738=0.2,"CASA","")</f>
        <v/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" customHeight="1" x14ac:dyDescent="0.2">
      <c r="A739" s="5" t="str">
        <f>IF(AND(B739="",ISNUMBER(B740)),CHOOSE(MONTH(B740),"GENNAIO","FEBBRAIO","MARZO","APRILE","MAGGIO","GIUGNO","LUGLIO","AGOSTO","SETTEMBRE","OTTOBRE","NOVEMBRE","DICEMBRE")&amp;" "&amp;YEAR(B740),"")</f>
        <v/>
      </c>
      <c r="B739" s="11"/>
      <c r="C739" s="12"/>
      <c r="D739" s="12" t="str">
        <f>IF(C739="","",C739-IF(C738&lt;&gt;"",C738,IF(C737&lt;&gt;"",C737,IF(C736&lt;&gt;"",C736,0))))</f>
        <v/>
      </c>
      <c r="E739" s="12"/>
      <c r="F739" s="12"/>
      <c r="G739" s="9" t="str">
        <f>IF(AND(E739="",F739=""),"",IF(OR(E739&gt;1,F739&gt;1),(F739-E739)/100,F739-E739))</f>
        <v/>
      </c>
      <c r="H739" s="12" t="str">
        <f>IF(G739="","",64*G739)</f>
        <v/>
      </c>
      <c r="I739" s="13"/>
      <c r="J739" s="13" t="str">
        <f>IFERROR(IF(OR(D739="",D739=0),"",I739/D739*100),"")</f>
        <v/>
      </c>
      <c r="K739" s="14"/>
      <c r="L739" s="13" t="str">
        <f>IF(I739="","",I739*K739)</f>
        <v/>
      </c>
      <c r="M739" s="13" t="str">
        <f>IF(B739="","",IFERROR(SUMPRODUCT(ISNUMBER(B$3:B739)*(MONTH(IF(ISNUMBER(B$3:B739),B$3:B739,1))=MONTH(B739))*(YEAR(IF(ISNUMBER(B$3:B739),B$3:B739,1))=YEAR(B739))*IF(ISNUMBER(L$3:L739),L$3:L739,0)),""))</f>
        <v/>
      </c>
      <c r="N739" s="6"/>
      <c r="O739" s="7" t="str">
        <f>IF(AND(B739="",ISNUMBER(B740)),CHOOSE(MONTH(B740),"GENNAIO","FEBBRAIO","MARZO","APRILE","MAGGIO","GIUGNO","LUGLIO","AGOSTO","SETTEMBRE","OTTOBRE","NOVEMBRE","DICEMBRE")&amp;" "&amp;YEAR(B740),"")</f>
        <v/>
      </c>
      <c r="P739" s="12" t="str">
        <f>IF(K739=0.2,"CASA","")</f>
        <v/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" customHeight="1" x14ac:dyDescent="0.2">
      <c r="A740" s="5" t="str">
        <f>IF(AND(B740="",ISNUMBER(B741)),CHOOSE(MONTH(B741),"GENNAIO","FEBBRAIO","MARZO","APRILE","MAGGIO","GIUGNO","LUGLIO","AGOSTO","SETTEMBRE","OTTOBRE","NOVEMBRE","DICEMBRE")&amp;" "&amp;YEAR(B741),"")</f>
        <v/>
      </c>
      <c r="B740" s="11"/>
      <c r="C740" s="12"/>
      <c r="D740" s="12" t="str">
        <f>IF(C740="","",C740-IF(C739&lt;&gt;"",C739,IF(C738&lt;&gt;"",C738,IF(C737&lt;&gt;"",C737,0))))</f>
        <v/>
      </c>
      <c r="E740" s="12"/>
      <c r="F740" s="12"/>
      <c r="G740" s="9" t="str">
        <f>IF(AND(E740="",F740=""),"",IF(OR(E740&gt;1,F740&gt;1),(F740-E740)/100,F740-E740))</f>
        <v/>
      </c>
      <c r="H740" s="12" t="str">
        <f>IF(G740="","",64*G740)</f>
        <v/>
      </c>
      <c r="I740" s="13"/>
      <c r="J740" s="13" t="str">
        <f>IFERROR(IF(OR(D740="",D740=0),"",I740/D740*100),"")</f>
        <v/>
      </c>
      <c r="K740" s="14"/>
      <c r="L740" s="13" t="str">
        <f>IF(I740="","",I740*K740)</f>
        <v/>
      </c>
      <c r="M740" s="13" t="str">
        <f>IF(B740="","",IFERROR(SUMPRODUCT(ISNUMBER(B$3:B740)*(MONTH(IF(ISNUMBER(B$3:B740),B$3:B740,1))=MONTH(B740))*(YEAR(IF(ISNUMBER(B$3:B740),B$3:B740,1))=YEAR(B740))*IF(ISNUMBER(L$3:L740),L$3:L740,0)),""))</f>
        <v/>
      </c>
      <c r="N740" s="6"/>
      <c r="O740" s="7" t="str">
        <f>IF(AND(B740="",ISNUMBER(B741)),CHOOSE(MONTH(B741),"GENNAIO","FEBBRAIO","MARZO","APRILE","MAGGIO","GIUGNO","LUGLIO","AGOSTO","SETTEMBRE","OTTOBRE","NOVEMBRE","DICEMBRE")&amp;" "&amp;YEAR(B741),"")</f>
        <v/>
      </c>
      <c r="P740" s="12" t="str">
        <f>IF(K740=0.2,"CASA","")</f>
        <v/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" customHeight="1" x14ac:dyDescent="0.2">
      <c r="A741" s="5" t="str">
        <f>IF(AND(B741="",ISNUMBER(B742)),CHOOSE(MONTH(B742),"GENNAIO","FEBBRAIO","MARZO","APRILE","MAGGIO","GIUGNO","LUGLIO","AGOSTO","SETTEMBRE","OTTOBRE","NOVEMBRE","DICEMBRE")&amp;" "&amp;YEAR(B742),"")</f>
        <v/>
      </c>
      <c r="B741" s="11"/>
      <c r="C741" s="12"/>
      <c r="D741" s="12" t="str">
        <f>IF(C741="","",C741-IF(C740&lt;&gt;"",C740,IF(C739&lt;&gt;"",C739,IF(C738&lt;&gt;"",C738,0))))</f>
        <v/>
      </c>
      <c r="E741" s="12"/>
      <c r="F741" s="12"/>
      <c r="G741" s="9" t="str">
        <f>IF(AND(E741="",F741=""),"",IF(OR(E741&gt;1,F741&gt;1),(F741-E741)/100,F741-E741))</f>
        <v/>
      </c>
      <c r="H741" s="12" t="str">
        <f>IF(G741="","",64*G741)</f>
        <v/>
      </c>
      <c r="I741" s="13"/>
      <c r="J741" s="13" t="str">
        <f>IFERROR(IF(OR(D741="",D741=0),"",I741/D741*100),"")</f>
        <v/>
      </c>
      <c r="K741" s="14"/>
      <c r="L741" s="13" t="str">
        <f>IF(I741="","",I741*K741)</f>
        <v/>
      </c>
      <c r="M741" s="13" t="str">
        <f>IF(B741="","",IFERROR(SUMPRODUCT(ISNUMBER(B$3:B741)*(MONTH(IF(ISNUMBER(B$3:B741),B$3:B741,1))=MONTH(B741))*(YEAR(IF(ISNUMBER(B$3:B741),B$3:B741,1))=YEAR(B741))*IF(ISNUMBER(L$3:L741),L$3:L741,0)),""))</f>
        <v/>
      </c>
      <c r="N741" s="6"/>
      <c r="O741" s="7" t="str">
        <f>IF(AND(B741="",ISNUMBER(B742)),CHOOSE(MONTH(B742),"GENNAIO","FEBBRAIO","MARZO","APRILE","MAGGIO","GIUGNO","LUGLIO","AGOSTO","SETTEMBRE","OTTOBRE","NOVEMBRE","DICEMBRE")&amp;" "&amp;YEAR(B742),"")</f>
        <v/>
      </c>
      <c r="P741" s="12" t="str">
        <f>IF(K741=0.2,"CASA","")</f>
        <v/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" customHeight="1" x14ac:dyDescent="0.2">
      <c r="A742" s="5" t="str">
        <f>IF(AND(B742="",ISNUMBER(B743)),CHOOSE(MONTH(B743),"GENNAIO","FEBBRAIO","MARZO","APRILE","MAGGIO","GIUGNO","LUGLIO","AGOSTO","SETTEMBRE","OTTOBRE","NOVEMBRE","DICEMBRE")&amp;" "&amp;YEAR(B743),"")</f>
        <v/>
      </c>
      <c r="B742" s="11"/>
      <c r="C742" s="12"/>
      <c r="D742" s="12" t="str">
        <f>IF(C742="","",C742-IF(C741&lt;&gt;"",C741,IF(C740&lt;&gt;"",C740,IF(C739&lt;&gt;"",C739,0))))</f>
        <v/>
      </c>
      <c r="E742" s="12"/>
      <c r="F742" s="12"/>
      <c r="G742" s="9" t="str">
        <f>IF(AND(E742="",F742=""),"",IF(OR(E742&gt;1,F742&gt;1),(F742-E742)/100,F742-E742))</f>
        <v/>
      </c>
      <c r="H742" s="12" t="str">
        <f>IF(G742="","",64*G742)</f>
        <v/>
      </c>
      <c r="I742" s="13"/>
      <c r="J742" s="13" t="str">
        <f>IFERROR(IF(OR(D742="",D742=0),"",I742/D742*100),"")</f>
        <v/>
      </c>
      <c r="K742" s="14"/>
      <c r="L742" s="13" t="str">
        <f>IF(I742="","",I742*K742)</f>
        <v/>
      </c>
      <c r="M742" s="13" t="str">
        <f>IF(B742="","",IFERROR(SUMPRODUCT(ISNUMBER(B$3:B742)*(MONTH(IF(ISNUMBER(B$3:B742),B$3:B742,1))=MONTH(B742))*(YEAR(IF(ISNUMBER(B$3:B742),B$3:B742,1))=YEAR(B742))*IF(ISNUMBER(L$3:L742),L$3:L742,0)),""))</f>
        <v/>
      </c>
      <c r="N742" s="6"/>
      <c r="O742" s="7" t="str">
        <f>IF(AND(B742="",ISNUMBER(B743)),CHOOSE(MONTH(B743),"GENNAIO","FEBBRAIO","MARZO","APRILE","MAGGIO","GIUGNO","LUGLIO","AGOSTO","SETTEMBRE","OTTOBRE","NOVEMBRE","DICEMBRE")&amp;" "&amp;YEAR(B743),"")</f>
        <v/>
      </c>
      <c r="P742" s="12" t="str">
        <f>IF(K742=0.2,"CASA","")</f>
        <v/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" customHeight="1" x14ac:dyDescent="0.2">
      <c r="A743" s="5" t="str">
        <f>IF(AND(B743="",ISNUMBER(B744)),CHOOSE(MONTH(B744),"GENNAIO","FEBBRAIO","MARZO","APRILE","MAGGIO","GIUGNO","LUGLIO","AGOSTO","SETTEMBRE","OTTOBRE","NOVEMBRE","DICEMBRE")&amp;" "&amp;YEAR(B744),"")</f>
        <v/>
      </c>
      <c r="B743" s="11"/>
      <c r="C743" s="12"/>
      <c r="D743" s="12" t="str">
        <f>IF(C743="","",C743-IF(C742&lt;&gt;"",C742,IF(C741&lt;&gt;"",C741,IF(C740&lt;&gt;"",C740,0))))</f>
        <v/>
      </c>
      <c r="E743" s="12"/>
      <c r="F743" s="12"/>
      <c r="G743" s="9" t="str">
        <f>IF(AND(E743="",F743=""),"",IF(OR(E743&gt;1,F743&gt;1),(F743-E743)/100,F743-E743))</f>
        <v/>
      </c>
      <c r="H743" s="12" t="str">
        <f>IF(G743="","",64*G743)</f>
        <v/>
      </c>
      <c r="I743" s="13"/>
      <c r="J743" s="13" t="str">
        <f>IFERROR(IF(OR(D743="",D743=0),"",I743/D743*100),"")</f>
        <v/>
      </c>
      <c r="K743" s="14"/>
      <c r="L743" s="13" t="str">
        <f>IF(I743="","",I743*K743)</f>
        <v/>
      </c>
      <c r="M743" s="13" t="str">
        <f>IF(B743="","",IFERROR(SUMPRODUCT(ISNUMBER(B$3:B743)*(MONTH(IF(ISNUMBER(B$3:B743),B$3:B743,1))=MONTH(B743))*(YEAR(IF(ISNUMBER(B$3:B743),B$3:B743,1))=YEAR(B743))*IF(ISNUMBER(L$3:L743),L$3:L743,0)),""))</f>
        <v/>
      </c>
      <c r="N743" s="6"/>
      <c r="O743" s="7" t="str">
        <f>IF(AND(B743="",ISNUMBER(B744)),CHOOSE(MONTH(B744),"GENNAIO","FEBBRAIO","MARZO","APRILE","MAGGIO","GIUGNO","LUGLIO","AGOSTO","SETTEMBRE","OTTOBRE","NOVEMBRE","DICEMBRE")&amp;" "&amp;YEAR(B744),"")</f>
        <v/>
      </c>
      <c r="P743" s="12" t="str">
        <f>IF(K743=0.2,"CASA","")</f>
        <v/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" customHeight="1" x14ac:dyDescent="0.2">
      <c r="A744" s="5" t="str">
        <f>IF(AND(B744="",ISNUMBER(B745)),CHOOSE(MONTH(B745),"GENNAIO","FEBBRAIO","MARZO","APRILE","MAGGIO","GIUGNO","LUGLIO","AGOSTO","SETTEMBRE","OTTOBRE","NOVEMBRE","DICEMBRE")&amp;" "&amp;YEAR(B745),"")</f>
        <v/>
      </c>
      <c r="B744" s="11"/>
      <c r="C744" s="12"/>
      <c r="D744" s="12" t="str">
        <f>IF(C744="","",C744-IF(C743&lt;&gt;"",C743,IF(C742&lt;&gt;"",C742,IF(C741&lt;&gt;"",C741,0))))</f>
        <v/>
      </c>
      <c r="E744" s="12"/>
      <c r="F744" s="12"/>
      <c r="G744" s="9" t="str">
        <f>IF(AND(E744="",F744=""),"",IF(OR(E744&gt;1,F744&gt;1),(F744-E744)/100,F744-E744))</f>
        <v/>
      </c>
      <c r="H744" s="12" t="str">
        <f>IF(G744="","",64*G744)</f>
        <v/>
      </c>
      <c r="I744" s="13"/>
      <c r="J744" s="13" t="str">
        <f>IFERROR(IF(OR(D744="",D744=0),"",I744/D744*100),"")</f>
        <v/>
      </c>
      <c r="K744" s="14"/>
      <c r="L744" s="13" t="str">
        <f>IF(I744="","",I744*K744)</f>
        <v/>
      </c>
      <c r="M744" s="13" t="str">
        <f>IF(B744="","",IFERROR(SUMPRODUCT(ISNUMBER(B$3:B744)*(MONTH(IF(ISNUMBER(B$3:B744),B$3:B744,1))=MONTH(B744))*(YEAR(IF(ISNUMBER(B$3:B744),B$3:B744,1))=YEAR(B744))*IF(ISNUMBER(L$3:L744),L$3:L744,0)),""))</f>
        <v/>
      </c>
      <c r="N744" s="6"/>
      <c r="O744" s="7" t="str">
        <f>IF(AND(B744="",ISNUMBER(B745)),CHOOSE(MONTH(B745),"GENNAIO","FEBBRAIO","MARZO","APRILE","MAGGIO","GIUGNO","LUGLIO","AGOSTO","SETTEMBRE","OTTOBRE","NOVEMBRE","DICEMBRE")&amp;" "&amp;YEAR(B745),"")</f>
        <v/>
      </c>
      <c r="P744" s="12" t="str">
        <f>IF(K744=0.2,"CASA","")</f>
        <v/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" customHeight="1" x14ac:dyDescent="0.2">
      <c r="A745" s="5" t="str">
        <f>IF(AND(B745="",ISNUMBER(B746)),CHOOSE(MONTH(B746),"GENNAIO","FEBBRAIO","MARZO","APRILE","MAGGIO","GIUGNO","LUGLIO","AGOSTO","SETTEMBRE","OTTOBRE","NOVEMBRE","DICEMBRE")&amp;" "&amp;YEAR(B746),"")</f>
        <v/>
      </c>
      <c r="B745" s="11"/>
      <c r="C745" s="12"/>
      <c r="D745" s="12" t="str">
        <f>IF(C745="","",C745-IF(C744&lt;&gt;"",C744,IF(C743&lt;&gt;"",C743,IF(C742&lt;&gt;"",C742,0))))</f>
        <v/>
      </c>
      <c r="E745" s="12"/>
      <c r="F745" s="12"/>
      <c r="G745" s="9" t="str">
        <f>IF(AND(E745="",F745=""),"",IF(OR(E745&gt;1,F745&gt;1),(F745-E745)/100,F745-E745))</f>
        <v/>
      </c>
      <c r="H745" s="12" t="str">
        <f>IF(G745="","",64*G745)</f>
        <v/>
      </c>
      <c r="I745" s="13"/>
      <c r="J745" s="13" t="str">
        <f>IFERROR(IF(OR(D745="",D745=0),"",I745/D745*100),"")</f>
        <v/>
      </c>
      <c r="K745" s="14"/>
      <c r="L745" s="13" t="str">
        <f>IF(I745="","",I745*K745)</f>
        <v/>
      </c>
      <c r="M745" s="13" t="str">
        <f>IF(B745="","",IFERROR(SUMPRODUCT(ISNUMBER(B$3:B745)*(MONTH(IF(ISNUMBER(B$3:B745),B$3:B745,1))=MONTH(B745))*(YEAR(IF(ISNUMBER(B$3:B745),B$3:B745,1))=YEAR(B745))*IF(ISNUMBER(L$3:L745),L$3:L745,0)),""))</f>
        <v/>
      </c>
      <c r="N745" s="6"/>
      <c r="O745" s="7" t="str">
        <f>IF(AND(B745="",ISNUMBER(B746)),CHOOSE(MONTH(B746),"GENNAIO","FEBBRAIO","MARZO","APRILE","MAGGIO","GIUGNO","LUGLIO","AGOSTO","SETTEMBRE","OTTOBRE","NOVEMBRE","DICEMBRE")&amp;" "&amp;YEAR(B746),"")</f>
        <v/>
      </c>
      <c r="P745" s="12" t="str">
        <f>IF(K745=0.2,"CASA","")</f>
        <v/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" customHeight="1" x14ac:dyDescent="0.2">
      <c r="A746" s="5" t="str">
        <f>IF(AND(B746="",ISNUMBER(B747)),CHOOSE(MONTH(B747),"GENNAIO","FEBBRAIO","MARZO","APRILE","MAGGIO","GIUGNO","LUGLIO","AGOSTO","SETTEMBRE","OTTOBRE","NOVEMBRE","DICEMBRE")&amp;" "&amp;YEAR(B747),"")</f>
        <v/>
      </c>
      <c r="B746" s="11"/>
      <c r="C746" s="12"/>
      <c r="D746" s="12" t="str">
        <f>IF(C746="","",C746-IF(C745&lt;&gt;"",C745,IF(C744&lt;&gt;"",C744,IF(C743&lt;&gt;"",C743,0))))</f>
        <v/>
      </c>
      <c r="E746" s="12"/>
      <c r="F746" s="12"/>
      <c r="G746" s="9" t="str">
        <f>IF(AND(E746="",F746=""),"",IF(OR(E746&gt;1,F746&gt;1),(F746-E746)/100,F746-E746))</f>
        <v/>
      </c>
      <c r="H746" s="12" t="str">
        <f>IF(G746="","",64*G746)</f>
        <v/>
      </c>
      <c r="I746" s="13"/>
      <c r="J746" s="13" t="str">
        <f>IFERROR(IF(OR(D746="",D746=0),"",I746/D746*100),"")</f>
        <v/>
      </c>
      <c r="K746" s="14"/>
      <c r="L746" s="13" t="str">
        <f>IF(I746="","",I746*K746)</f>
        <v/>
      </c>
      <c r="M746" s="13" t="str">
        <f>IF(B746="","",IFERROR(SUMPRODUCT(ISNUMBER(B$3:B746)*(MONTH(IF(ISNUMBER(B$3:B746),B$3:B746,1))=MONTH(B746))*(YEAR(IF(ISNUMBER(B$3:B746),B$3:B746,1))=YEAR(B746))*IF(ISNUMBER(L$3:L746),L$3:L746,0)),""))</f>
        <v/>
      </c>
      <c r="N746" s="6"/>
      <c r="O746" s="7" t="str">
        <f>IF(AND(B746="",ISNUMBER(B747)),CHOOSE(MONTH(B747),"GENNAIO","FEBBRAIO","MARZO","APRILE","MAGGIO","GIUGNO","LUGLIO","AGOSTO","SETTEMBRE","OTTOBRE","NOVEMBRE","DICEMBRE")&amp;" "&amp;YEAR(B747),"")</f>
        <v/>
      </c>
      <c r="P746" s="12" t="str">
        <f>IF(K746=0.2,"CASA","")</f>
        <v/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" customHeight="1" x14ac:dyDescent="0.2">
      <c r="A747" s="5" t="str">
        <f>IF(AND(B747="",ISNUMBER(B748)),CHOOSE(MONTH(B748),"GENNAIO","FEBBRAIO","MARZO","APRILE","MAGGIO","GIUGNO","LUGLIO","AGOSTO","SETTEMBRE","OTTOBRE","NOVEMBRE","DICEMBRE")&amp;" "&amp;YEAR(B748),"")</f>
        <v/>
      </c>
      <c r="B747" s="11"/>
      <c r="C747" s="12"/>
      <c r="D747" s="12" t="str">
        <f>IF(C747="","",C747-IF(C746&lt;&gt;"",C746,IF(C745&lt;&gt;"",C745,IF(C744&lt;&gt;"",C744,0))))</f>
        <v/>
      </c>
      <c r="E747" s="12"/>
      <c r="F747" s="12"/>
      <c r="G747" s="9" t="str">
        <f>IF(AND(E747="",F747=""),"",IF(OR(E747&gt;1,F747&gt;1),(F747-E747)/100,F747-E747))</f>
        <v/>
      </c>
      <c r="H747" s="12" t="str">
        <f>IF(G747="","",64*G747)</f>
        <v/>
      </c>
      <c r="I747" s="13"/>
      <c r="J747" s="13" t="str">
        <f>IFERROR(IF(OR(D747="",D747=0),"",I747/D747*100),"")</f>
        <v/>
      </c>
      <c r="K747" s="14"/>
      <c r="L747" s="13" t="str">
        <f>IF(I747="","",I747*K747)</f>
        <v/>
      </c>
      <c r="M747" s="13" t="str">
        <f>IF(B747="","",IFERROR(SUMPRODUCT(ISNUMBER(B$3:B747)*(MONTH(IF(ISNUMBER(B$3:B747),B$3:B747,1))=MONTH(B747))*(YEAR(IF(ISNUMBER(B$3:B747),B$3:B747,1))=YEAR(B747))*IF(ISNUMBER(L$3:L747),L$3:L747,0)),""))</f>
        <v/>
      </c>
      <c r="N747" s="6"/>
      <c r="O747" s="7" t="str">
        <f>IF(AND(B747="",ISNUMBER(B748)),CHOOSE(MONTH(B748),"GENNAIO","FEBBRAIO","MARZO","APRILE","MAGGIO","GIUGNO","LUGLIO","AGOSTO","SETTEMBRE","OTTOBRE","NOVEMBRE","DICEMBRE")&amp;" "&amp;YEAR(B748),"")</f>
        <v/>
      </c>
      <c r="P747" s="12" t="str">
        <f>IF(K747=0.2,"CASA","")</f>
        <v/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" customHeight="1" x14ac:dyDescent="0.2">
      <c r="A748" s="5" t="str">
        <f>IF(AND(B748="",ISNUMBER(B749)),CHOOSE(MONTH(B749),"GENNAIO","FEBBRAIO","MARZO","APRILE","MAGGIO","GIUGNO","LUGLIO","AGOSTO","SETTEMBRE","OTTOBRE","NOVEMBRE","DICEMBRE")&amp;" "&amp;YEAR(B749),"")</f>
        <v/>
      </c>
      <c r="B748" s="11"/>
      <c r="C748" s="12"/>
      <c r="D748" s="12" t="str">
        <f>IF(C748="","",C748-IF(C747&lt;&gt;"",C747,IF(C746&lt;&gt;"",C746,IF(C745&lt;&gt;"",C745,0))))</f>
        <v/>
      </c>
      <c r="E748" s="12"/>
      <c r="F748" s="12"/>
      <c r="G748" s="9" t="str">
        <f>IF(AND(E748="",F748=""),"",IF(OR(E748&gt;1,F748&gt;1),(F748-E748)/100,F748-E748))</f>
        <v/>
      </c>
      <c r="H748" s="12" t="str">
        <f>IF(G748="","",64*G748)</f>
        <v/>
      </c>
      <c r="I748" s="13"/>
      <c r="J748" s="13" t="str">
        <f>IFERROR(IF(OR(D748="",D748=0),"",I748/D748*100),"")</f>
        <v/>
      </c>
      <c r="K748" s="14"/>
      <c r="L748" s="13" t="str">
        <f>IF(I748="","",I748*K748)</f>
        <v/>
      </c>
      <c r="M748" s="13" t="str">
        <f>IF(B748="","",IFERROR(SUMPRODUCT(ISNUMBER(B$3:B748)*(MONTH(IF(ISNUMBER(B$3:B748),B$3:B748,1))=MONTH(B748))*(YEAR(IF(ISNUMBER(B$3:B748),B$3:B748,1))=YEAR(B748))*IF(ISNUMBER(L$3:L748),L$3:L748,0)),""))</f>
        <v/>
      </c>
      <c r="N748" s="6"/>
      <c r="O748" s="7" t="str">
        <f>IF(AND(B748="",ISNUMBER(B749)),CHOOSE(MONTH(B749),"GENNAIO","FEBBRAIO","MARZO","APRILE","MAGGIO","GIUGNO","LUGLIO","AGOSTO","SETTEMBRE","OTTOBRE","NOVEMBRE","DICEMBRE")&amp;" "&amp;YEAR(B749),"")</f>
        <v/>
      </c>
      <c r="P748" s="12" t="str">
        <f>IF(K748=0.2,"CASA","")</f>
        <v/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" customHeight="1" x14ac:dyDescent="0.2">
      <c r="A749" s="5" t="str">
        <f>IF(AND(B749="",ISNUMBER(B750)),CHOOSE(MONTH(B750),"GENNAIO","FEBBRAIO","MARZO","APRILE","MAGGIO","GIUGNO","LUGLIO","AGOSTO","SETTEMBRE","OTTOBRE","NOVEMBRE","DICEMBRE")&amp;" "&amp;YEAR(B750),"")</f>
        <v/>
      </c>
      <c r="B749" s="11"/>
      <c r="C749" s="12"/>
      <c r="D749" s="12" t="str">
        <f>IF(C749="","",C749-IF(C748&lt;&gt;"",C748,IF(C747&lt;&gt;"",C747,IF(C746&lt;&gt;"",C746,0))))</f>
        <v/>
      </c>
      <c r="E749" s="12"/>
      <c r="F749" s="12"/>
      <c r="G749" s="9" t="str">
        <f>IF(AND(E749="",F749=""),"",IF(OR(E749&gt;1,F749&gt;1),(F749-E749)/100,F749-E749))</f>
        <v/>
      </c>
      <c r="H749" s="12" t="str">
        <f>IF(G749="","",64*G749)</f>
        <v/>
      </c>
      <c r="I749" s="13"/>
      <c r="J749" s="13" t="str">
        <f>IFERROR(IF(OR(D749="",D749=0),"",I749/D749*100),"")</f>
        <v/>
      </c>
      <c r="K749" s="14"/>
      <c r="L749" s="13" t="str">
        <f>IF(I749="","",I749*K749)</f>
        <v/>
      </c>
      <c r="M749" s="13" t="str">
        <f>IF(B749="","",IFERROR(SUMPRODUCT(ISNUMBER(B$3:B749)*(MONTH(IF(ISNUMBER(B$3:B749),B$3:B749,1))=MONTH(B749))*(YEAR(IF(ISNUMBER(B$3:B749),B$3:B749,1))=YEAR(B749))*IF(ISNUMBER(L$3:L749),L$3:L749,0)),""))</f>
        <v/>
      </c>
      <c r="N749" s="6"/>
      <c r="O749" s="7" t="str">
        <f>IF(AND(B749="",ISNUMBER(B750)),CHOOSE(MONTH(B750),"GENNAIO","FEBBRAIO","MARZO","APRILE","MAGGIO","GIUGNO","LUGLIO","AGOSTO","SETTEMBRE","OTTOBRE","NOVEMBRE","DICEMBRE")&amp;" "&amp;YEAR(B750),"")</f>
        <v/>
      </c>
      <c r="P749" s="12" t="str">
        <f>IF(K749=0.2,"CASA","")</f>
        <v/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" customHeight="1" x14ac:dyDescent="0.2">
      <c r="A750" s="5" t="str">
        <f>IF(AND(B750="",ISNUMBER(B751)),CHOOSE(MONTH(B751),"GENNAIO","FEBBRAIO","MARZO","APRILE","MAGGIO","GIUGNO","LUGLIO","AGOSTO","SETTEMBRE","OTTOBRE","NOVEMBRE","DICEMBRE")&amp;" "&amp;YEAR(B751),"")</f>
        <v/>
      </c>
      <c r="B750" s="11"/>
      <c r="C750" s="12"/>
      <c r="D750" s="12" t="str">
        <f>IF(C750="","",C750-IF(C749&lt;&gt;"",C749,IF(C748&lt;&gt;"",C748,IF(C747&lt;&gt;"",C747,0))))</f>
        <v/>
      </c>
      <c r="E750" s="12"/>
      <c r="F750" s="12"/>
      <c r="G750" s="9" t="str">
        <f>IF(AND(E750="",F750=""),"",IF(OR(E750&gt;1,F750&gt;1),(F750-E750)/100,F750-E750))</f>
        <v/>
      </c>
      <c r="H750" s="12" t="str">
        <f>IF(G750="","",64*G750)</f>
        <v/>
      </c>
      <c r="I750" s="13"/>
      <c r="J750" s="13" t="str">
        <f>IFERROR(IF(OR(D750="",D750=0),"",I750/D750*100),"")</f>
        <v/>
      </c>
      <c r="K750" s="14"/>
      <c r="L750" s="13" t="str">
        <f>IF(I750="","",I750*K750)</f>
        <v/>
      </c>
      <c r="M750" s="13" t="str">
        <f>IF(B750="","",IFERROR(SUMPRODUCT(ISNUMBER(B$3:B750)*(MONTH(IF(ISNUMBER(B$3:B750),B$3:B750,1))=MONTH(B750))*(YEAR(IF(ISNUMBER(B$3:B750),B$3:B750,1))=YEAR(B750))*IF(ISNUMBER(L$3:L750),L$3:L750,0)),""))</f>
        <v/>
      </c>
      <c r="N750" s="6"/>
      <c r="O750" s="7" t="str">
        <f>IF(AND(B750="",ISNUMBER(B751)),CHOOSE(MONTH(B751),"GENNAIO","FEBBRAIO","MARZO","APRILE","MAGGIO","GIUGNO","LUGLIO","AGOSTO","SETTEMBRE","OTTOBRE","NOVEMBRE","DICEMBRE")&amp;" "&amp;YEAR(B751),"")</f>
        <v/>
      </c>
      <c r="P750" s="12" t="str">
        <f>IF(K750=0.2,"CASA","")</f>
        <v/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" customHeight="1" x14ac:dyDescent="0.2">
      <c r="A751" s="5" t="str">
        <f>IF(AND(B751="",ISNUMBER(B752)),CHOOSE(MONTH(B752),"GENNAIO","FEBBRAIO","MARZO","APRILE","MAGGIO","GIUGNO","LUGLIO","AGOSTO","SETTEMBRE","OTTOBRE","NOVEMBRE","DICEMBRE")&amp;" "&amp;YEAR(B752),"")</f>
        <v/>
      </c>
      <c r="B751" s="11"/>
      <c r="C751" s="12"/>
      <c r="D751" s="12" t="str">
        <f>IF(C751="","",C751-IF(C750&lt;&gt;"",C750,IF(C749&lt;&gt;"",C749,IF(C748&lt;&gt;"",C748,0))))</f>
        <v/>
      </c>
      <c r="E751" s="12"/>
      <c r="F751" s="12"/>
      <c r="G751" s="9" t="str">
        <f>IF(AND(E751="",F751=""),"",IF(OR(E751&gt;1,F751&gt;1),(F751-E751)/100,F751-E751))</f>
        <v/>
      </c>
      <c r="H751" s="12" t="str">
        <f>IF(G751="","",64*G751)</f>
        <v/>
      </c>
      <c r="I751" s="13"/>
      <c r="J751" s="13" t="str">
        <f>IFERROR(IF(OR(D751="",D751=0),"",I751/D751*100),"")</f>
        <v/>
      </c>
      <c r="K751" s="14"/>
      <c r="L751" s="13" t="str">
        <f>IF(I751="","",I751*K751)</f>
        <v/>
      </c>
      <c r="M751" s="13" t="str">
        <f>IF(B751="","",IFERROR(SUMPRODUCT(ISNUMBER(B$3:B751)*(MONTH(IF(ISNUMBER(B$3:B751),B$3:B751,1))=MONTH(B751))*(YEAR(IF(ISNUMBER(B$3:B751),B$3:B751,1))=YEAR(B751))*IF(ISNUMBER(L$3:L751),L$3:L751,0)),""))</f>
        <v/>
      </c>
      <c r="N751" s="6"/>
      <c r="O751" s="7" t="str">
        <f>IF(AND(B751="",ISNUMBER(B752)),CHOOSE(MONTH(B752),"GENNAIO","FEBBRAIO","MARZO","APRILE","MAGGIO","GIUGNO","LUGLIO","AGOSTO","SETTEMBRE","OTTOBRE","NOVEMBRE","DICEMBRE")&amp;" "&amp;YEAR(B752),"")</f>
        <v/>
      </c>
      <c r="P751" s="12" t="str">
        <f>IF(K751=0.2,"CASA","")</f>
        <v/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" customHeight="1" x14ac:dyDescent="0.2">
      <c r="A752" s="5" t="str">
        <f>IF(AND(B752="",ISNUMBER(B753)),CHOOSE(MONTH(B753),"GENNAIO","FEBBRAIO","MARZO","APRILE","MAGGIO","GIUGNO","LUGLIO","AGOSTO","SETTEMBRE","OTTOBRE","NOVEMBRE","DICEMBRE")&amp;" "&amp;YEAR(B753),"")</f>
        <v/>
      </c>
      <c r="B752" s="11"/>
      <c r="C752" s="12"/>
      <c r="D752" s="12" t="str">
        <f>IF(C752="","",C752-IF(C751&lt;&gt;"",C751,IF(C750&lt;&gt;"",C750,IF(C749&lt;&gt;"",C749,0))))</f>
        <v/>
      </c>
      <c r="E752" s="12"/>
      <c r="F752" s="12"/>
      <c r="G752" s="9" t="str">
        <f>IF(AND(E752="",F752=""),"",IF(OR(E752&gt;1,F752&gt;1),(F752-E752)/100,F752-E752))</f>
        <v/>
      </c>
      <c r="H752" s="12" t="str">
        <f>IF(G752="","",64*G752)</f>
        <v/>
      </c>
      <c r="I752" s="13"/>
      <c r="J752" s="13" t="str">
        <f>IFERROR(IF(OR(D752="",D752=0),"",I752/D752*100),"")</f>
        <v/>
      </c>
      <c r="K752" s="14"/>
      <c r="L752" s="13" t="str">
        <f>IF(I752="","",I752*K752)</f>
        <v/>
      </c>
      <c r="M752" s="13" t="str">
        <f>IF(B752="","",IFERROR(SUMPRODUCT(ISNUMBER(B$3:B752)*(MONTH(IF(ISNUMBER(B$3:B752),B$3:B752,1))=MONTH(B752))*(YEAR(IF(ISNUMBER(B$3:B752),B$3:B752,1))=YEAR(B752))*IF(ISNUMBER(L$3:L752),L$3:L752,0)),""))</f>
        <v/>
      </c>
      <c r="N752" s="6"/>
      <c r="O752" s="7" t="str">
        <f>IF(AND(B752="",ISNUMBER(B753)),CHOOSE(MONTH(B753),"GENNAIO","FEBBRAIO","MARZO","APRILE","MAGGIO","GIUGNO","LUGLIO","AGOSTO","SETTEMBRE","OTTOBRE","NOVEMBRE","DICEMBRE")&amp;" "&amp;YEAR(B753),"")</f>
        <v/>
      </c>
      <c r="P752" s="12" t="str">
        <f>IF(K752=0.2,"CASA","")</f>
        <v/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" customHeight="1" x14ac:dyDescent="0.2">
      <c r="A753" s="5" t="str">
        <f>IF(AND(B753="",ISNUMBER(B754)),CHOOSE(MONTH(B754),"GENNAIO","FEBBRAIO","MARZO","APRILE","MAGGIO","GIUGNO","LUGLIO","AGOSTO","SETTEMBRE","OTTOBRE","NOVEMBRE","DICEMBRE")&amp;" "&amp;YEAR(B754),"")</f>
        <v/>
      </c>
      <c r="B753" s="11"/>
      <c r="C753" s="12"/>
      <c r="D753" s="12" t="str">
        <f>IF(C753="","",C753-IF(C752&lt;&gt;"",C752,IF(C751&lt;&gt;"",C751,IF(C750&lt;&gt;"",C750,0))))</f>
        <v/>
      </c>
      <c r="E753" s="12"/>
      <c r="F753" s="12"/>
      <c r="G753" s="9" t="str">
        <f>IF(AND(E753="",F753=""),"",IF(OR(E753&gt;1,F753&gt;1),(F753-E753)/100,F753-E753))</f>
        <v/>
      </c>
      <c r="H753" s="12" t="str">
        <f>IF(G753="","",64*G753)</f>
        <v/>
      </c>
      <c r="I753" s="13"/>
      <c r="J753" s="13" t="str">
        <f>IFERROR(IF(OR(D753="",D753=0),"",I753/D753*100),"")</f>
        <v/>
      </c>
      <c r="K753" s="14"/>
      <c r="L753" s="13" t="str">
        <f>IF(I753="","",I753*K753)</f>
        <v/>
      </c>
      <c r="M753" s="13" t="str">
        <f>IF(B753="","",IFERROR(SUMPRODUCT(ISNUMBER(B$3:B753)*(MONTH(IF(ISNUMBER(B$3:B753),B$3:B753,1))=MONTH(B753))*(YEAR(IF(ISNUMBER(B$3:B753),B$3:B753,1))=YEAR(B753))*IF(ISNUMBER(L$3:L753),L$3:L753,0)),""))</f>
        <v/>
      </c>
      <c r="N753" s="6"/>
      <c r="O753" s="7" t="str">
        <f>IF(AND(B753="",ISNUMBER(B754)),CHOOSE(MONTH(B754),"GENNAIO","FEBBRAIO","MARZO","APRILE","MAGGIO","GIUGNO","LUGLIO","AGOSTO","SETTEMBRE","OTTOBRE","NOVEMBRE","DICEMBRE")&amp;" "&amp;YEAR(B754),"")</f>
        <v/>
      </c>
      <c r="P753" s="12" t="str">
        <f>IF(K753=0.2,"CASA","")</f>
        <v/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" customHeight="1" x14ac:dyDescent="0.2">
      <c r="A754" s="5" t="str">
        <f>IF(AND(B754="",ISNUMBER(B755)),CHOOSE(MONTH(B755),"GENNAIO","FEBBRAIO","MARZO","APRILE","MAGGIO","GIUGNO","LUGLIO","AGOSTO","SETTEMBRE","OTTOBRE","NOVEMBRE","DICEMBRE")&amp;" "&amp;YEAR(B755),"")</f>
        <v/>
      </c>
      <c r="B754" s="11"/>
      <c r="C754" s="12"/>
      <c r="D754" s="12" t="str">
        <f>IF(C754="","",C754-IF(C753&lt;&gt;"",C753,IF(C752&lt;&gt;"",C752,IF(C751&lt;&gt;"",C751,0))))</f>
        <v/>
      </c>
      <c r="E754" s="12"/>
      <c r="F754" s="12"/>
      <c r="G754" s="9" t="str">
        <f>IF(AND(E754="",F754=""),"",IF(OR(E754&gt;1,F754&gt;1),(F754-E754)/100,F754-E754))</f>
        <v/>
      </c>
      <c r="H754" s="12" t="str">
        <f>IF(G754="","",64*G754)</f>
        <v/>
      </c>
      <c r="I754" s="13"/>
      <c r="J754" s="13" t="str">
        <f>IFERROR(IF(OR(D754="",D754=0),"",I754/D754*100),"")</f>
        <v/>
      </c>
      <c r="K754" s="14"/>
      <c r="L754" s="13" t="str">
        <f>IF(I754="","",I754*K754)</f>
        <v/>
      </c>
      <c r="M754" s="13" t="str">
        <f>IF(B754="","",IFERROR(SUMPRODUCT(ISNUMBER(B$3:B754)*(MONTH(IF(ISNUMBER(B$3:B754),B$3:B754,1))=MONTH(B754))*(YEAR(IF(ISNUMBER(B$3:B754),B$3:B754,1))=YEAR(B754))*IF(ISNUMBER(L$3:L754),L$3:L754,0)),""))</f>
        <v/>
      </c>
      <c r="N754" s="6"/>
      <c r="O754" s="7" t="str">
        <f>IF(AND(B754="",ISNUMBER(B755)),CHOOSE(MONTH(B755),"GENNAIO","FEBBRAIO","MARZO","APRILE","MAGGIO","GIUGNO","LUGLIO","AGOSTO","SETTEMBRE","OTTOBRE","NOVEMBRE","DICEMBRE")&amp;" "&amp;YEAR(B755),"")</f>
        <v/>
      </c>
      <c r="P754" s="12" t="str">
        <f>IF(K754=0.2,"CASA","")</f>
        <v/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" customHeight="1" x14ac:dyDescent="0.2">
      <c r="A755" s="5" t="str">
        <f>IF(AND(B755="",ISNUMBER(B756)),CHOOSE(MONTH(B756),"GENNAIO","FEBBRAIO","MARZO","APRILE","MAGGIO","GIUGNO","LUGLIO","AGOSTO","SETTEMBRE","OTTOBRE","NOVEMBRE","DICEMBRE")&amp;" "&amp;YEAR(B756),"")</f>
        <v/>
      </c>
      <c r="B755" s="11"/>
      <c r="C755" s="12"/>
      <c r="D755" s="12" t="str">
        <f>IF(C755="","",C755-IF(C754&lt;&gt;"",C754,IF(C753&lt;&gt;"",C753,IF(C752&lt;&gt;"",C752,0))))</f>
        <v/>
      </c>
      <c r="E755" s="12"/>
      <c r="F755" s="12"/>
      <c r="G755" s="9" t="str">
        <f>IF(AND(E755="",F755=""),"",IF(OR(E755&gt;1,F755&gt;1),(F755-E755)/100,F755-E755))</f>
        <v/>
      </c>
      <c r="H755" s="12" t="str">
        <f>IF(G755="","",64*G755)</f>
        <v/>
      </c>
      <c r="I755" s="13"/>
      <c r="J755" s="13" t="str">
        <f>IFERROR(IF(OR(D755="",D755=0),"",I755/D755*100),"")</f>
        <v/>
      </c>
      <c r="K755" s="14"/>
      <c r="L755" s="13" t="str">
        <f>IF(I755="","",I755*K755)</f>
        <v/>
      </c>
      <c r="M755" s="13" t="str">
        <f>IF(B755="","",IFERROR(SUMPRODUCT(ISNUMBER(B$3:B755)*(MONTH(IF(ISNUMBER(B$3:B755),B$3:B755,1))=MONTH(B755))*(YEAR(IF(ISNUMBER(B$3:B755),B$3:B755,1))=YEAR(B755))*IF(ISNUMBER(L$3:L755),L$3:L755,0)),""))</f>
        <v/>
      </c>
      <c r="N755" s="6"/>
      <c r="O755" s="7" t="str">
        <f>IF(AND(B755="",ISNUMBER(B756)),CHOOSE(MONTH(B756),"GENNAIO","FEBBRAIO","MARZO","APRILE","MAGGIO","GIUGNO","LUGLIO","AGOSTO","SETTEMBRE","OTTOBRE","NOVEMBRE","DICEMBRE")&amp;" "&amp;YEAR(B756),"")</f>
        <v/>
      </c>
      <c r="P755" s="12" t="str">
        <f>IF(K755=0.2,"CASA","")</f>
        <v/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" customHeight="1" x14ac:dyDescent="0.2">
      <c r="A756" s="5" t="str">
        <f>IF(AND(B756="",ISNUMBER(B757)),CHOOSE(MONTH(B757),"GENNAIO","FEBBRAIO","MARZO","APRILE","MAGGIO","GIUGNO","LUGLIO","AGOSTO","SETTEMBRE","OTTOBRE","NOVEMBRE","DICEMBRE")&amp;" "&amp;YEAR(B757),"")</f>
        <v/>
      </c>
      <c r="B756" s="11"/>
      <c r="C756" s="12"/>
      <c r="D756" s="12" t="str">
        <f>IF(C756="","",C756-IF(C755&lt;&gt;"",C755,IF(C754&lt;&gt;"",C754,IF(C753&lt;&gt;"",C753,0))))</f>
        <v/>
      </c>
      <c r="E756" s="12"/>
      <c r="F756" s="12"/>
      <c r="G756" s="9" t="str">
        <f>IF(AND(E756="",F756=""),"",IF(OR(E756&gt;1,F756&gt;1),(F756-E756)/100,F756-E756))</f>
        <v/>
      </c>
      <c r="H756" s="12" t="str">
        <f>IF(G756="","",64*G756)</f>
        <v/>
      </c>
      <c r="I756" s="13"/>
      <c r="J756" s="13" t="str">
        <f>IFERROR(IF(OR(D756="",D756=0),"",I756/D756*100),"")</f>
        <v/>
      </c>
      <c r="K756" s="14"/>
      <c r="L756" s="13" t="str">
        <f>IF(I756="","",I756*K756)</f>
        <v/>
      </c>
      <c r="M756" s="13" t="str">
        <f>IF(B756="","",IFERROR(SUMPRODUCT(ISNUMBER(B$3:B756)*(MONTH(IF(ISNUMBER(B$3:B756),B$3:B756,1))=MONTH(B756))*(YEAR(IF(ISNUMBER(B$3:B756),B$3:B756,1))=YEAR(B756))*IF(ISNUMBER(L$3:L756),L$3:L756,0)),""))</f>
        <v/>
      </c>
      <c r="N756" s="6"/>
      <c r="O756" s="7" t="str">
        <f>IF(AND(B756="",ISNUMBER(B757)),CHOOSE(MONTH(B757),"GENNAIO","FEBBRAIO","MARZO","APRILE","MAGGIO","GIUGNO","LUGLIO","AGOSTO","SETTEMBRE","OTTOBRE","NOVEMBRE","DICEMBRE")&amp;" "&amp;YEAR(B757),"")</f>
        <v/>
      </c>
      <c r="P756" s="12" t="str">
        <f>IF(K756=0.2,"CASA","")</f>
        <v/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" customHeight="1" x14ac:dyDescent="0.2">
      <c r="A757" s="5" t="str">
        <f>IF(AND(B757="",ISNUMBER(B758)),CHOOSE(MONTH(B758),"GENNAIO","FEBBRAIO","MARZO","APRILE","MAGGIO","GIUGNO","LUGLIO","AGOSTO","SETTEMBRE","OTTOBRE","NOVEMBRE","DICEMBRE")&amp;" "&amp;YEAR(B758),"")</f>
        <v/>
      </c>
      <c r="B757" s="11"/>
      <c r="C757" s="12"/>
      <c r="D757" s="12" t="str">
        <f>IF(C757="","",C757-IF(C756&lt;&gt;"",C756,IF(C755&lt;&gt;"",C755,IF(C754&lt;&gt;"",C754,0))))</f>
        <v/>
      </c>
      <c r="E757" s="12"/>
      <c r="F757" s="12"/>
      <c r="G757" s="9" t="str">
        <f>IF(AND(E757="",F757=""),"",IF(OR(E757&gt;1,F757&gt;1),(F757-E757)/100,F757-E757))</f>
        <v/>
      </c>
      <c r="H757" s="12" t="str">
        <f>IF(G757="","",64*G757)</f>
        <v/>
      </c>
      <c r="I757" s="13"/>
      <c r="J757" s="13" t="str">
        <f>IFERROR(IF(OR(D757="",D757=0),"",I757/D757*100),"")</f>
        <v/>
      </c>
      <c r="K757" s="14"/>
      <c r="L757" s="13" t="str">
        <f>IF(I757="","",I757*K757)</f>
        <v/>
      </c>
      <c r="M757" s="13" t="str">
        <f>IF(B757="","",IFERROR(SUMPRODUCT(ISNUMBER(B$3:B757)*(MONTH(IF(ISNUMBER(B$3:B757),B$3:B757,1))=MONTH(B757))*(YEAR(IF(ISNUMBER(B$3:B757),B$3:B757,1))=YEAR(B757))*IF(ISNUMBER(L$3:L757),L$3:L757,0)),""))</f>
        <v/>
      </c>
      <c r="N757" s="6"/>
      <c r="O757" s="7" t="str">
        <f>IF(AND(B757="",ISNUMBER(B758)),CHOOSE(MONTH(B758),"GENNAIO","FEBBRAIO","MARZO","APRILE","MAGGIO","GIUGNO","LUGLIO","AGOSTO","SETTEMBRE","OTTOBRE","NOVEMBRE","DICEMBRE")&amp;" "&amp;YEAR(B758),"")</f>
        <v/>
      </c>
      <c r="P757" s="12" t="str">
        <f>IF(K757=0.2,"CASA","")</f>
        <v/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" customHeight="1" x14ac:dyDescent="0.2">
      <c r="A758" s="5" t="str">
        <f>IF(AND(B758="",ISNUMBER(B759)),CHOOSE(MONTH(B759),"GENNAIO","FEBBRAIO","MARZO","APRILE","MAGGIO","GIUGNO","LUGLIO","AGOSTO","SETTEMBRE","OTTOBRE","NOVEMBRE","DICEMBRE")&amp;" "&amp;YEAR(B759),"")</f>
        <v/>
      </c>
      <c r="B758" s="11"/>
      <c r="C758" s="12"/>
      <c r="D758" s="12" t="str">
        <f>IF(C758="","",C758-IF(C757&lt;&gt;"",C757,IF(C756&lt;&gt;"",C756,IF(C755&lt;&gt;"",C755,0))))</f>
        <v/>
      </c>
      <c r="E758" s="12"/>
      <c r="F758" s="12"/>
      <c r="G758" s="9" t="str">
        <f>IF(AND(E758="",F758=""),"",IF(OR(E758&gt;1,F758&gt;1),(F758-E758)/100,F758-E758))</f>
        <v/>
      </c>
      <c r="H758" s="12" t="str">
        <f>IF(G758="","",64*G758)</f>
        <v/>
      </c>
      <c r="I758" s="13"/>
      <c r="J758" s="13" t="str">
        <f>IFERROR(IF(OR(D758="",D758=0),"",I758/D758*100),"")</f>
        <v/>
      </c>
      <c r="K758" s="14"/>
      <c r="L758" s="13" t="str">
        <f>IF(I758="","",I758*K758)</f>
        <v/>
      </c>
      <c r="M758" s="13" t="str">
        <f>IF(B758="","",IFERROR(SUMPRODUCT(ISNUMBER(B$3:B758)*(MONTH(IF(ISNUMBER(B$3:B758),B$3:B758,1))=MONTH(B758))*(YEAR(IF(ISNUMBER(B$3:B758),B$3:B758,1))=YEAR(B758))*IF(ISNUMBER(L$3:L758),L$3:L758,0)),""))</f>
        <v/>
      </c>
      <c r="N758" s="6"/>
      <c r="O758" s="7" t="str">
        <f>IF(AND(B758="",ISNUMBER(B759)),CHOOSE(MONTH(B759),"GENNAIO","FEBBRAIO","MARZO","APRILE","MAGGIO","GIUGNO","LUGLIO","AGOSTO","SETTEMBRE","OTTOBRE","NOVEMBRE","DICEMBRE")&amp;" "&amp;YEAR(B759),"")</f>
        <v/>
      </c>
      <c r="P758" s="12" t="str">
        <f>IF(K758=0.2,"CASA","")</f>
        <v/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" customHeight="1" x14ac:dyDescent="0.2">
      <c r="A759" s="5" t="str">
        <f>IF(AND(B759="",ISNUMBER(B760)),CHOOSE(MONTH(B760),"GENNAIO","FEBBRAIO","MARZO","APRILE","MAGGIO","GIUGNO","LUGLIO","AGOSTO","SETTEMBRE","OTTOBRE","NOVEMBRE","DICEMBRE")&amp;" "&amp;YEAR(B760),"")</f>
        <v/>
      </c>
      <c r="B759" s="11"/>
      <c r="C759" s="12"/>
      <c r="D759" s="12" t="str">
        <f>IF(C759="","",C759-IF(C758&lt;&gt;"",C758,IF(C757&lt;&gt;"",C757,IF(C756&lt;&gt;"",C756,0))))</f>
        <v/>
      </c>
      <c r="E759" s="12"/>
      <c r="F759" s="12"/>
      <c r="G759" s="9" t="str">
        <f>IF(AND(E759="",F759=""),"",IF(OR(E759&gt;1,F759&gt;1),(F759-E759)/100,F759-E759))</f>
        <v/>
      </c>
      <c r="H759" s="12" t="str">
        <f>IF(G759="","",64*G759)</f>
        <v/>
      </c>
      <c r="I759" s="13"/>
      <c r="J759" s="13" t="str">
        <f>IFERROR(IF(OR(D759="",D759=0),"",I759/D759*100),"")</f>
        <v/>
      </c>
      <c r="K759" s="14"/>
      <c r="L759" s="13" t="str">
        <f>IF(I759="","",I759*K759)</f>
        <v/>
      </c>
      <c r="M759" s="13" t="str">
        <f>IF(B759="","",IFERROR(SUMPRODUCT(ISNUMBER(B$3:B759)*(MONTH(IF(ISNUMBER(B$3:B759),B$3:B759,1))=MONTH(B759))*(YEAR(IF(ISNUMBER(B$3:B759),B$3:B759,1))=YEAR(B759))*IF(ISNUMBER(L$3:L759),L$3:L759,0)),""))</f>
        <v/>
      </c>
      <c r="N759" s="6"/>
      <c r="O759" s="7" t="str">
        <f>IF(AND(B759="",ISNUMBER(B760)),CHOOSE(MONTH(B760),"GENNAIO","FEBBRAIO","MARZO","APRILE","MAGGIO","GIUGNO","LUGLIO","AGOSTO","SETTEMBRE","OTTOBRE","NOVEMBRE","DICEMBRE")&amp;" "&amp;YEAR(B760),"")</f>
        <v/>
      </c>
      <c r="P759" s="12" t="str">
        <f>IF(K759=0.2,"CASA","")</f>
        <v/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" customHeight="1" x14ac:dyDescent="0.2">
      <c r="A760" s="5" t="str">
        <f>IF(AND(B760="",ISNUMBER(B761)),CHOOSE(MONTH(B761),"GENNAIO","FEBBRAIO","MARZO","APRILE","MAGGIO","GIUGNO","LUGLIO","AGOSTO","SETTEMBRE","OTTOBRE","NOVEMBRE","DICEMBRE")&amp;" "&amp;YEAR(B761),"")</f>
        <v/>
      </c>
      <c r="B760" s="11"/>
      <c r="C760" s="12"/>
      <c r="D760" s="12" t="str">
        <f>IF(C760="","",C760-IF(C759&lt;&gt;"",C759,IF(C758&lt;&gt;"",C758,IF(C757&lt;&gt;"",C757,0))))</f>
        <v/>
      </c>
      <c r="E760" s="12"/>
      <c r="F760" s="12"/>
      <c r="G760" s="9" t="str">
        <f>IF(AND(E760="",F760=""),"",IF(OR(E760&gt;1,F760&gt;1),(F760-E760)/100,F760-E760))</f>
        <v/>
      </c>
      <c r="H760" s="12" t="str">
        <f>IF(G760="","",64*G760)</f>
        <v/>
      </c>
      <c r="I760" s="13"/>
      <c r="J760" s="13" t="str">
        <f>IFERROR(IF(OR(D760="",D760=0),"",I760/D760*100),"")</f>
        <v/>
      </c>
      <c r="K760" s="14"/>
      <c r="L760" s="13" t="str">
        <f>IF(I760="","",I760*K760)</f>
        <v/>
      </c>
      <c r="M760" s="13" t="str">
        <f>IF(B760="","",IFERROR(SUMPRODUCT(ISNUMBER(B$3:B760)*(MONTH(IF(ISNUMBER(B$3:B760),B$3:B760,1))=MONTH(B760))*(YEAR(IF(ISNUMBER(B$3:B760),B$3:B760,1))=YEAR(B760))*IF(ISNUMBER(L$3:L760),L$3:L760,0)),""))</f>
        <v/>
      </c>
      <c r="N760" s="6"/>
      <c r="O760" s="7" t="str">
        <f>IF(AND(B760="",ISNUMBER(B761)),CHOOSE(MONTH(B761),"GENNAIO","FEBBRAIO","MARZO","APRILE","MAGGIO","GIUGNO","LUGLIO","AGOSTO","SETTEMBRE","OTTOBRE","NOVEMBRE","DICEMBRE")&amp;" "&amp;YEAR(B761),"")</f>
        <v/>
      </c>
      <c r="P760" s="12" t="str">
        <f>IF(K760=0.2,"CASA","")</f>
        <v/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" customHeight="1" x14ac:dyDescent="0.2">
      <c r="A761" s="5" t="str">
        <f>IF(AND(B761="",ISNUMBER(B762)),CHOOSE(MONTH(B762),"GENNAIO","FEBBRAIO","MARZO","APRILE","MAGGIO","GIUGNO","LUGLIO","AGOSTO","SETTEMBRE","OTTOBRE","NOVEMBRE","DICEMBRE")&amp;" "&amp;YEAR(B762),"")</f>
        <v/>
      </c>
      <c r="B761" s="11"/>
      <c r="C761" s="12"/>
      <c r="D761" s="12" t="str">
        <f>IF(C761="","",C761-IF(C760&lt;&gt;"",C760,IF(C759&lt;&gt;"",C759,IF(C758&lt;&gt;"",C758,0))))</f>
        <v/>
      </c>
      <c r="E761" s="12"/>
      <c r="F761" s="12"/>
      <c r="G761" s="9" t="str">
        <f>IF(AND(E761="",F761=""),"",IF(OR(E761&gt;1,F761&gt;1),(F761-E761)/100,F761-E761))</f>
        <v/>
      </c>
      <c r="H761" s="12" t="str">
        <f>IF(G761="","",64*G761)</f>
        <v/>
      </c>
      <c r="I761" s="13"/>
      <c r="J761" s="13" t="str">
        <f>IFERROR(IF(OR(D761="",D761=0),"",I761/D761*100),"")</f>
        <v/>
      </c>
      <c r="K761" s="14"/>
      <c r="L761" s="13" t="str">
        <f>IF(I761="","",I761*K761)</f>
        <v/>
      </c>
      <c r="M761" s="13" t="str">
        <f>IF(B761="","",IFERROR(SUMPRODUCT(ISNUMBER(B$3:B761)*(MONTH(IF(ISNUMBER(B$3:B761),B$3:B761,1))=MONTH(B761))*(YEAR(IF(ISNUMBER(B$3:B761),B$3:B761,1))=YEAR(B761))*IF(ISNUMBER(L$3:L761),L$3:L761,0)),""))</f>
        <v/>
      </c>
      <c r="N761" s="6"/>
      <c r="O761" s="7" t="str">
        <f>IF(AND(B761="",ISNUMBER(B762)),CHOOSE(MONTH(B762),"GENNAIO","FEBBRAIO","MARZO","APRILE","MAGGIO","GIUGNO","LUGLIO","AGOSTO","SETTEMBRE","OTTOBRE","NOVEMBRE","DICEMBRE")&amp;" "&amp;YEAR(B762),"")</f>
        <v/>
      </c>
      <c r="P761" s="12" t="str">
        <f>IF(K761=0.2,"CASA","")</f>
        <v/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" customHeight="1" x14ac:dyDescent="0.2">
      <c r="A762" s="5" t="str">
        <f>IF(AND(B762="",ISNUMBER(B763)),CHOOSE(MONTH(B763),"GENNAIO","FEBBRAIO","MARZO","APRILE","MAGGIO","GIUGNO","LUGLIO","AGOSTO","SETTEMBRE","OTTOBRE","NOVEMBRE","DICEMBRE")&amp;" "&amp;YEAR(B763),"")</f>
        <v/>
      </c>
      <c r="B762" s="11"/>
      <c r="C762" s="12"/>
      <c r="D762" s="12" t="str">
        <f>IF(C762="","",C762-IF(C761&lt;&gt;"",C761,IF(C760&lt;&gt;"",C760,IF(C759&lt;&gt;"",C759,0))))</f>
        <v/>
      </c>
      <c r="E762" s="12"/>
      <c r="F762" s="12"/>
      <c r="G762" s="9" t="str">
        <f>IF(AND(E762="",F762=""),"",IF(OR(E762&gt;1,F762&gt;1),(F762-E762)/100,F762-E762))</f>
        <v/>
      </c>
      <c r="H762" s="12" t="str">
        <f>IF(G762="","",64*G762)</f>
        <v/>
      </c>
      <c r="I762" s="13"/>
      <c r="J762" s="13" t="str">
        <f>IFERROR(IF(OR(D762="",D762=0),"",I762/D762*100),"")</f>
        <v/>
      </c>
      <c r="K762" s="14"/>
      <c r="L762" s="13" t="str">
        <f>IF(I762="","",I762*K762)</f>
        <v/>
      </c>
      <c r="M762" s="13" t="str">
        <f>IF(B762="","",IFERROR(SUMPRODUCT(ISNUMBER(B$3:B762)*(MONTH(IF(ISNUMBER(B$3:B762),B$3:B762,1))=MONTH(B762))*(YEAR(IF(ISNUMBER(B$3:B762),B$3:B762,1))=YEAR(B762))*IF(ISNUMBER(L$3:L762),L$3:L762,0)),""))</f>
        <v/>
      </c>
      <c r="N762" s="6"/>
      <c r="O762" s="7" t="str">
        <f>IF(AND(B762="",ISNUMBER(B763)),CHOOSE(MONTH(B763),"GENNAIO","FEBBRAIO","MARZO","APRILE","MAGGIO","GIUGNO","LUGLIO","AGOSTO","SETTEMBRE","OTTOBRE","NOVEMBRE","DICEMBRE")&amp;" "&amp;YEAR(B763),"")</f>
        <v/>
      </c>
      <c r="P762" s="12" t="str">
        <f>IF(K762=0.2,"CASA","")</f>
        <v/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" customHeight="1" x14ac:dyDescent="0.2">
      <c r="A763" s="5" t="str">
        <f>IF(AND(B763="",ISNUMBER(B764)),CHOOSE(MONTH(B764),"GENNAIO","FEBBRAIO","MARZO","APRILE","MAGGIO","GIUGNO","LUGLIO","AGOSTO","SETTEMBRE","OTTOBRE","NOVEMBRE","DICEMBRE")&amp;" "&amp;YEAR(B764),"")</f>
        <v/>
      </c>
      <c r="B763" s="11"/>
      <c r="C763" s="12"/>
      <c r="D763" s="12" t="str">
        <f>IF(C763="","",C763-IF(C762&lt;&gt;"",C762,IF(C761&lt;&gt;"",C761,IF(C760&lt;&gt;"",C760,0))))</f>
        <v/>
      </c>
      <c r="E763" s="12"/>
      <c r="F763" s="12"/>
      <c r="G763" s="9" t="str">
        <f>IF(AND(E763="",F763=""),"",IF(OR(E763&gt;1,F763&gt;1),(F763-E763)/100,F763-E763))</f>
        <v/>
      </c>
      <c r="H763" s="12" t="str">
        <f>IF(G763="","",64*G763)</f>
        <v/>
      </c>
      <c r="I763" s="13"/>
      <c r="J763" s="13" t="str">
        <f>IFERROR(IF(OR(D763="",D763=0),"",I763/D763*100),"")</f>
        <v/>
      </c>
      <c r="K763" s="14"/>
      <c r="L763" s="13" t="str">
        <f>IF(I763="","",I763*K763)</f>
        <v/>
      </c>
      <c r="M763" s="13" t="str">
        <f>IF(B763="","",IFERROR(SUMPRODUCT(ISNUMBER(B$3:B763)*(MONTH(IF(ISNUMBER(B$3:B763),B$3:B763,1))=MONTH(B763))*(YEAR(IF(ISNUMBER(B$3:B763),B$3:B763,1))=YEAR(B763))*IF(ISNUMBER(L$3:L763),L$3:L763,0)),""))</f>
        <v/>
      </c>
      <c r="N763" s="6"/>
      <c r="O763" s="7" t="str">
        <f>IF(AND(B763="",ISNUMBER(B764)),CHOOSE(MONTH(B764),"GENNAIO","FEBBRAIO","MARZO","APRILE","MAGGIO","GIUGNO","LUGLIO","AGOSTO","SETTEMBRE","OTTOBRE","NOVEMBRE","DICEMBRE")&amp;" "&amp;YEAR(B764),"")</f>
        <v/>
      </c>
      <c r="P763" s="12" t="str">
        <f>IF(K763=0.2,"CASA","")</f>
        <v/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" customHeight="1" x14ac:dyDescent="0.2">
      <c r="A764" s="5" t="str">
        <f>IF(AND(B764="",ISNUMBER(B765)),CHOOSE(MONTH(B765),"GENNAIO","FEBBRAIO","MARZO","APRILE","MAGGIO","GIUGNO","LUGLIO","AGOSTO","SETTEMBRE","OTTOBRE","NOVEMBRE","DICEMBRE")&amp;" "&amp;YEAR(B765),"")</f>
        <v/>
      </c>
      <c r="B764" s="11"/>
      <c r="C764" s="12"/>
      <c r="D764" s="12" t="str">
        <f>IF(C764="","",C764-IF(C763&lt;&gt;"",C763,IF(C762&lt;&gt;"",C762,IF(C761&lt;&gt;"",C761,0))))</f>
        <v/>
      </c>
      <c r="E764" s="12"/>
      <c r="F764" s="12"/>
      <c r="G764" s="9" t="str">
        <f>IF(AND(E764="",F764=""),"",IF(OR(E764&gt;1,F764&gt;1),(F764-E764)/100,F764-E764))</f>
        <v/>
      </c>
      <c r="H764" s="12" t="str">
        <f>IF(G764="","",64*G764)</f>
        <v/>
      </c>
      <c r="I764" s="13"/>
      <c r="J764" s="13" t="str">
        <f>IFERROR(IF(OR(D764="",D764=0),"",I764/D764*100),"")</f>
        <v/>
      </c>
      <c r="K764" s="14"/>
      <c r="L764" s="13" t="str">
        <f>IF(I764="","",I764*K764)</f>
        <v/>
      </c>
      <c r="M764" s="13" t="str">
        <f>IF(B764="","",IFERROR(SUMPRODUCT(ISNUMBER(B$3:B764)*(MONTH(IF(ISNUMBER(B$3:B764),B$3:B764,1))=MONTH(B764))*(YEAR(IF(ISNUMBER(B$3:B764),B$3:B764,1))=YEAR(B764))*IF(ISNUMBER(L$3:L764),L$3:L764,0)),""))</f>
        <v/>
      </c>
      <c r="N764" s="6"/>
      <c r="O764" s="7" t="str">
        <f>IF(AND(B764="",ISNUMBER(B765)),CHOOSE(MONTH(B765),"GENNAIO","FEBBRAIO","MARZO","APRILE","MAGGIO","GIUGNO","LUGLIO","AGOSTO","SETTEMBRE","OTTOBRE","NOVEMBRE","DICEMBRE")&amp;" "&amp;YEAR(B765),"")</f>
        <v/>
      </c>
      <c r="P764" s="12" t="str">
        <f>IF(K764=0.2,"CASA","")</f>
        <v/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" customHeight="1" x14ac:dyDescent="0.2">
      <c r="A765" s="5" t="str">
        <f>IF(AND(B765="",ISNUMBER(B766)),CHOOSE(MONTH(B766),"GENNAIO","FEBBRAIO","MARZO","APRILE","MAGGIO","GIUGNO","LUGLIO","AGOSTO","SETTEMBRE","OTTOBRE","NOVEMBRE","DICEMBRE")&amp;" "&amp;YEAR(B766),"")</f>
        <v/>
      </c>
      <c r="B765" s="11"/>
      <c r="C765" s="12"/>
      <c r="D765" s="12" t="str">
        <f>IF(C765="","",C765-IF(C764&lt;&gt;"",C764,IF(C763&lt;&gt;"",C763,IF(C762&lt;&gt;"",C762,0))))</f>
        <v/>
      </c>
      <c r="E765" s="12"/>
      <c r="F765" s="12"/>
      <c r="G765" s="9" t="str">
        <f>IF(AND(E765="",F765=""),"",IF(OR(E765&gt;1,F765&gt;1),(F765-E765)/100,F765-E765))</f>
        <v/>
      </c>
      <c r="H765" s="12" t="str">
        <f>IF(G765="","",64*G765)</f>
        <v/>
      </c>
      <c r="I765" s="13"/>
      <c r="J765" s="13" t="str">
        <f>IFERROR(IF(OR(D765="",D765=0),"",I765/D765*100),"")</f>
        <v/>
      </c>
      <c r="K765" s="14"/>
      <c r="L765" s="13" t="str">
        <f>IF(I765="","",I765*K765)</f>
        <v/>
      </c>
      <c r="M765" s="13" t="str">
        <f>IF(B765="","",IFERROR(SUMPRODUCT(ISNUMBER(B$3:B765)*(MONTH(IF(ISNUMBER(B$3:B765),B$3:B765,1))=MONTH(B765))*(YEAR(IF(ISNUMBER(B$3:B765),B$3:B765,1))=YEAR(B765))*IF(ISNUMBER(L$3:L765),L$3:L765,0)),""))</f>
        <v/>
      </c>
      <c r="N765" s="6"/>
      <c r="O765" s="7" t="str">
        <f>IF(AND(B765="",ISNUMBER(B766)),CHOOSE(MONTH(B766),"GENNAIO","FEBBRAIO","MARZO","APRILE","MAGGIO","GIUGNO","LUGLIO","AGOSTO","SETTEMBRE","OTTOBRE","NOVEMBRE","DICEMBRE")&amp;" "&amp;YEAR(B766),"")</f>
        <v/>
      </c>
      <c r="P765" s="12" t="str">
        <f>IF(K765=0.2,"CASA","")</f>
        <v/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" customHeight="1" x14ac:dyDescent="0.2">
      <c r="A766" s="5" t="str">
        <f>IF(AND(B766="",ISNUMBER(B767)),CHOOSE(MONTH(B767),"GENNAIO","FEBBRAIO","MARZO","APRILE","MAGGIO","GIUGNO","LUGLIO","AGOSTO","SETTEMBRE","OTTOBRE","NOVEMBRE","DICEMBRE")&amp;" "&amp;YEAR(B767),"")</f>
        <v/>
      </c>
      <c r="B766" s="11"/>
      <c r="C766" s="12"/>
      <c r="D766" s="12" t="str">
        <f>IF(C766="","",C766-IF(C765&lt;&gt;"",C765,IF(C764&lt;&gt;"",C764,IF(C763&lt;&gt;"",C763,0))))</f>
        <v/>
      </c>
      <c r="E766" s="12"/>
      <c r="F766" s="12"/>
      <c r="G766" s="9" t="str">
        <f>IF(AND(E766="",F766=""),"",IF(OR(E766&gt;1,F766&gt;1),(F766-E766)/100,F766-E766))</f>
        <v/>
      </c>
      <c r="H766" s="12" t="str">
        <f>IF(G766="","",64*G766)</f>
        <v/>
      </c>
      <c r="I766" s="13"/>
      <c r="J766" s="13" t="str">
        <f>IFERROR(IF(OR(D766="",D766=0),"",I766/D766*100),"")</f>
        <v/>
      </c>
      <c r="K766" s="14"/>
      <c r="L766" s="13" t="str">
        <f>IF(I766="","",I766*K766)</f>
        <v/>
      </c>
      <c r="M766" s="13" t="str">
        <f>IF(B766="","",IFERROR(SUMPRODUCT(ISNUMBER(B$3:B766)*(MONTH(IF(ISNUMBER(B$3:B766),B$3:B766,1))=MONTH(B766))*(YEAR(IF(ISNUMBER(B$3:B766),B$3:B766,1))=YEAR(B766))*IF(ISNUMBER(L$3:L766),L$3:L766,0)),""))</f>
        <v/>
      </c>
      <c r="N766" s="6"/>
      <c r="O766" s="7" t="str">
        <f>IF(AND(B766="",ISNUMBER(B767)),CHOOSE(MONTH(B767),"GENNAIO","FEBBRAIO","MARZO","APRILE","MAGGIO","GIUGNO","LUGLIO","AGOSTO","SETTEMBRE","OTTOBRE","NOVEMBRE","DICEMBRE")&amp;" "&amp;YEAR(B767),"")</f>
        <v/>
      </c>
      <c r="P766" s="12" t="str">
        <f>IF(K766=0.2,"CASA","")</f>
        <v/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" customHeight="1" x14ac:dyDescent="0.2">
      <c r="A767" s="5" t="str">
        <f>IF(AND(B767="",ISNUMBER(B768)),CHOOSE(MONTH(B768),"GENNAIO","FEBBRAIO","MARZO","APRILE","MAGGIO","GIUGNO","LUGLIO","AGOSTO","SETTEMBRE","OTTOBRE","NOVEMBRE","DICEMBRE")&amp;" "&amp;YEAR(B768),"")</f>
        <v/>
      </c>
      <c r="B767" s="11"/>
      <c r="C767" s="12"/>
      <c r="D767" s="12" t="str">
        <f>IF(C767="","",C767-IF(C766&lt;&gt;"",C766,IF(C765&lt;&gt;"",C765,IF(C764&lt;&gt;"",C764,0))))</f>
        <v/>
      </c>
      <c r="E767" s="12"/>
      <c r="F767" s="12"/>
      <c r="G767" s="9" t="str">
        <f>IF(AND(E767="",F767=""),"",IF(OR(E767&gt;1,F767&gt;1),(F767-E767)/100,F767-E767))</f>
        <v/>
      </c>
      <c r="H767" s="12" t="str">
        <f>IF(G767="","",64*G767)</f>
        <v/>
      </c>
      <c r="I767" s="13"/>
      <c r="J767" s="13" t="str">
        <f>IFERROR(IF(OR(D767="",D767=0),"",I767/D767*100),"")</f>
        <v/>
      </c>
      <c r="K767" s="14"/>
      <c r="L767" s="13" t="str">
        <f>IF(I767="","",I767*K767)</f>
        <v/>
      </c>
      <c r="M767" s="13" t="str">
        <f>IF(B767="","",IFERROR(SUMPRODUCT(ISNUMBER(B$3:B767)*(MONTH(IF(ISNUMBER(B$3:B767),B$3:B767,1))=MONTH(B767))*(YEAR(IF(ISNUMBER(B$3:B767),B$3:B767,1))=YEAR(B767))*IF(ISNUMBER(L$3:L767),L$3:L767,0)),""))</f>
        <v/>
      </c>
      <c r="N767" s="6"/>
      <c r="O767" s="7" t="str">
        <f>IF(AND(B767="",ISNUMBER(B768)),CHOOSE(MONTH(B768),"GENNAIO","FEBBRAIO","MARZO","APRILE","MAGGIO","GIUGNO","LUGLIO","AGOSTO","SETTEMBRE","OTTOBRE","NOVEMBRE","DICEMBRE")&amp;" "&amp;YEAR(B768),"")</f>
        <v/>
      </c>
      <c r="P767" s="12" t="str">
        <f>IF(K767=0.2,"CASA","")</f>
        <v/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" customHeight="1" x14ac:dyDescent="0.2">
      <c r="A768" s="5" t="str">
        <f>IF(AND(B768="",ISNUMBER(B769)),CHOOSE(MONTH(B769),"GENNAIO","FEBBRAIO","MARZO","APRILE","MAGGIO","GIUGNO","LUGLIO","AGOSTO","SETTEMBRE","OTTOBRE","NOVEMBRE","DICEMBRE")&amp;" "&amp;YEAR(B769),"")</f>
        <v/>
      </c>
      <c r="B768" s="11"/>
      <c r="C768" s="12"/>
      <c r="D768" s="12" t="str">
        <f>IF(C768="","",C768-IF(C767&lt;&gt;"",C767,IF(C766&lt;&gt;"",C766,IF(C765&lt;&gt;"",C765,0))))</f>
        <v/>
      </c>
      <c r="E768" s="12"/>
      <c r="F768" s="12"/>
      <c r="G768" s="9" t="str">
        <f>IF(AND(E768="",F768=""),"",IF(OR(E768&gt;1,F768&gt;1),(F768-E768)/100,F768-E768))</f>
        <v/>
      </c>
      <c r="H768" s="12" t="str">
        <f>IF(G768="","",64*G768)</f>
        <v/>
      </c>
      <c r="I768" s="13"/>
      <c r="J768" s="13" t="str">
        <f>IFERROR(IF(OR(D768="",D768=0),"",I768/D768*100),"")</f>
        <v/>
      </c>
      <c r="K768" s="14"/>
      <c r="L768" s="13" t="str">
        <f>IF(I768="","",I768*K768)</f>
        <v/>
      </c>
      <c r="M768" s="13" t="str">
        <f>IF(B768="","",IFERROR(SUMPRODUCT(ISNUMBER(B$3:B768)*(MONTH(IF(ISNUMBER(B$3:B768),B$3:B768,1))=MONTH(B768))*(YEAR(IF(ISNUMBER(B$3:B768),B$3:B768,1))=YEAR(B768))*IF(ISNUMBER(L$3:L768),L$3:L768,0)),""))</f>
        <v/>
      </c>
      <c r="N768" s="6"/>
      <c r="O768" s="7" t="str">
        <f>IF(AND(B768="",ISNUMBER(B769)),CHOOSE(MONTH(B769),"GENNAIO","FEBBRAIO","MARZO","APRILE","MAGGIO","GIUGNO","LUGLIO","AGOSTO","SETTEMBRE","OTTOBRE","NOVEMBRE","DICEMBRE")&amp;" "&amp;YEAR(B769),"")</f>
        <v/>
      </c>
      <c r="P768" s="12" t="str">
        <f>IF(K768=0.2,"CASA","")</f>
        <v/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" customHeight="1" x14ac:dyDescent="0.2">
      <c r="A769" s="5" t="str">
        <f>IF(AND(B769="",ISNUMBER(B770)),CHOOSE(MONTH(B770),"GENNAIO","FEBBRAIO","MARZO","APRILE","MAGGIO","GIUGNO","LUGLIO","AGOSTO","SETTEMBRE","OTTOBRE","NOVEMBRE","DICEMBRE")&amp;" "&amp;YEAR(B770),"")</f>
        <v/>
      </c>
      <c r="B769" s="11"/>
      <c r="C769" s="12"/>
      <c r="D769" s="12" t="str">
        <f>IF(C769="","",C769-IF(C768&lt;&gt;"",C768,IF(C767&lt;&gt;"",C767,IF(C766&lt;&gt;"",C766,0))))</f>
        <v/>
      </c>
      <c r="E769" s="12"/>
      <c r="F769" s="12"/>
      <c r="G769" s="9" t="str">
        <f>IF(AND(E769="",F769=""),"",IF(OR(E769&gt;1,F769&gt;1),(F769-E769)/100,F769-E769))</f>
        <v/>
      </c>
      <c r="H769" s="12" t="str">
        <f>IF(G769="","",64*G769)</f>
        <v/>
      </c>
      <c r="I769" s="13"/>
      <c r="J769" s="13" t="str">
        <f>IFERROR(IF(OR(D769="",D769=0),"",I769/D769*100),"")</f>
        <v/>
      </c>
      <c r="K769" s="14"/>
      <c r="L769" s="13" t="str">
        <f>IF(I769="","",I769*K769)</f>
        <v/>
      </c>
      <c r="M769" s="13" t="str">
        <f>IF(B769="","",IFERROR(SUMPRODUCT(ISNUMBER(B$3:B769)*(MONTH(IF(ISNUMBER(B$3:B769),B$3:B769,1))=MONTH(B769))*(YEAR(IF(ISNUMBER(B$3:B769),B$3:B769,1))=YEAR(B769))*IF(ISNUMBER(L$3:L769),L$3:L769,0)),""))</f>
        <v/>
      </c>
      <c r="N769" s="6"/>
      <c r="O769" s="7" t="str">
        <f>IF(AND(B769="",ISNUMBER(B770)),CHOOSE(MONTH(B770),"GENNAIO","FEBBRAIO","MARZO","APRILE","MAGGIO","GIUGNO","LUGLIO","AGOSTO","SETTEMBRE","OTTOBRE","NOVEMBRE","DICEMBRE")&amp;" "&amp;YEAR(B770),"")</f>
        <v/>
      </c>
      <c r="P769" s="12" t="str">
        <f>IF(K769=0.2,"CASA","")</f>
        <v/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" customHeight="1" x14ac:dyDescent="0.2">
      <c r="A770" s="5" t="str">
        <f>IF(AND(B770="",ISNUMBER(B771)),CHOOSE(MONTH(B771),"GENNAIO","FEBBRAIO","MARZO","APRILE","MAGGIO","GIUGNO","LUGLIO","AGOSTO","SETTEMBRE","OTTOBRE","NOVEMBRE","DICEMBRE")&amp;" "&amp;YEAR(B771),"")</f>
        <v/>
      </c>
      <c r="B770" s="11"/>
      <c r="C770" s="12"/>
      <c r="D770" s="12" t="str">
        <f>IF(C770="","",C770-IF(C769&lt;&gt;"",C769,IF(C768&lt;&gt;"",C768,IF(C767&lt;&gt;"",C767,0))))</f>
        <v/>
      </c>
      <c r="E770" s="12"/>
      <c r="F770" s="12"/>
      <c r="G770" s="9" t="str">
        <f>IF(AND(E770="",F770=""),"",IF(OR(E770&gt;1,F770&gt;1),(F770-E770)/100,F770-E770))</f>
        <v/>
      </c>
      <c r="H770" s="12" t="str">
        <f>IF(G770="","",64*G770)</f>
        <v/>
      </c>
      <c r="I770" s="13"/>
      <c r="J770" s="13" t="str">
        <f>IFERROR(IF(OR(D770="",D770=0),"",I770/D770*100),"")</f>
        <v/>
      </c>
      <c r="K770" s="14"/>
      <c r="L770" s="13" t="str">
        <f>IF(I770="","",I770*K770)</f>
        <v/>
      </c>
      <c r="M770" s="13" t="str">
        <f>IF(B770="","",IFERROR(SUMPRODUCT(ISNUMBER(B$3:B770)*(MONTH(IF(ISNUMBER(B$3:B770),B$3:B770,1))=MONTH(B770))*(YEAR(IF(ISNUMBER(B$3:B770),B$3:B770,1))=YEAR(B770))*IF(ISNUMBER(L$3:L770),L$3:L770,0)),""))</f>
        <v/>
      </c>
      <c r="N770" s="6"/>
      <c r="O770" s="7" t="str">
        <f>IF(AND(B770="",ISNUMBER(B771)),CHOOSE(MONTH(B771),"GENNAIO","FEBBRAIO","MARZO","APRILE","MAGGIO","GIUGNO","LUGLIO","AGOSTO","SETTEMBRE","OTTOBRE","NOVEMBRE","DICEMBRE")&amp;" "&amp;YEAR(B771),"")</f>
        <v/>
      </c>
      <c r="P770" s="12" t="str">
        <f>IF(K770=0.2,"CASA","")</f>
        <v/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" customHeight="1" x14ac:dyDescent="0.2">
      <c r="A771" s="5" t="str">
        <f>IF(AND(B771="",ISNUMBER(B772)),CHOOSE(MONTH(B772),"GENNAIO","FEBBRAIO","MARZO","APRILE","MAGGIO","GIUGNO","LUGLIO","AGOSTO","SETTEMBRE","OTTOBRE","NOVEMBRE","DICEMBRE")&amp;" "&amp;YEAR(B772),"")</f>
        <v/>
      </c>
      <c r="B771" s="11"/>
      <c r="C771" s="12"/>
      <c r="D771" s="12" t="str">
        <f>IF(C771="","",C771-IF(C770&lt;&gt;"",C770,IF(C769&lt;&gt;"",C769,IF(C768&lt;&gt;"",C768,0))))</f>
        <v/>
      </c>
      <c r="E771" s="12"/>
      <c r="F771" s="12"/>
      <c r="G771" s="9" t="str">
        <f>IF(AND(E771="",F771=""),"",IF(OR(E771&gt;1,F771&gt;1),(F771-E771)/100,F771-E771))</f>
        <v/>
      </c>
      <c r="H771" s="12" t="str">
        <f>IF(G771="","",64*G771)</f>
        <v/>
      </c>
      <c r="I771" s="13"/>
      <c r="J771" s="13" t="str">
        <f>IFERROR(IF(OR(D771="",D771=0),"",I771/D771*100),"")</f>
        <v/>
      </c>
      <c r="K771" s="14"/>
      <c r="L771" s="13" t="str">
        <f>IF(I771="","",I771*K771)</f>
        <v/>
      </c>
      <c r="M771" s="13" t="str">
        <f>IF(B771="","",IFERROR(SUMPRODUCT(ISNUMBER(B$3:B771)*(MONTH(IF(ISNUMBER(B$3:B771),B$3:B771,1))=MONTH(B771))*(YEAR(IF(ISNUMBER(B$3:B771),B$3:B771,1))=YEAR(B771))*IF(ISNUMBER(L$3:L771),L$3:L771,0)),""))</f>
        <v/>
      </c>
      <c r="N771" s="6"/>
      <c r="O771" s="7" t="str">
        <f>IF(AND(B771="",ISNUMBER(B772)),CHOOSE(MONTH(B772),"GENNAIO","FEBBRAIO","MARZO","APRILE","MAGGIO","GIUGNO","LUGLIO","AGOSTO","SETTEMBRE","OTTOBRE","NOVEMBRE","DICEMBRE")&amp;" "&amp;YEAR(B772),"")</f>
        <v/>
      </c>
      <c r="P771" s="12" t="str">
        <f>IF(K771=0.2,"CASA","")</f>
        <v/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" customHeight="1" x14ac:dyDescent="0.2">
      <c r="A772" s="5" t="str">
        <f>IF(AND(B772="",ISNUMBER(B773)),CHOOSE(MONTH(B773),"GENNAIO","FEBBRAIO","MARZO","APRILE","MAGGIO","GIUGNO","LUGLIO","AGOSTO","SETTEMBRE","OTTOBRE","NOVEMBRE","DICEMBRE")&amp;" "&amp;YEAR(B773),"")</f>
        <v/>
      </c>
      <c r="B772" s="11"/>
      <c r="C772" s="12"/>
      <c r="D772" s="12" t="str">
        <f>IF(C772="","",C772-IF(C771&lt;&gt;"",C771,IF(C770&lt;&gt;"",C770,IF(C769&lt;&gt;"",C769,0))))</f>
        <v/>
      </c>
      <c r="E772" s="12"/>
      <c r="F772" s="12"/>
      <c r="G772" s="9" t="str">
        <f>IF(AND(E772="",F772=""),"",IF(OR(E772&gt;1,F772&gt;1),(F772-E772)/100,F772-E772))</f>
        <v/>
      </c>
      <c r="H772" s="12" t="str">
        <f>IF(G772="","",64*G772)</f>
        <v/>
      </c>
      <c r="I772" s="13"/>
      <c r="J772" s="13" t="str">
        <f>IFERROR(IF(OR(D772="",D772=0),"",I772/D772*100),"")</f>
        <v/>
      </c>
      <c r="K772" s="14"/>
      <c r="L772" s="13" t="str">
        <f>IF(I772="","",I772*K772)</f>
        <v/>
      </c>
      <c r="M772" s="13" t="str">
        <f>IF(B772="","",IFERROR(SUMPRODUCT(ISNUMBER(B$3:B772)*(MONTH(IF(ISNUMBER(B$3:B772),B$3:B772,1))=MONTH(B772))*(YEAR(IF(ISNUMBER(B$3:B772),B$3:B772,1))=YEAR(B772))*IF(ISNUMBER(L$3:L772),L$3:L772,0)),""))</f>
        <v/>
      </c>
      <c r="N772" s="6"/>
      <c r="O772" s="7" t="str">
        <f>IF(AND(B772="",ISNUMBER(B773)),CHOOSE(MONTH(B773),"GENNAIO","FEBBRAIO","MARZO","APRILE","MAGGIO","GIUGNO","LUGLIO","AGOSTO","SETTEMBRE","OTTOBRE","NOVEMBRE","DICEMBRE")&amp;" "&amp;YEAR(B773),"")</f>
        <v/>
      </c>
      <c r="P772" s="12" t="str">
        <f>IF(K772=0.2,"CASA","")</f>
        <v/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" customHeight="1" x14ac:dyDescent="0.2">
      <c r="A773" s="5" t="str">
        <f>IF(AND(B773="",ISNUMBER(B774)),CHOOSE(MONTH(B774),"GENNAIO","FEBBRAIO","MARZO","APRILE","MAGGIO","GIUGNO","LUGLIO","AGOSTO","SETTEMBRE","OTTOBRE","NOVEMBRE","DICEMBRE")&amp;" "&amp;YEAR(B774),"")</f>
        <v/>
      </c>
      <c r="B773" s="11"/>
      <c r="C773" s="12"/>
      <c r="D773" s="12" t="str">
        <f>IF(C773="","",C773-IF(C772&lt;&gt;"",C772,IF(C771&lt;&gt;"",C771,IF(C770&lt;&gt;"",C770,0))))</f>
        <v/>
      </c>
      <c r="E773" s="12"/>
      <c r="F773" s="12"/>
      <c r="G773" s="9" t="str">
        <f>IF(AND(E773="",F773=""),"",IF(OR(E773&gt;1,F773&gt;1),(F773-E773)/100,F773-E773))</f>
        <v/>
      </c>
      <c r="H773" s="12" t="str">
        <f>IF(G773="","",64*G773)</f>
        <v/>
      </c>
      <c r="I773" s="13"/>
      <c r="J773" s="13" t="str">
        <f>IFERROR(IF(OR(D773="",D773=0),"",I773/D773*100),"")</f>
        <v/>
      </c>
      <c r="K773" s="14"/>
      <c r="L773" s="13" t="str">
        <f>IF(I773="","",I773*K773)</f>
        <v/>
      </c>
      <c r="M773" s="13" t="str">
        <f>IF(B773="","",IFERROR(SUMPRODUCT(ISNUMBER(B$3:B773)*(MONTH(IF(ISNUMBER(B$3:B773),B$3:B773,1))=MONTH(B773))*(YEAR(IF(ISNUMBER(B$3:B773),B$3:B773,1))=YEAR(B773))*IF(ISNUMBER(L$3:L773),L$3:L773,0)),""))</f>
        <v/>
      </c>
      <c r="N773" s="6"/>
      <c r="O773" s="7" t="str">
        <f>IF(AND(B773="",ISNUMBER(B774)),CHOOSE(MONTH(B774),"GENNAIO","FEBBRAIO","MARZO","APRILE","MAGGIO","GIUGNO","LUGLIO","AGOSTO","SETTEMBRE","OTTOBRE","NOVEMBRE","DICEMBRE")&amp;" "&amp;YEAR(B774),"")</f>
        <v/>
      </c>
      <c r="P773" s="12" t="str">
        <f>IF(K773=0.2,"CASA","")</f>
        <v/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" customHeight="1" x14ac:dyDescent="0.2">
      <c r="A774" s="5" t="str">
        <f>IF(AND(B774="",ISNUMBER(B775)),CHOOSE(MONTH(B775),"GENNAIO","FEBBRAIO","MARZO","APRILE","MAGGIO","GIUGNO","LUGLIO","AGOSTO","SETTEMBRE","OTTOBRE","NOVEMBRE","DICEMBRE")&amp;" "&amp;YEAR(B775),"")</f>
        <v/>
      </c>
      <c r="B774" s="11"/>
      <c r="C774" s="12"/>
      <c r="D774" s="12" t="str">
        <f>IF(C774="","",C774-IF(C773&lt;&gt;"",C773,IF(C772&lt;&gt;"",C772,IF(C771&lt;&gt;"",C771,0))))</f>
        <v/>
      </c>
      <c r="E774" s="12"/>
      <c r="F774" s="12"/>
      <c r="G774" s="9" t="str">
        <f>IF(AND(E774="",F774=""),"",IF(OR(E774&gt;1,F774&gt;1),(F774-E774)/100,F774-E774))</f>
        <v/>
      </c>
      <c r="H774" s="12" t="str">
        <f>IF(G774="","",64*G774)</f>
        <v/>
      </c>
      <c r="I774" s="13"/>
      <c r="J774" s="13" t="str">
        <f>IFERROR(IF(OR(D774="",D774=0),"",I774/D774*100),"")</f>
        <v/>
      </c>
      <c r="K774" s="14"/>
      <c r="L774" s="13" t="str">
        <f>IF(I774="","",I774*K774)</f>
        <v/>
      </c>
      <c r="M774" s="13" t="str">
        <f>IF(B774="","",IFERROR(SUMPRODUCT(ISNUMBER(B$3:B774)*(MONTH(IF(ISNUMBER(B$3:B774),B$3:B774,1))=MONTH(B774))*(YEAR(IF(ISNUMBER(B$3:B774),B$3:B774,1))=YEAR(B774))*IF(ISNUMBER(L$3:L774),L$3:L774,0)),""))</f>
        <v/>
      </c>
      <c r="N774" s="6"/>
      <c r="O774" s="7" t="str">
        <f>IF(AND(B774="",ISNUMBER(B775)),CHOOSE(MONTH(B775),"GENNAIO","FEBBRAIO","MARZO","APRILE","MAGGIO","GIUGNO","LUGLIO","AGOSTO","SETTEMBRE","OTTOBRE","NOVEMBRE","DICEMBRE")&amp;" "&amp;YEAR(B775),"")</f>
        <v/>
      </c>
      <c r="P774" s="12" t="str">
        <f>IF(K774=0.2,"CASA","")</f>
        <v/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" customHeight="1" x14ac:dyDescent="0.2">
      <c r="A775" s="5" t="str">
        <f>IF(AND(B775="",ISNUMBER(B776)),CHOOSE(MONTH(B776),"GENNAIO","FEBBRAIO","MARZO","APRILE","MAGGIO","GIUGNO","LUGLIO","AGOSTO","SETTEMBRE","OTTOBRE","NOVEMBRE","DICEMBRE")&amp;" "&amp;YEAR(B776),"")</f>
        <v/>
      </c>
      <c r="B775" s="11"/>
      <c r="C775" s="12"/>
      <c r="D775" s="12" t="str">
        <f>IF(C775="","",C775-IF(C774&lt;&gt;"",C774,IF(C773&lt;&gt;"",C773,IF(C772&lt;&gt;"",C772,0))))</f>
        <v/>
      </c>
      <c r="E775" s="12"/>
      <c r="F775" s="12"/>
      <c r="G775" s="9" t="str">
        <f>IF(AND(E775="",F775=""),"",IF(OR(E775&gt;1,F775&gt;1),(F775-E775)/100,F775-E775))</f>
        <v/>
      </c>
      <c r="H775" s="12" t="str">
        <f>IF(G775="","",64*G775)</f>
        <v/>
      </c>
      <c r="I775" s="13"/>
      <c r="J775" s="13" t="str">
        <f>IFERROR(IF(OR(D775="",D775=0),"",I775/D775*100),"")</f>
        <v/>
      </c>
      <c r="K775" s="14"/>
      <c r="L775" s="13" t="str">
        <f>IF(I775="","",I775*K775)</f>
        <v/>
      </c>
      <c r="M775" s="13" t="str">
        <f>IF(B775="","",IFERROR(SUMPRODUCT(ISNUMBER(B$3:B775)*(MONTH(IF(ISNUMBER(B$3:B775),B$3:B775,1))=MONTH(B775))*(YEAR(IF(ISNUMBER(B$3:B775),B$3:B775,1))=YEAR(B775))*IF(ISNUMBER(L$3:L775),L$3:L775,0)),""))</f>
        <v/>
      </c>
      <c r="N775" s="6"/>
      <c r="O775" s="7" t="str">
        <f>IF(AND(B775="",ISNUMBER(B776)),CHOOSE(MONTH(B776),"GENNAIO","FEBBRAIO","MARZO","APRILE","MAGGIO","GIUGNO","LUGLIO","AGOSTO","SETTEMBRE","OTTOBRE","NOVEMBRE","DICEMBRE")&amp;" "&amp;YEAR(B776),"")</f>
        <v/>
      </c>
      <c r="P775" s="12" t="str">
        <f>IF(K775=0.2,"CASA","")</f>
        <v/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" customHeight="1" x14ac:dyDescent="0.2">
      <c r="A776" s="5" t="str">
        <f>IF(AND(B776="",ISNUMBER(B777)),CHOOSE(MONTH(B777),"GENNAIO","FEBBRAIO","MARZO","APRILE","MAGGIO","GIUGNO","LUGLIO","AGOSTO","SETTEMBRE","OTTOBRE","NOVEMBRE","DICEMBRE")&amp;" "&amp;YEAR(B777),"")</f>
        <v/>
      </c>
      <c r="B776" s="11"/>
      <c r="C776" s="12"/>
      <c r="D776" s="12" t="str">
        <f>IF(C776="","",C776-IF(C775&lt;&gt;"",C775,IF(C774&lt;&gt;"",C774,IF(C773&lt;&gt;"",C773,0))))</f>
        <v/>
      </c>
      <c r="E776" s="12"/>
      <c r="F776" s="12"/>
      <c r="G776" s="9" t="str">
        <f>IF(AND(E776="",F776=""),"",IF(OR(E776&gt;1,F776&gt;1),(F776-E776)/100,F776-E776))</f>
        <v/>
      </c>
      <c r="H776" s="12" t="str">
        <f>IF(G776="","",64*G776)</f>
        <v/>
      </c>
      <c r="I776" s="13"/>
      <c r="J776" s="13" t="str">
        <f>IFERROR(IF(OR(D776="",D776=0),"",I776/D776*100),"")</f>
        <v/>
      </c>
      <c r="K776" s="14"/>
      <c r="L776" s="13" t="str">
        <f>IF(I776="","",I776*K776)</f>
        <v/>
      </c>
      <c r="M776" s="13" t="str">
        <f>IF(B776="","",IFERROR(SUMPRODUCT(ISNUMBER(B$3:B776)*(MONTH(IF(ISNUMBER(B$3:B776),B$3:B776,1))=MONTH(B776))*(YEAR(IF(ISNUMBER(B$3:B776),B$3:B776,1))=YEAR(B776))*IF(ISNUMBER(L$3:L776),L$3:L776,0)),""))</f>
        <v/>
      </c>
      <c r="N776" s="6"/>
      <c r="O776" s="7" t="str">
        <f>IF(AND(B776="",ISNUMBER(B777)),CHOOSE(MONTH(B777),"GENNAIO","FEBBRAIO","MARZO","APRILE","MAGGIO","GIUGNO","LUGLIO","AGOSTO","SETTEMBRE","OTTOBRE","NOVEMBRE","DICEMBRE")&amp;" "&amp;YEAR(B777),"")</f>
        <v/>
      </c>
      <c r="P776" s="12" t="str">
        <f>IF(K776=0.2,"CASA","")</f>
        <v/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" customHeight="1" x14ac:dyDescent="0.2">
      <c r="A777" s="5" t="str">
        <f>IF(AND(B777="",ISNUMBER(B778)),CHOOSE(MONTH(B778),"GENNAIO","FEBBRAIO","MARZO","APRILE","MAGGIO","GIUGNO","LUGLIO","AGOSTO","SETTEMBRE","OTTOBRE","NOVEMBRE","DICEMBRE")&amp;" "&amp;YEAR(B778),"")</f>
        <v/>
      </c>
      <c r="B777" s="11"/>
      <c r="C777" s="12"/>
      <c r="D777" s="12" t="str">
        <f>IF(C777="","",C777-IF(C776&lt;&gt;"",C776,IF(C775&lt;&gt;"",C775,IF(C774&lt;&gt;"",C774,0))))</f>
        <v/>
      </c>
      <c r="E777" s="12"/>
      <c r="F777" s="12"/>
      <c r="G777" s="9" t="str">
        <f>IF(AND(E777="",F777=""),"",IF(OR(E777&gt;1,F777&gt;1),(F777-E777)/100,F777-E777))</f>
        <v/>
      </c>
      <c r="H777" s="12" t="str">
        <f>IF(G777="","",64*G777)</f>
        <v/>
      </c>
      <c r="I777" s="13"/>
      <c r="J777" s="13" t="str">
        <f>IFERROR(IF(OR(D777="",D777=0),"",I777/D777*100),"")</f>
        <v/>
      </c>
      <c r="K777" s="14"/>
      <c r="L777" s="13" t="str">
        <f>IF(I777="","",I777*K777)</f>
        <v/>
      </c>
      <c r="M777" s="13" t="str">
        <f>IF(B777="","",IFERROR(SUMPRODUCT(ISNUMBER(B$3:B777)*(MONTH(IF(ISNUMBER(B$3:B777),B$3:B777,1))=MONTH(B777))*(YEAR(IF(ISNUMBER(B$3:B777),B$3:B777,1))=YEAR(B777))*IF(ISNUMBER(L$3:L777),L$3:L777,0)),""))</f>
        <v/>
      </c>
      <c r="N777" s="6"/>
      <c r="O777" s="7" t="str">
        <f>IF(AND(B777="",ISNUMBER(B778)),CHOOSE(MONTH(B778),"GENNAIO","FEBBRAIO","MARZO","APRILE","MAGGIO","GIUGNO","LUGLIO","AGOSTO","SETTEMBRE","OTTOBRE","NOVEMBRE","DICEMBRE")&amp;" "&amp;YEAR(B778),"")</f>
        <v/>
      </c>
      <c r="P777" s="12" t="str">
        <f>IF(K777=0.2,"CASA","")</f>
        <v/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" customHeight="1" x14ac:dyDescent="0.2">
      <c r="A778" s="5" t="str">
        <f>IF(AND(B778="",ISNUMBER(B779)),CHOOSE(MONTH(B779),"GENNAIO","FEBBRAIO","MARZO","APRILE","MAGGIO","GIUGNO","LUGLIO","AGOSTO","SETTEMBRE","OTTOBRE","NOVEMBRE","DICEMBRE")&amp;" "&amp;YEAR(B779),"")</f>
        <v/>
      </c>
      <c r="B778" s="11"/>
      <c r="C778" s="12"/>
      <c r="D778" s="12" t="str">
        <f>IF(C778="","",C778-IF(C777&lt;&gt;"",C777,IF(C776&lt;&gt;"",C776,IF(C775&lt;&gt;"",C775,0))))</f>
        <v/>
      </c>
      <c r="E778" s="12"/>
      <c r="F778" s="12"/>
      <c r="G778" s="9" t="str">
        <f>IF(AND(E778="",F778=""),"",IF(OR(E778&gt;1,F778&gt;1),(F778-E778)/100,F778-E778))</f>
        <v/>
      </c>
      <c r="H778" s="12" t="str">
        <f>IF(G778="","",64*G778)</f>
        <v/>
      </c>
      <c r="I778" s="13"/>
      <c r="J778" s="13" t="str">
        <f>IFERROR(IF(OR(D778="",D778=0),"",I778/D778*100),"")</f>
        <v/>
      </c>
      <c r="K778" s="14"/>
      <c r="L778" s="13" t="str">
        <f>IF(I778="","",I778*K778)</f>
        <v/>
      </c>
      <c r="M778" s="13" t="str">
        <f>IF(B778="","",IFERROR(SUMPRODUCT(ISNUMBER(B$3:B778)*(MONTH(IF(ISNUMBER(B$3:B778),B$3:B778,1))=MONTH(B778))*(YEAR(IF(ISNUMBER(B$3:B778),B$3:B778,1))=YEAR(B778))*IF(ISNUMBER(L$3:L778),L$3:L778,0)),""))</f>
        <v/>
      </c>
      <c r="N778" s="6"/>
      <c r="O778" s="7" t="str">
        <f>IF(AND(B778="",ISNUMBER(B779)),CHOOSE(MONTH(B779),"GENNAIO","FEBBRAIO","MARZO","APRILE","MAGGIO","GIUGNO","LUGLIO","AGOSTO","SETTEMBRE","OTTOBRE","NOVEMBRE","DICEMBRE")&amp;" "&amp;YEAR(B779),"")</f>
        <v/>
      </c>
      <c r="P778" s="12" t="str">
        <f>IF(K778=0.2,"CASA","")</f>
        <v/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" customHeight="1" x14ac:dyDescent="0.2">
      <c r="A779" s="5" t="str">
        <f>IF(AND(B779="",ISNUMBER(B780)),CHOOSE(MONTH(B780),"GENNAIO","FEBBRAIO","MARZO","APRILE","MAGGIO","GIUGNO","LUGLIO","AGOSTO","SETTEMBRE","OTTOBRE","NOVEMBRE","DICEMBRE")&amp;" "&amp;YEAR(B780),"")</f>
        <v/>
      </c>
      <c r="B779" s="11"/>
      <c r="C779" s="12"/>
      <c r="D779" s="12" t="str">
        <f>IF(C779="","",C779-IF(C778&lt;&gt;"",C778,IF(C777&lt;&gt;"",C777,IF(C776&lt;&gt;"",C776,0))))</f>
        <v/>
      </c>
      <c r="E779" s="12"/>
      <c r="F779" s="12"/>
      <c r="G779" s="9" t="str">
        <f>IF(AND(E779="",F779=""),"",IF(OR(E779&gt;1,F779&gt;1),(F779-E779)/100,F779-E779))</f>
        <v/>
      </c>
      <c r="H779" s="12" t="str">
        <f>IF(G779="","",64*G779)</f>
        <v/>
      </c>
      <c r="I779" s="13"/>
      <c r="J779" s="13" t="str">
        <f>IFERROR(IF(OR(D779="",D779=0),"",I779/D779*100),"")</f>
        <v/>
      </c>
      <c r="K779" s="14"/>
      <c r="L779" s="13" t="str">
        <f>IF(I779="","",I779*K779)</f>
        <v/>
      </c>
      <c r="M779" s="13" t="str">
        <f>IF(B779="","",IFERROR(SUMPRODUCT(ISNUMBER(B$3:B779)*(MONTH(IF(ISNUMBER(B$3:B779),B$3:B779,1))=MONTH(B779))*(YEAR(IF(ISNUMBER(B$3:B779),B$3:B779,1))=YEAR(B779))*IF(ISNUMBER(L$3:L779),L$3:L779,0)),""))</f>
        <v/>
      </c>
      <c r="N779" s="6"/>
      <c r="O779" s="7" t="str">
        <f>IF(AND(B779="",ISNUMBER(B780)),CHOOSE(MONTH(B780),"GENNAIO","FEBBRAIO","MARZO","APRILE","MAGGIO","GIUGNO","LUGLIO","AGOSTO","SETTEMBRE","OTTOBRE","NOVEMBRE","DICEMBRE")&amp;" "&amp;YEAR(B780),"")</f>
        <v/>
      </c>
      <c r="P779" s="12" t="str">
        <f>IF(K779=0.2,"CASA","")</f>
        <v/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" customHeight="1" x14ac:dyDescent="0.2">
      <c r="A780" s="5" t="str">
        <f>IF(AND(B780="",ISNUMBER(B781)),CHOOSE(MONTH(B781),"GENNAIO","FEBBRAIO","MARZO","APRILE","MAGGIO","GIUGNO","LUGLIO","AGOSTO","SETTEMBRE","OTTOBRE","NOVEMBRE","DICEMBRE")&amp;" "&amp;YEAR(B781),"")</f>
        <v/>
      </c>
      <c r="B780" s="11"/>
      <c r="C780" s="12"/>
      <c r="D780" s="12" t="str">
        <f>IF(C780="","",C780-IF(C779&lt;&gt;"",C779,IF(C778&lt;&gt;"",C778,IF(C777&lt;&gt;"",C777,0))))</f>
        <v/>
      </c>
      <c r="E780" s="12"/>
      <c r="F780" s="12"/>
      <c r="G780" s="9" t="str">
        <f>IF(AND(E780="",F780=""),"",IF(OR(E780&gt;1,F780&gt;1),(F780-E780)/100,F780-E780))</f>
        <v/>
      </c>
      <c r="H780" s="12" t="str">
        <f>IF(G780="","",64*G780)</f>
        <v/>
      </c>
      <c r="I780" s="13"/>
      <c r="J780" s="13" t="str">
        <f>IFERROR(IF(OR(D780="",D780=0),"",I780/D780*100),"")</f>
        <v/>
      </c>
      <c r="K780" s="14"/>
      <c r="L780" s="13" t="str">
        <f>IF(I780="","",I780*K780)</f>
        <v/>
      </c>
      <c r="M780" s="13" t="str">
        <f>IF(B780="","",IFERROR(SUMPRODUCT(ISNUMBER(B$3:B780)*(MONTH(IF(ISNUMBER(B$3:B780),B$3:B780,1))=MONTH(B780))*(YEAR(IF(ISNUMBER(B$3:B780),B$3:B780,1))=YEAR(B780))*IF(ISNUMBER(L$3:L780),L$3:L780,0)),""))</f>
        <v/>
      </c>
      <c r="N780" s="6"/>
      <c r="O780" s="7" t="str">
        <f>IF(AND(B780="",ISNUMBER(B781)),CHOOSE(MONTH(B781),"GENNAIO","FEBBRAIO","MARZO","APRILE","MAGGIO","GIUGNO","LUGLIO","AGOSTO","SETTEMBRE","OTTOBRE","NOVEMBRE","DICEMBRE")&amp;" "&amp;YEAR(B781),"")</f>
        <v/>
      </c>
      <c r="P780" s="12" t="str">
        <f>IF(K780=0.2,"CASA","")</f>
        <v/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" customHeight="1" x14ac:dyDescent="0.2">
      <c r="A781" s="5" t="str">
        <f>IF(AND(B781="",ISNUMBER(B782)),CHOOSE(MONTH(B782),"GENNAIO","FEBBRAIO","MARZO","APRILE","MAGGIO","GIUGNO","LUGLIO","AGOSTO","SETTEMBRE","OTTOBRE","NOVEMBRE","DICEMBRE")&amp;" "&amp;YEAR(B782),"")</f>
        <v/>
      </c>
      <c r="B781" s="11"/>
      <c r="C781" s="12"/>
      <c r="D781" s="12" t="str">
        <f>IF(C781="","",C781-IF(C780&lt;&gt;"",C780,IF(C779&lt;&gt;"",C779,IF(C778&lt;&gt;"",C778,0))))</f>
        <v/>
      </c>
      <c r="E781" s="12"/>
      <c r="F781" s="12"/>
      <c r="G781" s="9" t="str">
        <f>IF(AND(E781="",F781=""),"",IF(OR(E781&gt;1,F781&gt;1),(F781-E781)/100,F781-E781))</f>
        <v/>
      </c>
      <c r="H781" s="12" t="str">
        <f>IF(G781="","",64*G781)</f>
        <v/>
      </c>
      <c r="I781" s="13"/>
      <c r="J781" s="13" t="str">
        <f>IFERROR(IF(OR(D781="",D781=0),"",I781/D781*100),"")</f>
        <v/>
      </c>
      <c r="K781" s="14"/>
      <c r="L781" s="13" t="str">
        <f>IF(I781="","",I781*K781)</f>
        <v/>
      </c>
      <c r="M781" s="13" t="str">
        <f>IF(B781="","",IFERROR(SUMPRODUCT(ISNUMBER(B$3:B781)*(MONTH(IF(ISNUMBER(B$3:B781),B$3:B781,1))=MONTH(B781))*(YEAR(IF(ISNUMBER(B$3:B781),B$3:B781,1))=YEAR(B781))*IF(ISNUMBER(L$3:L781),L$3:L781,0)),""))</f>
        <v/>
      </c>
      <c r="N781" s="6"/>
      <c r="O781" s="7" t="str">
        <f>IF(AND(B781="",ISNUMBER(B782)),CHOOSE(MONTH(B782),"GENNAIO","FEBBRAIO","MARZO","APRILE","MAGGIO","GIUGNO","LUGLIO","AGOSTO","SETTEMBRE","OTTOBRE","NOVEMBRE","DICEMBRE")&amp;" "&amp;YEAR(B782),"")</f>
        <v/>
      </c>
      <c r="P781" s="12" t="str">
        <f>IF(K781=0.2,"CASA","")</f>
        <v/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" customHeight="1" x14ac:dyDescent="0.2">
      <c r="A782" s="5" t="str">
        <f>IF(AND(B782="",ISNUMBER(B783)),CHOOSE(MONTH(B783),"GENNAIO","FEBBRAIO","MARZO","APRILE","MAGGIO","GIUGNO","LUGLIO","AGOSTO","SETTEMBRE","OTTOBRE","NOVEMBRE","DICEMBRE")&amp;" "&amp;YEAR(B783),"")</f>
        <v/>
      </c>
      <c r="B782" s="11"/>
      <c r="C782" s="12"/>
      <c r="D782" s="12" t="str">
        <f>IF(C782="","",C782-IF(C781&lt;&gt;"",C781,IF(C780&lt;&gt;"",C780,IF(C779&lt;&gt;"",C779,0))))</f>
        <v/>
      </c>
      <c r="E782" s="12"/>
      <c r="F782" s="12"/>
      <c r="G782" s="9" t="str">
        <f>IF(AND(E782="",F782=""),"",IF(OR(E782&gt;1,F782&gt;1),(F782-E782)/100,F782-E782))</f>
        <v/>
      </c>
      <c r="H782" s="12" t="str">
        <f>IF(G782="","",64*G782)</f>
        <v/>
      </c>
      <c r="I782" s="13"/>
      <c r="J782" s="13" t="str">
        <f>IFERROR(IF(OR(D782="",D782=0),"",I782/D782*100),"")</f>
        <v/>
      </c>
      <c r="K782" s="14"/>
      <c r="L782" s="13" t="str">
        <f>IF(I782="","",I782*K782)</f>
        <v/>
      </c>
      <c r="M782" s="13" t="str">
        <f>IF(B782="","",IFERROR(SUMPRODUCT(ISNUMBER(B$3:B782)*(MONTH(IF(ISNUMBER(B$3:B782),B$3:B782,1))=MONTH(B782))*(YEAR(IF(ISNUMBER(B$3:B782),B$3:B782,1))=YEAR(B782))*IF(ISNUMBER(L$3:L782),L$3:L782,0)),""))</f>
        <v/>
      </c>
      <c r="N782" s="6"/>
      <c r="O782" s="7" t="str">
        <f>IF(AND(B782="",ISNUMBER(B783)),CHOOSE(MONTH(B783),"GENNAIO","FEBBRAIO","MARZO","APRILE","MAGGIO","GIUGNO","LUGLIO","AGOSTO","SETTEMBRE","OTTOBRE","NOVEMBRE","DICEMBRE")&amp;" "&amp;YEAR(B783),"")</f>
        <v/>
      </c>
      <c r="P782" s="12" t="str">
        <f>IF(K782=0.2,"CASA","")</f>
        <v/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" customHeight="1" x14ac:dyDescent="0.2">
      <c r="A783" s="5" t="str">
        <f>IF(AND(B783="",ISNUMBER(B784)),CHOOSE(MONTH(B784),"GENNAIO","FEBBRAIO","MARZO","APRILE","MAGGIO","GIUGNO","LUGLIO","AGOSTO","SETTEMBRE","OTTOBRE","NOVEMBRE","DICEMBRE")&amp;" "&amp;YEAR(B784),"")</f>
        <v/>
      </c>
      <c r="B783" s="11"/>
      <c r="C783" s="12"/>
      <c r="D783" s="12" t="str">
        <f>IF(C783="","",C783-IF(C782&lt;&gt;"",C782,IF(C781&lt;&gt;"",C781,IF(C780&lt;&gt;"",C780,0))))</f>
        <v/>
      </c>
      <c r="E783" s="12"/>
      <c r="F783" s="12"/>
      <c r="G783" s="9" t="str">
        <f>IF(AND(E783="",F783=""),"",IF(OR(E783&gt;1,F783&gt;1),(F783-E783)/100,F783-E783))</f>
        <v/>
      </c>
      <c r="H783" s="12" t="str">
        <f>IF(G783="","",64*G783)</f>
        <v/>
      </c>
      <c r="I783" s="13"/>
      <c r="J783" s="13" t="str">
        <f>IFERROR(IF(OR(D783="",D783=0),"",I783/D783*100),"")</f>
        <v/>
      </c>
      <c r="K783" s="14"/>
      <c r="L783" s="13" t="str">
        <f>IF(I783="","",I783*K783)</f>
        <v/>
      </c>
      <c r="M783" s="13" t="str">
        <f>IF(B783="","",IFERROR(SUMPRODUCT(ISNUMBER(B$3:B783)*(MONTH(IF(ISNUMBER(B$3:B783),B$3:B783,1))=MONTH(B783))*(YEAR(IF(ISNUMBER(B$3:B783),B$3:B783,1))=YEAR(B783))*IF(ISNUMBER(L$3:L783),L$3:L783,0)),""))</f>
        <v/>
      </c>
      <c r="N783" s="6"/>
      <c r="O783" s="7" t="str">
        <f>IF(AND(B783="",ISNUMBER(B784)),CHOOSE(MONTH(B784),"GENNAIO","FEBBRAIO","MARZO","APRILE","MAGGIO","GIUGNO","LUGLIO","AGOSTO","SETTEMBRE","OTTOBRE","NOVEMBRE","DICEMBRE")&amp;" "&amp;YEAR(B784),"")</f>
        <v/>
      </c>
      <c r="P783" s="12" t="str">
        <f>IF(K783=0.2,"CASA","")</f>
        <v/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" customHeight="1" x14ac:dyDescent="0.2">
      <c r="A784" s="5" t="str">
        <f>IF(AND(B784="",ISNUMBER(B785)),CHOOSE(MONTH(B785),"GENNAIO","FEBBRAIO","MARZO","APRILE","MAGGIO","GIUGNO","LUGLIO","AGOSTO","SETTEMBRE","OTTOBRE","NOVEMBRE","DICEMBRE")&amp;" "&amp;YEAR(B785),"")</f>
        <v/>
      </c>
      <c r="B784" s="11"/>
      <c r="C784" s="12"/>
      <c r="D784" s="12" t="str">
        <f>IF(C784="","",C784-IF(C783&lt;&gt;"",C783,IF(C782&lt;&gt;"",C782,IF(C781&lt;&gt;"",C781,0))))</f>
        <v/>
      </c>
      <c r="E784" s="12"/>
      <c r="F784" s="12"/>
      <c r="G784" s="9" t="str">
        <f>IF(AND(E784="",F784=""),"",IF(OR(E784&gt;1,F784&gt;1),(F784-E784)/100,F784-E784))</f>
        <v/>
      </c>
      <c r="H784" s="12" t="str">
        <f>IF(G784="","",64*G784)</f>
        <v/>
      </c>
      <c r="I784" s="13"/>
      <c r="J784" s="13" t="str">
        <f>IFERROR(IF(OR(D784="",D784=0),"",I784/D784*100),"")</f>
        <v/>
      </c>
      <c r="K784" s="14"/>
      <c r="L784" s="13" t="str">
        <f>IF(I784="","",I784*K784)</f>
        <v/>
      </c>
      <c r="M784" s="13" t="str">
        <f>IF(B784="","",IFERROR(SUMPRODUCT(ISNUMBER(B$3:B784)*(MONTH(IF(ISNUMBER(B$3:B784),B$3:B784,1))=MONTH(B784))*(YEAR(IF(ISNUMBER(B$3:B784),B$3:B784,1))=YEAR(B784))*IF(ISNUMBER(L$3:L784),L$3:L784,0)),""))</f>
        <v/>
      </c>
      <c r="N784" s="6"/>
      <c r="O784" s="7" t="str">
        <f>IF(AND(B784="",ISNUMBER(B785)),CHOOSE(MONTH(B785),"GENNAIO","FEBBRAIO","MARZO","APRILE","MAGGIO","GIUGNO","LUGLIO","AGOSTO","SETTEMBRE","OTTOBRE","NOVEMBRE","DICEMBRE")&amp;" "&amp;YEAR(B785),"")</f>
        <v/>
      </c>
      <c r="P784" s="12" t="str">
        <f>IF(K784=0.2,"CASA","")</f>
        <v/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" customHeight="1" x14ac:dyDescent="0.2">
      <c r="A785" s="5" t="str">
        <f>IF(AND(B785="",ISNUMBER(B786)),CHOOSE(MONTH(B786),"GENNAIO","FEBBRAIO","MARZO","APRILE","MAGGIO","GIUGNO","LUGLIO","AGOSTO","SETTEMBRE","OTTOBRE","NOVEMBRE","DICEMBRE")&amp;" "&amp;YEAR(B786),"")</f>
        <v/>
      </c>
      <c r="B785" s="11"/>
      <c r="C785" s="12"/>
      <c r="D785" s="12" t="str">
        <f>IF(C785="","",C785-IF(C784&lt;&gt;"",C784,IF(C783&lt;&gt;"",C783,IF(C782&lt;&gt;"",C782,0))))</f>
        <v/>
      </c>
      <c r="E785" s="12"/>
      <c r="F785" s="12"/>
      <c r="G785" s="9" t="str">
        <f>IF(AND(E785="",F785=""),"",IF(OR(E785&gt;1,F785&gt;1),(F785-E785)/100,F785-E785))</f>
        <v/>
      </c>
      <c r="H785" s="12" t="str">
        <f>IF(G785="","",64*G785)</f>
        <v/>
      </c>
      <c r="I785" s="13"/>
      <c r="J785" s="13" t="str">
        <f>IFERROR(IF(OR(D785="",D785=0),"",I785/D785*100),"")</f>
        <v/>
      </c>
      <c r="K785" s="14"/>
      <c r="L785" s="13" t="str">
        <f>IF(I785="","",I785*K785)</f>
        <v/>
      </c>
      <c r="M785" s="13" t="str">
        <f>IF(B785="","",IFERROR(SUMPRODUCT(ISNUMBER(B$3:B785)*(MONTH(IF(ISNUMBER(B$3:B785),B$3:B785,1))=MONTH(B785))*(YEAR(IF(ISNUMBER(B$3:B785),B$3:B785,1))=YEAR(B785))*IF(ISNUMBER(L$3:L785),L$3:L785,0)),""))</f>
        <v/>
      </c>
      <c r="N785" s="6"/>
      <c r="O785" s="7" t="str">
        <f>IF(AND(B785="",ISNUMBER(B786)),CHOOSE(MONTH(B786),"GENNAIO","FEBBRAIO","MARZO","APRILE","MAGGIO","GIUGNO","LUGLIO","AGOSTO","SETTEMBRE","OTTOBRE","NOVEMBRE","DICEMBRE")&amp;" "&amp;YEAR(B786),"")</f>
        <v/>
      </c>
      <c r="P785" s="12" t="str">
        <f>IF(K785=0.2,"CASA","")</f>
        <v/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" customHeight="1" x14ac:dyDescent="0.2">
      <c r="A786" s="5" t="str">
        <f>IF(AND(B786="",ISNUMBER(B787)),CHOOSE(MONTH(B787),"GENNAIO","FEBBRAIO","MARZO","APRILE","MAGGIO","GIUGNO","LUGLIO","AGOSTO","SETTEMBRE","OTTOBRE","NOVEMBRE","DICEMBRE")&amp;" "&amp;YEAR(B787),"")</f>
        <v/>
      </c>
      <c r="B786" s="11"/>
      <c r="C786" s="12"/>
      <c r="D786" s="12" t="str">
        <f>IF(C786="","",C786-IF(C785&lt;&gt;"",C785,IF(C784&lt;&gt;"",C784,IF(C783&lt;&gt;"",C783,0))))</f>
        <v/>
      </c>
      <c r="E786" s="12"/>
      <c r="F786" s="12"/>
      <c r="G786" s="9" t="str">
        <f>IF(AND(E786="",F786=""),"",IF(OR(E786&gt;1,F786&gt;1),(F786-E786)/100,F786-E786))</f>
        <v/>
      </c>
      <c r="H786" s="12" t="str">
        <f>IF(G786="","",64*G786)</f>
        <v/>
      </c>
      <c r="I786" s="13"/>
      <c r="J786" s="13" t="str">
        <f>IFERROR(IF(OR(D786="",D786=0),"",I786/D786*100),"")</f>
        <v/>
      </c>
      <c r="K786" s="14"/>
      <c r="L786" s="13" t="str">
        <f>IF(I786="","",I786*K786)</f>
        <v/>
      </c>
      <c r="M786" s="13" t="str">
        <f>IF(B786="","",IFERROR(SUMPRODUCT(ISNUMBER(B$3:B786)*(MONTH(IF(ISNUMBER(B$3:B786),B$3:B786,1))=MONTH(B786))*(YEAR(IF(ISNUMBER(B$3:B786),B$3:B786,1))=YEAR(B786))*IF(ISNUMBER(L$3:L786),L$3:L786,0)),""))</f>
        <v/>
      </c>
      <c r="N786" s="6"/>
      <c r="O786" s="7" t="str">
        <f>IF(AND(B786="",ISNUMBER(B787)),CHOOSE(MONTH(B787),"GENNAIO","FEBBRAIO","MARZO","APRILE","MAGGIO","GIUGNO","LUGLIO","AGOSTO","SETTEMBRE","OTTOBRE","NOVEMBRE","DICEMBRE")&amp;" "&amp;YEAR(B787),"")</f>
        <v/>
      </c>
      <c r="P786" s="12" t="str">
        <f>IF(K786=0.2,"CASA","")</f>
        <v/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" customHeight="1" x14ac:dyDescent="0.2">
      <c r="A787" s="5" t="str">
        <f>IF(AND(B787="",ISNUMBER(B788)),CHOOSE(MONTH(B788),"GENNAIO","FEBBRAIO","MARZO","APRILE","MAGGIO","GIUGNO","LUGLIO","AGOSTO","SETTEMBRE","OTTOBRE","NOVEMBRE","DICEMBRE")&amp;" "&amp;YEAR(B788),"")</f>
        <v/>
      </c>
      <c r="B787" s="11"/>
      <c r="C787" s="12"/>
      <c r="D787" s="12" t="str">
        <f>IF(C787="","",C787-IF(C786&lt;&gt;"",C786,IF(C785&lt;&gt;"",C785,IF(C784&lt;&gt;"",C784,0))))</f>
        <v/>
      </c>
      <c r="E787" s="12"/>
      <c r="F787" s="12"/>
      <c r="G787" s="9" t="str">
        <f>IF(AND(E787="",F787=""),"",IF(OR(E787&gt;1,F787&gt;1),(F787-E787)/100,F787-E787))</f>
        <v/>
      </c>
      <c r="H787" s="12" t="str">
        <f>IF(G787="","",64*G787)</f>
        <v/>
      </c>
      <c r="I787" s="13"/>
      <c r="J787" s="13" t="str">
        <f>IFERROR(IF(OR(D787="",D787=0),"",I787/D787*100),"")</f>
        <v/>
      </c>
      <c r="K787" s="14"/>
      <c r="L787" s="13" t="str">
        <f>IF(I787="","",I787*K787)</f>
        <v/>
      </c>
      <c r="M787" s="13" t="str">
        <f>IF(B787="","",IFERROR(SUMPRODUCT(ISNUMBER(B$3:B787)*(MONTH(IF(ISNUMBER(B$3:B787),B$3:B787,1))=MONTH(B787))*(YEAR(IF(ISNUMBER(B$3:B787),B$3:B787,1))=YEAR(B787))*IF(ISNUMBER(L$3:L787),L$3:L787,0)),""))</f>
        <v/>
      </c>
      <c r="N787" s="6"/>
      <c r="O787" s="7" t="str">
        <f>IF(AND(B787="",ISNUMBER(B788)),CHOOSE(MONTH(B788),"GENNAIO","FEBBRAIO","MARZO","APRILE","MAGGIO","GIUGNO","LUGLIO","AGOSTO","SETTEMBRE","OTTOBRE","NOVEMBRE","DICEMBRE")&amp;" "&amp;YEAR(B788),"")</f>
        <v/>
      </c>
      <c r="P787" s="12" t="str">
        <f>IF(K787=0.2,"CASA","")</f>
        <v/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" customHeight="1" x14ac:dyDescent="0.2">
      <c r="A788" s="5" t="str">
        <f>IF(AND(B788="",ISNUMBER(B789)),CHOOSE(MONTH(B789),"GENNAIO","FEBBRAIO","MARZO","APRILE","MAGGIO","GIUGNO","LUGLIO","AGOSTO","SETTEMBRE","OTTOBRE","NOVEMBRE","DICEMBRE")&amp;" "&amp;YEAR(B789),"")</f>
        <v/>
      </c>
      <c r="B788" s="11"/>
      <c r="C788" s="12"/>
      <c r="D788" s="12" t="str">
        <f>IF(C788="","",C788-IF(C787&lt;&gt;"",C787,IF(C786&lt;&gt;"",C786,IF(C785&lt;&gt;"",C785,0))))</f>
        <v/>
      </c>
      <c r="E788" s="12"/>
      <c r="F788" s="12"/>
      <c r="G788" s="9" t="str">
        <f>IF(AND(E788="",F788=""),"",IF(OR(E788&gt;1,F788&gt;1),(F788-E788)/100,F788-E788))</f>
        <v/>
      </c>
      <c r="H788" s="12" t="str">
        <f>IF(G788="","",64*G788)</f>
        <v/>
      </c>
      <c r="I788" s="13"/>
      <c r="J788" s="13" t="str">
        <f>IFERROR(IF(OR(D788="",D788=0),"",I788/D788*100),"")</f>
        <v/>
      </c>
      <c r="K788" s="14"/>
      <c r="L788" s="13" t="str">
        <f>IF(I788="","",I788*K788)</f>
        <v/>
      </c>
      <c r="M788" s="13" t="str">
        <f>IF(B788="","",IFERROR(SUMPRODUCT(ISNUMBER(B$3:B788)*(MONTH(IF(ISNUMBER(B$3:B788),B$3:B788,1))=MONTH(B788))*(YEAR(IF(ISNUMBER(B$3:B788),B$3:B788,1))=YEAR(B788))*IF(ISNUMBER(L$3:L788),L$3:L788,0)),""))</f>
        <v/>
      </c>
      <c r="N788" s="6"/>
      <c r="O788" s="7" t="str">
        <f>IF(AND(B788="",ISNUMBER(B789)),CHOOSE(MONTH(B789),"GENNAIO","FEBBRAIO","MARZO","APRILE","MAGGIO","GIUGNO","LUGLIO","AGOSTO","SETTEMBRE","OTTOBRE","NOVEMBRE","DICEMBRE")&amp;" "&amp;YEAR(B789),"")</f>
        <v/>
      </c>
      <c r="P788" s="12" t="str">
        <f>IF(K788=0.2,"CASA","")</f>
        <v/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" customHeight="1" x14ac:dyDescent="0.2">
      <c r="A789" s="5" t="str">
        <f>IF(AND(B789="",ISNUMBER(B790)),CHOOSE(MONTH(B790),"GENNAIO","FEBBRAIO","MARZO","APRILE","MAGGIO","GIUGNO","LUGLIO","AGOSTO","SETTEMBRE","OTTOBRE","NOVEMBRE","DICEMBRE")&amp;" "&amp;YEAR(B790),"")</f>
        <v/>
      </c>
      <c r="B789" s="11"/>
      <c r="C789" s="12"/>
      <c r="D789" s="12" t="str">
        <f>IF(C789="","",C789-IF(C788&lt;&gt;"",C788,IF(C787&lt;&gt;"",C787,IF(C786&lt;&gt;"",C786,0))))</f>
        <v/>
      </c>
      <c r="E789" s="12"/>
      <c r="F789" s="12"/>
      <c r="G789" s="9" t="str">
        <f>IF(AND(E789="",F789=""),"",IF(OR(E789&gt;1,F789&gt;1),(F789-E789)/100,F789-E789))</f>
        <v/>
      </c>
      <c r="H789" s="12" t="str">
        <f>IF(G789="","",64*G789)</f>
        <v/>
      </c>
      <c r="I789" s="13"/>
      <c r="J789" s="13" t="str">
        <f>IFERROR(IF(OR(D789="",D789=0),"",I789/D789*100),"")</f>
        <v/>
      </c>
      <c r="K789" s="14"/>
      <c r="L789" s="13" t="str">
        <f>IF(I789="","",I789*K789)</f>
        <v/>
      </c>
      <c r="M789" s="13" t="str">
        <f>IF(B789="","",IFERROR(SUMPRODUCT(ISNUMBER(B$3:B789)*(MONTH(IF(ISNUMBER(B$3:B789),B$3:B789,1))=MONTH(B789))*(YEAR(IF(ISNUMBER(B$3:B789),B$3:B789,1))=YEAR(B789))*IF(ISNUMBER(L$3:L789),L$3:L789,0)),""))</f>
        <v/>
      </c>
      <c r="N789" s="6"/>
      <c r="O789" s="7" t="str">
        <f>IF(AND(B789="",ISNUMBER(B790)),CHOOSE(MONTH(B790),"GENNAIO","FEBBRAIO","MARZO","APRILE","MAGGIO","GIUGNO","LUGLIO","AGOSTO","SETTEMBRE","OTTOBRE","NOVEMBRE","DICEMBRE")&amp;" "&amp;YEAR(B790),"")</f>
        <v/>
      </c>
      <c r="P789" s="12" t="str">
        <f>IF(K789=0.2,"CASA","")</f>
        <v/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" customHeight="1" x14ac:dyDescent="0.2">
      <c r="A790" s="5" t="str">
        <f>IF(AND(B790="",ISNUMBER(B791)),CHOOSE(MONTH(B791),"GENNAIO","FEBBRAIO","MARZO","APRILE","MAGGIO","GIUGNO","LUGLIO","AGOSTO","SETTEMBRE","OTTOBRE","NOVEMBRE","DICEMBRE")&amp;" "&amp;YEAR(B791),"")</f>
        <v/>
      </c>
      <c r="B790" s="11"/>
      <c r="C790" s="12"/>
      <c r="D790" s="12" t="str">
        <f>IF(C790="","",C790-IF(C789&lt;&gt;"",C789,IF(C788&lt;&gt;"",C788,IF(C787&lt;&gt;"",C787,0))))</f>
        <v/>
      </c>
      <c r="E790" s="12"/>
      <c r="F790" s="12"/>
      <c r="G790" s="9" t="str">
        <f>IF(AND(E790="",F790=""),"",IF(OR(E790&gt;1,F790&gt;1),(F790-E790)/100,F790-E790))</f>
        <v/>
      </c>
      <c r="H790" s="12" t="str">
        <f>IF(G790="","",64*G790)</f>
        <v/>
      </c>
      <c r="I790" s="13"/>
      <c r="J790" s="13" t="str">
        <f>IFERROR(IF(OR(D790="",D790=0),"",I790/D790*100),"")</f>
        <v/>
      </c>
      <c r="K790" s="14"/>
      <c r="L790" s="13" t="str">
        <f>IF(I790="","",I790*K790)</f>
        <v/>
      </c>
      <c r="M790" s="13" t="str">
        <f>IF(B790="","",IFERROR(SUMPRODUCT(ISNUMBER(B$3:B790)*(MONTH(IF(ISNUMBER(B$3:B790),B$3:B790,1))=MONTH(B790))*(YEAR(IF(ISNUMBER(B$3:B790),B$3:B790,1))=YEAR(B790))*IF(ISNUMBER(L$3:L790),L$3:L790,0)),""))</f>
        <v/>
      </c>
      <c r="N790" s="6"/>
      <c r="O790" s="7" t="str">
        <f>IF(AND(B790="",ISNUMBER(B791)),CHOOSE(MONTH(B791),"GENNAIO","FEBBRAIO","MARZO","APRILE","MAGGIO","GIUGNO","LUGLIO","AGOSTO","SETTEMBRE","OTTOBRE","NOVEMBRE","DICEMBRE")&amp;" "&amp;YEAR(B791),"")</f>
        <v/>
      </c>
      <c r="P790" s="12" t="str">
        <f>IF(K790=0.2,"CASA","")</f>
        <v/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" customHeight="1" x14ac:dyDescent="0.2">
      <c r="A791" s="5" t="str">
        <f>IF(AND(B791="",ISNUMBER(B792)),CHOOSE(MONTH(B792),"GENNAIO","FEBBRAIO","MARZO","APRILE","MAGGIO","GIUGNO","LUGLIO","AGOSTO","SETTEMBRE","OTTOBRE","NOVEMBRE","DICEMBRE")&amp;" "&amp;YEAR(B792),"")</f>
        <v/>
      </c>
      <c r="B791" s="11"/>
      <c r="C791" s="12"/>
      <c r="D791" s="12" t="str">
        <f>IF(C791="","",C791-IF(C790&lt;&gt;"",C790,IF(C789&lt;&gt;"",C789,IF(C788&lt;&gt;"",C788,0))))</f>
        <v/>
      </c>
      <c r="E791" s="12"/>
      <c r="F791" s="12"/>
      <c r="G791" s="9" t="str">
        <f>IF(AND(E791="",F791=""),"",IF(OR(E791&gt;1,F791&gt;1),(F791-E791)/100,F791-E791))</f>
        <v/>
      </c>
      <c r="H791" s="12" t="str">
        <f>IF(G791="","",64*G791)</f>
        <v/>
      </c>
      <c r="I791" s="13"/>
      <c r="J791" s="13" t="str">
        <f>IFERROR(IF(OR(D791="",D791=0),"",I791/D791*100),"")</f>
        <v/>
      </c>
      <c r="K791" s="14"/>
      <c r="L791" s="13" t="str">
        <f>IF(I791="","",I791*K791)</f>
        <v/>
      </c>
      <c r="M791" s="13" t="str">
        <f>IF(B791="","",IFERROR(SUMPRODUCT(ISNUMBER(B$3:B791)*(MONTH(IF(ISNUMBER(B$3:B791),B$3:B791,1))=MONTH(B791))*(YEAR(IF(ISNUMBER(B$3:B791),B$3:B791,1))=YEAR(B791))*IF(ISNUMBER(L$3:L791),L$3:L791,0)),""))</f>
        <v/>
      </c>
      <c r="N791" s="6"/>
      <c r="O791" s="7" t="str">
        <f>IF(AND(B791="",ISNUMBER(B792)),CHOOSE(MONTH(B792),"GENNAIO","FEBBRAIO","MARZO","APRILE","MAGGIO","GIUGNO","LUGLIO","AGOSTO","SETTEMBRE","OTTOBRE","NOVEMBRE","DICEMBRE")&amp;" "&amp;YEAR(B792),"")</f>
        <v/>
      </c>
      <c r="P791" s="12" t="str">
        <f>IF(K791=0.2,"CASA","")</f>
        <v/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" customHeight="1" x14ac:dyDescent="0.2">
      <c r="A792" s="5" t="str">
        <f>IF(AND(B792="",ISNUMBER(B793)),CHOOSE(MONTH(B793),"GENNAIO","FEBBRAIO","MARZO","APRILE","MAGGIO","GIUGNO","LUGLIO","AGOSTO","SETTEMBRE","OTTOBRE","NOVEMBRE","DICEMBRE")&amp;" "&amp;YEAR(B793),"")</f>
        <v/>
      </c>
      <c r="B792" s="11"/>
      <c r="C792" s="12"/>
      <c r="D792" s="12" t="str">
        <f>IF(C792="","",C792-IF(C791&lt;&gt;"",C791,IF(C790&lt;&gt;"",C790,IF(C789&lt;&gt;"",C789,0))))</f>
        <v/>
      </c>
      <c r="E792" s="12"/>
      <c r="F792" s="12"/>
      <c r="G792" s="9" t="str">
        <f>IF(AND(E792="",F792=""),"",IF(OR(E792&gt;1,F792&gt;1),(F792-E792)/100,F792-E792))</f>
        <v/>
      </c>
      <c r="H792" s="12" t="str">
        <f>IF(G792="","",64*G792)</f>
        <v/>
      </c>
      <c r="I792" s="13"/>
      <c r="J792" s="13" t="str">
        <f>IFERROR(IF(OR(D792="",D792=0),"",I792/D792*100),"")</f>
        <v/>
      </c>
      <c r="K792" s="14"/>
      <c r="L792" s="13" t="str">
        <f>IF(I792="","",I792*K792)</f>
        <v/>
      </c>
      <c r="M792" s="13" t="str">
        <f>IF(B792="","",IFERROR(SUMPRODUCT(ISNUMBER(B$3:B792)*(MONTH(IF(ISNUMBER(B$3:B792),B$3:B792,1))=MONTH(B792))*(YEAR(IF(ISNUMBER(B$3:B792),B$3:B792,1))=YEAR(B792))*IF(ISNUMBER(L$3:L792),L$3:L792,0)),""))</f>
        <v/>
      </c>
      <c r="N792" s="6"/>
      <c r="O792" s="7" t="str">
        <f>IF(AND(B792="",ISNUMBER(B793)),CHOOSE(MONTH(B793),"GENNAIO","FEBBRAIO","MARZO","APRILE","MAGGIO","GIUGNO","LUGLIO","AGOSTO","SETTEMBRE","OTTOBRE","NOVEMBRE","DICEMBRE")&amp;" "&amp;YEAR(B793),"")</f>
        <v/>
      </c>
      <c r="P792" s="12" t="str">
        <f>IF(K792=0.2,"CASA","")</f>
        <v/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" customHeight="1" x14ac:dyDescent="0.2">
      <c r="A793" s="5" t="str">
        <f>IF(AND(B793="",ISNUMBER(B794)),CHOOSE(MONTH(B794),"GENNAIO","FEBBRAIO","MARZO","APRILE","MAGGIO","GIUGNO","LUGLIO","AGOSTO","SETTEMBRE","OTTOBRE","NOVEMBRE","DICEMBRE")&amp;" "&amp;YEAR(B794),"")</f>
        <v/>
      </c>
      <c r="B793" s="11"/>
      <c r="C793" s="12"/>
      <c r="D793" s="12" t="str">
        <f>IF(C793="","",C793-IF(C792&lt;&gt;"",C792,IF(C791&lt;&gt;"",C791,IF(C790&lt;&gt;"",C790,0))))</f>
        <v/>
      </c>
      <c r="E793" s="12"/>
      <c r="F793" s="12"/>
      <c r="G793" s="9" t="str">
        <f>IF(AND(E793="",F793=""),"",IF(OR(E793&gt;1,F793&gt;1),(F793-E793)/100,F793-E793))</f>
        <v/>
      </c>
      <c r="H793" s="12" t="str">
        <f>IF(G793="","",64*G793)</f>
        <v/>
      </c>
      <c r="I793" s="13"/>
      <c r="J793" s="13" t="str">
        <f>IFERROR(IF(OR(D793="",D793=0),"",I793/D793*100),"")</f>
        <v/>
      </c>
      <c r="K793" s="14"/>
      <c r="L793" s="13" t="str">
        <f>IF(I793="","",I793*K793)</f>
        <v/>
      </c>
      <c r="M793" s="13" t="str">
        <f>IF(B793="","",IFERROR(SUMPRODUCT(ISNUMBER(B$3:B793)*(MONTH(IF(ISNUMBER(B$3:B793),B$3:B793,1))=MONTH(B793))*(YEAR(IF(ISNUMBER(B$3:B793),B$3:B793,1))=YEAR(B793))*IF(ISNUMBER(L$3:L793),L$3:L793,0)),""))</f>
        <v/>
      </c>
      <c r="N793" s="6"/>
      <c r="O793" s="7" t="str">
        <f>IF(AND(B793="",ISNUMBER(B794)),CHOOSE(MONTH(B794),"GENNAIO","FEBBRAIO","MARZO","APRILE","MAGGIO","GIUGNO","LUGLIO","AGOSTO","SETTEMBRE","OTTOBRE","NOVEMBRE","DICEMBRE")&amp;" "&amp;YEAR(B794),"")</f>
        <v/>
      </c>
      <c r="P793" s="12" t="str">
        <f>IF(K793=0.2,"CASA","")</f>
        <v/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" customHeight="1" x14ac:dyDescent="0.2">
      <c r="A794" s="5" t="str">
        <f>IF(AND(B794="",ISNUMBER(B795)),CHOOSE(MONTH(B795),"GENNAIO","FEBBRAIO","MARZO","APRILE","MAGGIO","GIUGNO","LUGLIO","AGOSTO","SETTEMBRE","OTTOBRE","NOVEMBRE","DICEMBRE")&amp;" "&amp;YEAR(B795),"")</f>
        <v/>
      </c>
      <c r="B794" s="11"/>
      <c r="C794" s="12"/>
      <c r="D794" s="12" t="str">
        <f>IF(C794="","",C794-IF(C793&lt;&gt;"",C793,IF(C792&lt;&gt;"",C792,IF(C791&lt;&gt;"",C791,0))))</f>
        <v/>
      </c>
      <c r="E794" s="12"/>
      <c r="F794" s="12"/>
      <c r="G794" s="9" t="str">
        <f>IF(AND(E794="",F794=""),"",IF(OR(E794&gt;1,F794&gt;1),(F794-E794)/100,F794-E794))</f>
        <v/>
      </c>
      <c r="H794" s="12" t="str">
        <f>IF(G794="","",64*G794)</f>
        <v/>
      </c>
      <c r="I794" s="13"/>
      <c r="J794" s="13" t="str">
        <f>IFERROR(IF(OR(D794="",D794=0),"",I794/D794*100),"")</f>
        <v/>
      </c>
      <c r="K794" s="14"/>
      <c r="L794" s="13" t="str">
        <f>IF(I794="","",I794*K794)</f>
        <v/>
      </c>
      <c r="M794" s="13" t="str">
        <f>IF(B794="","",IFERROR(SUMPRODUCT(ISNUMBER(B$3:B794)*(MONTH(IF(ISNUMBER(B$3:B794),B$3:B794,1))=MONTH(B794))*(YEAR(IF(ISNUMBER(B$3:B794),B$3:B794,1))=YEAR(B794))*IF(ISNUMBER(L$3:L794),L$3:L794,0)),""))</f>
        <v/>
      </c>
      <c r="N794" s="6"/>
      <c r="O794" s="7" t="str">
        <f>IF(AND(B794="",ISNUMBER(B795)),CHOOSE(MONTH(B795),"GENNAIO","FEBBRAIO","MARZO","APRILE","MAGGIO","GIUGNO","LUGLIO","AGOSTO","SETTEMBRE","OTTOBRE","NOVEMBRE","DICEMBRE")&amp;" "&amp;YEAR(B795),"")</f>
        <v/>
      </c>
      <c r="P794" s="12" t="str">
        <f>IF(K794=0.2,"CASA","")</f>
        <v/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" customHeight="1" x14ac:dyDescent="0.2">
      <c r="A795" s="5" t="str">
        <f>IF(AND(B795="",ISNUMBER(B796)),CHOOSE(MONTH(B796),"GENNAIO","FEBBRAIO","MARZO","APRILE","MAGGIO","GIUGNO","LUGLIO","AGOSTO","SETTEMBRE","OTTOBRE","NOVEMBRE","DICEMBRE")&amp;" "&amp;YEAR(B796),"")</f>
        <v/>
      </c>
      <c r="B795" s="11"/>
      <c r="C795" s="12"/>
      <c r="D795" s="12" t="str">
        <f>IF(C795="","",C795-IF(C794&lt;&gt;"",C794,IF(C793&lt;&gt;"",C793,IF(C792&lt;&gt;"",C792,0))))</f>
        <v/>
      </c>
      <c r="E795" s="12"/>
      <c r="F795" s="12"/>
      <c r="G795" s="9" t="str">
        <f>IF(AND(E795="",F795=""),"",IF(OR(E795&gt;1,F795&gt;1),(F795-E795)/100,F795-E795))</f>
        <v/>
      </c>
      <c r="H795" s="12" t="str">
        <f>IF(G795="","",64*G795)</f>
        <v/>
      </c>
      <c r="I795" s="13"/>
      <c r="J795" s="13" t="str">
        <f>IFERROR(IF(OR(D795="",D795=0),"",I795/D795*100),"")</f>
        <v/>
      </c>
      <c r="K795" s="14"/>
      <c r="L795" s="13" t="str">
        <f>IF(I795="","",I795*K795)</f>
        <v/>
      </c>
      <c r="M795" s="13" t="str">
        <f>IF(B795="","",IFERROR(SUMPRODUCT(ISNUMBER(B$3:B795)*(MONTH(IF(ISNUMBER(B$3:B795),B$3:B795,1))=MONTH(B795))*(YEAR(IF(ISNUMBER(B$3:B795),B$3:B795,1))=YEAR(B795))*IF(ISNUMBER(L$3:L795),L$3:L795,0)),""))</f>
        <v/>
      </c>
      <c r="N795" s="6"/>
      <c r="O795" s="7" t="str">
        <f>IF(AND(B795="",ISNUMBER(B796)),CHOOSE(MONTH(B796),"GENNAIO","FEBBRAIO","MARZO","APRILE","MAGGIO","GIUGNO","LUGLIO","AGOSTO","SETTEMBRE","OTTOBRE","NOVEMBRE","DICEMBRE")&amp;" "&amp;YEAR(B796),"")</f>
        <v/>
      </c>
      <c r="P795" s="12" t="str">
        <f>IF(K795=0.2,"CASA","")</f>
        <v/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" customHeight="1" x14ac:dyDescent="0.2">
      <c r="A796" s="5" t="str">
        <f>IF(AND(B796="",ISNUMBER(B797)),CHOOSE(MONTH(B797),"GENNAIO","FEBBRAIO","MARZO","APRILE","MAGGIO","GIUGNO","LUGLIO","AGOSTO","SETTEMBRE","OTTOBRE","NOVEMBRE","DICEMBRE")&amp;" "&amp;YEAR(B797),"")</f>
        <v/>
      </c>
      <c r="B796" s="11"/>
      <c r="C796" s="12"/>
      <c r="D796" s="12" t="str">
        <f>IF(C796="","",C796-IF(C795&lt;&gt;"",C795,IF(C794&lt;&gt;"",C794,IF(C793&lt;&gt;"",C793,0))))</f>
        <v/>
      </c>
      <c r="E796" s="12"/>
      <c r="F796" s="12"/>
      <c r="G796" s="9" t="str">
        <f>IF(AND(E796="",F796=""),"",IF(OR(E796&gt;1,F796&gt;1),(F796-E796)/100,F796-E796))</f>
        <v/>
      </c>
      <c r="H796" s="12" t="str">
        <f>IF(G796="","",64*G796)</f>
        <v/>
      </c>
      <c r="I796" s="13"/>
      <c r="J796" s="13" t="str">
        <f>IFERROR(IF(OR(D796="",D796=0),"",I796/D796*100),"")</f>
        <v/>
      </c>
      <c r="K796" s="14"/>
      <c r="L796" s="13" t="str">
        <f>IF(I796="","",I796*K796)</f>
        <v/>
      </c>
      <c r="M796" s="13" t="str">
        <f>IF(B796="","",IFERROR(SUMPRODUCT(ISNUMBER(B$3:B796)*(MONTH(IF(ISNUMBER(B$3:B796),B$3:B796,1))=MONTH(B796))*(YEAR(IF(ISNUMBER(B$3:B796),B$3:B796,1))=YEAR(B796))*IF(ISNUMBER(L$3:L796),L$3:L796,0)),""))</f>
        <v/>
      </c>
      <c r="N796" s="6"/>
      <c r="O796" s="7" t="str">
        <f>IF(AND(B796="",ISNUMBER(B797)),CHOOSE(MONTH(B797),"GENNAIO","FEBBRAIO","MARZO","APRILE","MAGGIO","GIUGNO","LUGLIO","AGOSTO","SETTEMBRE","OTTOBRE","NOVEMBRE","DICEMBRE")&amp;" "&amp;YEAR(B797),"")</f>
        <v/>
      </c>
      <c r="P796" s="12" t="str">
        <f>IF(K796=0.2,"CASA","")</f>
        <v/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" customHeight="1" x14ac:dyDescent="0.2">
      <c r="A797" s="5" t="str">
        <f>IF(AND(B797="",ISNUMBER(B798)),CHOOSE(MONTH(B798),"GENNAIO","FEBBRAIO","MARZO","APRILE","MAGGIO","GIUGNO","LUGLIO","AGOSTO","SETTEMBRE","OTTOBRE","NOVEMBRE","DICEMBRE")&amp;" "&amp;YEAR(B798),"")</f>
        <v/>
      </c>
      <c r="B797" s="11"/>
      <c r="C797" s="12"/>
      <c r="D797" s="12" t="str">
        <f>IF(C797="","",C797-IF(C796&lt;&gt;"",C796,IF(C795&lt;&gt;"",C795,IF(C794&lt;&gt;"",C794,0))))</f>
        <v/>
      </c>
      <c r="E797" s="12"/>
      <c r="F797" s="12"/>
      <c r="G797" s="9" t="str">
        <f>IF(AND(E797="",F797=""),"",IF(OR(E797&gt;1,F797&gt;1),(F797-E797)/100,F797-E797))</f>
        <v/>
      </c>
      <c r="H797" s="12" t="str">
        <f>IF(G797="","",64*G797)</f>
        <v/>
      </c>
      <c r="I797" s="13"/>
      <c r="J797" s="13" t="str">
        <f>IFERROR(IF(OR(D797="",D797=0),"",I797/D797*100),"")</f>
        <v/>
      </c>
      <c r="K797" s="14"/>
      <c r="L797" s="13" t="str">
        <f>IF(I797="","",I797*K797)</f>
        <v/>
      </c>
      <c r="M797" s="13" t="str">
        <f>IF(B797="","",IFERROR(SUMPRODUCT(ISNUMBER(B$3:B797)*(MONTH(IF(ISNUMBER(B$3:B797),B$3:B797,1))=MONTH(B797))*(YEAR(IF(ISNUMBER(B$3:B797),B$3:B797,1))=YEAR(B797))*IF(ISNUMBER(L$3:L797),L$3:L797,0)),""))</f>
        <v/>
      </c>
      <c r="N797" s="6"/>
      <c r="O797" s="7" t="str">
        <f>IF(AND(B797="",ISNUMBER(B798)),CHOOSE(MONTH(B798),"GENNAIO","FEBBRAIO","MARZO","APRILE","MAGGIO","GIUGNO","LUGLIO","AGOSTO","SETTEMBRE","OTTOBRE","NOVEMBRE","DICEMBRE")&amp;" "&amp;YEAR(B798),"")</f>
        <v/>
      </c>
      <c r="P797" s="12" t="str">
        <f>IF(K797=0.2,"CASA","")</f>
        <v/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" customHeight="1" x14ac:dyDescent="0.2">
      <c r="A798" s="5" t="str">
        <f>IF(AND(B798="",ISNUMBER(B799)),CHOOSE(MONTH(B799),"GENNAIO","FEBBRAIO","MARZO","APRILE","MAGGIO","GIUGNO","LUGLIO","AGOSTO","SETTEMBRE","OTTOBRE","NOVEMBRE","DICEMBRE")&amp;" "&amp;YEAR(B799),"")</f>
        <v/>
      </c>
      <c r="B798" s="11"/>
      <c r="C798" s="12"/>
      <c r="D798" s="12" t="str">
        <f>IF(C798="","",C798-IF(C797&lt;&gt;"",C797,IF(C796&lt;&gt;"",C796,IF(C795&lt;&gt;"",C795,0))))</f>
        <v/>
      </c>
      <c r="E798" s="12"/>
      <c r="F798" s="12"/>
      <c r="G798" s="9" t="str">
        <f>IF(AND(E798="",F798=""),"",IF(OR(E798&gt;1,F798&gt;1),(F798-E798)/100,F798-E798))</f>
        <v/>
      </c>
      <c r="H798" s="12" t="str">
        <f>IF(G798="","",64*G798)</f>
        <v/>
      </c>
      <c r="I798" s="13"/>
      <c r="J798" s="13" t="str">
        <f>IFERROR(IF(OR(D798="",D798=0),"",I798/D798*100),"")</f>
        <v/>
      </c>
      <c r="K798" s="14"/>
      <c r="L798" s="13" t="str">
        <f>IF(I798="","",I798*K798)</f>
        <v/>
      </c>
      <c r="M798" s="13" t="str">
        <f>IF(B798="","",IFERROR(SUMPRODUCT(ISNUMBER(B$3:B798)*(MONTH(IF(ISNUMBER(B$3:B798),B$3:B798,1))=MONTH(B798))*(YEAR(IF(ISNUMBER(B$3:B798),B$3:B798,1))=YEAR(B798))*IF(ISNUMBER(L$3:L798),L$3:L798,0)),""))</f>
        <v/>
      </c>
      <c r="N798" s="6"/>
      <c r="O798" s="7" t="str">
        <f>IF(AND(B798="",ISNUMBER(B799)),CHOOSE(MONTH(B799),"GENNAIO","FEBBRAIO","MARZO","APRILE","MAGGIO","GIUGNO","LUGLIO","AGOSTO","SETTEMBRE","OTTOBRE","NOVEMBRE","DICEMBRE")&amp;" "&amp;YEAR(B799),"")</f>
        <v/>
      </c>
      <c r="P798" s="12" t="str">
        <f>IF(K798=0.2,"CASA","")</f>
        <v/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" customHeight="1" x14ac:dyDescent="0.2">
      <c r="A799" s="5" t="str">
        <f>IF(AND(B799="",ISNUMBER(B800)),CHOOSE(MONTH(B800),"GENNAIO","FEBBRAIO","MARZO","APRILE","MAGGIO","GIUGNO","LUGLIO","AGOSTO","SETTEMBRE","OTTOBRE","NOVEMBRE","DICEMBRE")&amp;" "&amp;YEAR(B800),"")</f>
        <v/>
      </c>
      <c r="B799" s="11"/>
      <c r="C799" s="12"/>
      <c r="D799" s="12" t="str">
        <f>IF(C799="","",C799-IF(C798&lt;&gt;"",C798,IF(C797&lt;&gt;"",C797,IF(C796&lt;&gt;"",C796,0))))</f>
        <v/>
      </c>
      <c r="E799" s="12"/>
      <c r="F799" s="12"/>
      <c r="G799" s="9" t="str">
        <f>IF(AND(E799="",F799=""),"",IF(OR(E799&gt;1,F799&gt;1),(F799-E799)/100,F799-E799))</f>
        <v/>
      </c>
      <c r="H799" s="12" t="str">
        <f>IF(G799="","",64*G799)</f>
        <v/>
      </c>
      <c r="I799" s="13"/>
      <c r="J799" s="13" t="str">
        <f>IFERROR(IF(OR(D799="",D799=0),"",I799/D799*100),"")</f>
        <v/>
      </c>
      <c r="K799" s="14"/>
      <c r="L799" s="13" t="str">
        <f>IF(I799="","",I799*K799)</f>
        <v/>
      </c>
      <c r="M799" s="13" t="str">
        <f>IF(B799="","",IFERROR(SUMPRODUCT(ISNUMBER(B$3:B799)*(MONTH(IF(ISNUMBER(B$3:B799),B$3:B799,1))=MONTH(B799))*(YEAR(IF(ISNUMBER(B$3:B799),B$3:B799,1))=YEAR(B799))*IF(ISNUMBER(L$3:L799),L$3:L799,0)),""))</f>
        <v/>
      </c>
      <c r="N799" s="6"/>
      <c r="O799" s="7" t="str">
        <f>IF(AND(B799="",ISNUMBER(B800)),CHOOSE(MONTH(B800),"GENNAIO","FEBBRAIO","MARZO","APRILE","MAGGIO","GIUGNO","LUGLIO","AGOSTO","SETTEMBRE","OTTOBRE","NOVEMBRE","DICEMBRE")&amp;" "&amp;YEAR(B800),"")</f>
        <v/>
      </c>
      <c r="P799" s="12" t="str">
        <f>IF(K799=0.2,"CASA","")</f>
        <v/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" customHeight="1" x14ac:dyDescent="0.2">
      <c r="A800" s="5" t="str">
        <f>IF(AND(B800="",ISNUMBER(B801)),CHOOSE(MONTH(B801),"GENNAIO","FEBBRAIO","MARZO","APRILE","MAGGIO","GIUGNO","LUGLIO","AGOSTO","SETTEMBRE","OTTOBRE","NOVEMBRE","DICEMBRE")&amp;" "&amp;YEAR(B801),"")</f>
        <v/>
      </c>
      <c r="B800" s="11"/>
      <c r="C800" s="12"/>
      <c r="D800" s="12" t="str">
        <f>IF(C800="","",C800-IF(C799&lt;&gt;"",C799,IF(C798&lt;&gt;"",C798,IF(C797&lt;&gt;"",C797,0))))</f>
        <v/>
      </c>
      <c r="E800" s="12"/>
      <c r="F800" s="12"/>
      <c r="G800" s="9" t="str">
        <f>IF(AND(E800="",F800=""),"",IF(OR(E800&gt;1,F800&gt;1),(F800-E800)/100,F800-E800))</f>
        <v/>
      </c>
      <c r="H800" s="12" t="str">
        <f>IF(G800="","",64*G800)</f>
        <v/>
      </c>
      <c r="I800" s="13"/>
      <c r="J800" s="13" t="str">
        <f>IFERROR(IF(OR(D800="",D800=0),"",I800/D800*100),"")</f>
        <v/>
      </c>
      <c r="K800" s="14"/>
      <c r="L800" s="13" t="str">
        <f>IF(I800="","",I800*K800)</f>
        <v/>
      </c>
      <c r="M800" s="13" t="str">
        <f>IF(B800="","",IFERROR(SUMPRODUCT(ISNUMBER(B$3:B800)*(MONTH(IF(ISNUMBER(B$3:B800),B$3:B800,1))=MONTH(B800))*(YEAR(IF(ISNUMBER(B$3:B800),B$3:B800,1))=YEAR(B800))*IF(ISNUMBER(L$3:L800),L$3:L800,0)),""))</f>
        <v/>
      </c>
      <c r="N800" s="6"/>
      <c r="O800" s="7" t="str">
        <f>IF(AND(B800="",ISNUMBER(B801)),CHOOSE(MONTH(B801),"GENNAIO","FEBBRAIO","MARZO","APRILE","MAGGIO","GIUGNO","LUGLIO","AGOSTO","SETTEMBRE","OTTOBRE","NOVEMBRE","DICEMBRE")&amp;" "&amp;YEAR(B801),"")</f>
        <v/>
      </c>
      <c r="P800" s="12" t="str">
        <f>IF(K800=0.2,"CASA","")</f>
        <v/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" customHeight="1" x14ac:dyDescent="0.2">
      <c r="A801" s="5" t="str">
        <f>IF(AND(B801="",ISNUMBER(B802)),CHOOSE(MONTH(B802),"GENNAIO","FEBBRAIO","MARZO","APRILE","MAGGIO","GIUGNO","LUGLIO","AGOSTO","SETTEMBRE","OTTOBRE","NOVEMBRE","DICEMBRE")&amp;" "&amp;YEAR(B802),"")</f>
        <v/>
      </c>
      <c r="B801" s="11"/>
      <c r="C801" s="12"/>
      <c r="D801" s="12" t="str">
        <f>IF(C801="","",C801-IF(C800&lt;&gt;"",C800,IF(C799&lt;&gt;"",C799,IF(C798&lt;&gt;"",C798,0))))</f>
        <v/>
      </c>
      <c r="E801" s="12"/>
      <c r="F801" s="12"/>
      <c r="G801" s="9" t="str">
        <f>IF(AND(E801="",F801=""),"",IF(OR(E801&gt;1,F801&gt;1),(F801-E801)/100,F801-E801))</f>
        <v/>
      </c>
      <c r="H801" s="12" t="str">
        <f>IF(G801="","",64*G801)</f>
        <v/>
      </c>
      <c r="I801" s="13"/>
      <c r="J801" s="13" t="str">
        <f>IFERROR(IF(OR(D801="",D801=0),"",I801/D801*100),"")</f>
        <v/>
      </c>
      <c r="K801" s="14"/>
      <c r="L801" s="13" t="str">
        <f>IF(I801="","",I801*K801)</f>
        <v/>
      </c>
      <c r="M801" s="13" t="str">
        <f>IF(B801="","",IFERROR(SUMPRODUCT(ISNUMBER(B$3:B801)*(MONTH(IF(ISNUMBER(B$3:B801),B$3:B801,1))=MONTH(B801))*(YEAR(IF(ISNUMBER(B$3:B801),B$3:B801,1))=YEAR(B801))*IF(ISNUMBER(L$3:L801),L$3:L801,0)),""))</f>
        <v/>
      </c>
      <c r="N801" s="6"/>
      <c r="O801" s="7" t="str">
        <f>IF(AND(B801="",ISNUMBER(B802)),CHOOSE(MONTH(B802),"GENNAIO","FEBBRAIO","MARZO","APRILE","MAGGIO","GIUGNO","LUGLIO","AGOSTO","SETTEMBRE","OTTOBRE","NOVEMBRE","DICEMBRE")&amp;" "&amp;YEAR(B802),"")</f>
        <v/>
      </c>
      <c r="P801" s="12" t="str">
        <f>IF(K801=0.2,"CASA","")</f>
        <v/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" customHeight="1" x14ac:dyDescent="0.2">
      <c r="A802" s="5" t="str">
        <f>IF(AND(B802="",ISNUMBER(B803)),CHOOSE(MONTH(B803),"GENNAIO","FEBBRAIO","MARZO","APRILE","MAGGIO","GIUGNO","LUGLIO","AGOSTO","SETTEMBRE","OTTOBRE","NOVEMBRE","DICEMBRE")&amp;" "&amp;YEAR(B803),"")</f>
        <v/>
      </c>
      <c r="B802" s="11"/>
      <c r="C802" s="12"/>
      <c r="D802" s="12" t="str">
        <f>IF(C802="","",C802-IF(C801&lt;&gt;"",C801,IF(C800&lt;&gt;"",C800,IF(C799&lt;&gt;"",C799,0))))</f>
        <v/>
      </c>
      <c r="E802" s="12"/>
      <c r="F802" s="12"/>
      <c r="G802" s="9" t="str">
        <f>IF(AND(E802="",F802=""),"",IF(OR(E802&gt;1,F802&gt;1),(F802-E802)/100,F802-E802))</f>
        <v/>
      </c>
      <c r="H802" s="12" t="str">
        <f>IF(G802="","",64*G802)</f>
        <v/>
      </c>
      <c r="I802" s="13"/>
      <c r="J802" s="13" t="str">
        <f>IFERROR(IF(OR(D802="",D802=0),"",I802/D802*100),"")</f>
        <v/>
      </c>
      <c r="K802" s="14"/>
      <c r="L802" s="13" t="str">
        <f>IF(I802="","",I802*K802)</f>
        <v/>
      </c>
      <c r="M802" s="13" t="str">
        <f>IF(B802="","",IFERROR(SUMPRODUCT(ISNUMBER(B$3:B802)*(MONTH(IF(ISNUMBER(B$3:B802),B$3:B802,1))=MONTH(B802))*(YEAR(IF(ISNUMBER(B$3:B802),B$3:B802,1))=YEAR(B802))*IF(ISNUMBER(L$3:L802),L$3:L802,0)),""))</f>
        <v/>
      </c>
      <c r="N802" s="6"/>
      <c r="O802" s="7" t="str">
        <f>IF(AND(B802="",ISNUMBER(B803)),CHOOSE(MONTH(B803),"GENNAIO","FEBBRAIO","MARZO","APRILE","MAGGIO","GIUGNO","LUGLIO","AGOSTO","SETTEMBRE","OTTOBRE","NOVEMBRE","DICEMBRE")&amp;" "&amp;YEAR(B803),"")</f>
        <v/>
      </c>
      <c r="P802" s="12" t="str">
        <f>IF(K802=0.2,"CASA","")</f>
        <v/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" customHeight="1" x14ac:dyDescent="0.2">
      <c r="A803" s="5" t="str">
        <f>IF(AND(B803="",ISNUMBER(B804)),CHOOSE(MONTH(B804),"GENNAIO","FEBBRAIO","MARZO","APRILE","MAGGIO","GIUGNO","LUGLIO","AGOSTO","SETTEMBRE","OTTOBRE","NOVEMBRE","DICEMBRE")&amp;" "&amp;YEAR(B804),"")</f>
        <v/>
      </c>
      <c r="B803" s="11"/>
      <c r="C803" s="12"/>
      <c r="D803" s="12" t="str">
        <f>IF(C803="","",C803-IF(C802&lt;&gt;"",C802,IF(C801&lt;&gt;"",C801,IF(C800&lt;&gt;"",C800,0))))</f>
        <v/>
      </c>
      <c r="E803" s="12"/>
      <c r="F803" s="12"/>
      <c r="G803" s="9" t="str">
        <f>IF(AND(E803="",F803=""),"",IF(OR(E803&gt;1,F803&gt;1),(F803-E803)/100,F803-E803))</f>
        <v/>
      </c>
      <c r="H803" s="12" t="str">
        <f>IF(G803="","",64*G803)</f>
        <v/>
      </c>
      <c r="I803" s="13"/>
      <c r="J803" s="13" t="str">
        <f>IFERROR(IF(OR(D803="",D803=0),"",I803/D803*100),"")</f>
        <v/>
      </c>
      <c r="K803" s="14"/>
      <c r="L803" s="13" t="str">
        <f>IF(I803="","",I803*K803)</f>
        <v/>
      </c>
      <c r="M803" s="13" t="str">
        <f>IF(B803="","",IFERROR(SUMPRODUCT(ISNUMBER(B$3:B803)*(MONTH(IF(ISNUMBER(B$3:B803),B$3:B803,1))=MONTH(B803))*(YEAR(IF(ISNUMBER(B$3:B803),B$3:B803,1))=YEAR(B803))*IF(ISNUMBER(L$3:L803),L$3:L803,0)),""))</f>
        <v/>
      </c>
      <c r="N803" s="6"/>
      <c r="O803" s="7" t="str">
        <f>IF(AND(B803="",ISNUMBER(B804)),CHOOSE(MONTH(B804),"GENNAIO","FEBBRAIO","MARZO","APRILE","MAGGIO","GIUGNO","LUGLIO","AGOSTO","SETTEMBRE","OTTOBRE","NOVEMBRE","DICEMBRE")&amp;" "&amp;YEAR(B804),"")</f>
        <v/>
      </c>
      <c r="P803" s="12" t="str">
        <f>IF(K803=0.2,"CASA","")</f>
        <v/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" customHeight="1" x14ac:dyDescent="0.2">
      <c r="A804" s="5" t="str">
        <f>IF(AND(B804="",ISNUMBER(B805)),CHOOSE(MONTH(B805),"GENNAIO","FEBBRAIO","MARZO","APRILE","MAGGIO","GIUGNO","LUGLIO","AGOSTO","SETTEMBRE","OTTOBRE","NOVEMBRE","DICEMBRE")&amp;" "&amp;YEAR(B805),"")</f>
        <v/>
      </c>
      <c r="B804" s="11"/>
      <c r="C804" s="12"/>
      <c r="D804" s="12" t="str">
        <f>IF(C804="","",C804-IF(C803&lt;&gt;"",C803,IF(C802&lt;&gt;"",C802,IF(C801&lt;&gt;"",C801,0))))</f>
        <v/>
      </c>
      <c r="E804" s="12"/>
      <c r="F804" s="12"/>
      <c r="G804" s="9" t="str">
        <f>IF(AND(E804="",F804=""),"",IF(OR(E804&gt;1,F804&gt;1),(F804-E804)/100,F804-E804))</f>
        <v/>
      </c>
      <c r="H804" s="12" t="str">
        <f>IF(G804="","",64*G804)</f>
        <v/>
      </c>
      <c r="I804" s="13"/>
      <c r="J804" s="13" t="str">
        <f>IFERROR(IF(OR(D804="",D804=0),"",I804/D804*100),"")</f>
        <v/>
      </c>
      <c r="K804" s="14"/>
      <c r="L804" s="13" t="str">
        <f>IF(I804="","",I804*K804)</f>
        <v/>
      </c>
      <c r="M804" s="13" t="str">
        <f>IF(B804="","",IFERROR(SUMPRODUCT(ISNUMBER(B$3:B804)*(MONTH(IF(ISNUMBER(B$3:B804),B$3:B804,1))=MONTH(B804))*(YEAR(IF(ISNUMBER(B$3:B804),B$3:B804,1))=YEAR(B804))*IF(ISNUMBER(L$3:L804),L$3:L804,0)),""))</f>
        <v/>
      </c>
      <c r="N804" s="6"/>
      <c r="O804" s="7" t="str">
        <f>IF(AND(B804="",ISNUMBER(B805)),CHOOSE(MONTH(B805),"GENNAIO","FEBBRAIO","MARZO","APRILE","MAGGIO","GIUGNO","LUGLIO","AGOSTO","SETTEMBRE","OTTOBRE","NOVEMBRE","DICEMBRE")&amp;" "&amp;YEAR(B805),"")</f>
        <v/>
      </c>
      <c r="P804" s="12" t="str">
        <f>IF(K804=0.2,"CASA","")</f>
        <v/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" customHeight="1" x14ac:dyDescent="0.2">
      <c r="A805" s="5" t="str">
        <f>IF(AND(B805="",ISNUMBER(B806)),CHOOSE(MONTH(B806),"GENNAIO","FEBBRAIO","MARZO","APRILE","MAGGIO","GIUGNO","LUGLIO","AGOSTO","SETTEMBRE","OTTOBRE","NOVEMBRE","DICEMBRE")&amp;" "&amp;YEAR(B806),"")</f>
        <v/>
      </c>
      <c r="B805" s="11"/>
      <c r="C805" s="12"/>
      <c r="D805" s="12" t="str">
        <f>IF(C805="","",C805-IF(C804&lt;&gt;"",C804,IF(C803&lt;&gt;"",C803,IF(C802&lt;&gt;"",C802,0))))</f>
        <v/>
      </c>
      <c r="E805" s="12"/>
      <c r="F805" s="12"/>
      <c r="G805" s="9" t="str">
        <f>IF(AND(E805="",F805=""),"",IF(OR(E805&gt;1,F805&gt;1),(F805-E805)/100,F805-E805))</f>
        <v/>
      </c>
      <c r="H805" s="12" t="str">
        <f>IF(G805="","",64*G805)</f>
        <v/>
      </c>
      <c r="I805" s="13"/>
      <c r="J805" s="13" t="str">
        <f>IFERROR(IF(OR(D805="",D805=0),"",I805/D805*100),"")</f>
        <v/>
      </c>
      <c r="K805" s="14"/>
      <c r="L805" s="13" t="str">
        <f>IF(I805="","",I805*K805)</f>
        <v/>
      </c>
      <c r="M805" s="13" t="str">
        <f>IF(B805="","",IFERROR(SUMPRODUCT(ISNUMBER(B$3:B805)*(MONTH(IF(ISNUMBER(B$3:B805),B$3:B805,1))=MONTH(B805))*(YEAR(IF(ISNUMBER(B$3:B805),B$3:B805,1))=YEAR(B805))*IF(ISNUMBER(L$3:L805),L$3:L805,0)),""))</f>
        <v/>
      </c>
      <c r="N805" s="6"/>
      <c r="O805" s="7" t="str">
        <f>IF(AND(B805="",ISNUMBER(B806)),CHOOSE(MONTH(B806),"GENNAIO","FEBBRAIO","MARZO","APRILE","MAGGIO","GIUGNO","LUGLIO","AGOSTO","SETTEMBRE","OTTOBRE","NOVEMBRE","DICEMBRE")&amp;" "&amp;YEAR(B806),"")</f>
        <v/>
      </c>
      <c r="P805" s="12" t="str">
        <f>IF(K805=0.2,"CASA","")</f>
        <v/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" customHeight="1" x14ac:dyDescent="0.2">
      <c r="A806" s="5" t="str">
        <f>IF(AND(B806="",ISNUMBER(B807)),CHOOSE(MONTH(B807),"GENNAIO","FEBBRAIO","MARZO","APRILE","MAGGIO","GIUGNO","LUGLIO","AGOSTO","SETTEMBRE","OTTOBRE","NOVEMBRE","DICEMBRE")&amp;" "&amp;YEAR(B807),"")</f>
        <v/>
      </c>
      <c r="B806" s="11"/>
      <c r="C806" s="12"/>
      <c r="D806" s="12" t="str">
        <f>IF(C806="","",C806-IF(C805&lt;&gt;"",C805,IF(C804&lt;&gt;"",C804,IF(C803&lt;&gt;"",C803,0))))</f>
        <v/>
      </c>
      <c r="E806" s="12"/>
      <c r="F806" s="12"/>
      <c r="G806" s="9" t="str">
        <f>IF(AND(E806="",F806=""),"",IF(OR(E806&gt;1,F806&gt;1),(F806-E806)/100,F806-E806))</f>
        <v/>
      </c>
      <c r="H806" s="12" t="str">
        <f>IF(G806="","",64*G806)</f>
        <v/>
      </c>
      <c r="I806" s="13"/>
      <c r="J806" s="13" t="str">
        <f>IFERROR(IF(OR(D806="",D806=0),"",I806/D806*100),"")</f>
        <v/>
      </c>
      <c r="K806" s="14"/>
      <c r="L806" s="13" t="str">
        <f>IF(I806="","",I806*K806)</f>
        <v/>
      </c>
      <c r="M806" s="13" t="str">
        <f>IF(B806="","",IFERROR(SUMPRODUCT(ISNUMBER(B$3:B806)*(MONTH(IF(ISNUMBER(B$3:B806),B$3:B806,1))=MONTH(B806))*(YEAR(IF(ISNUMBER(B$3:B806),B$3:B806,1))=YEAR(B806))*IF(ISNUMBER(L$3:L806),L$3:L806,0)),""))</f>
        <v/>
      </c>
      <c r="N806" s="6"/>
      <c r="O806" s="7" t="str">
        <f>IF(AND(B806="",ISNUMBER(B807)),CHOOSE(MONTH(B807),"GENNAIO","FEBBRAIO","MARZO","APRILE","MAGGIO","GIUGNO","LUGLIO","AGOSTO","SETTEMBRE","OTTOBRE","NOVEMBRE","DICEMBRE")&amp;" "&amp;YEAR(B807),"")</f>
        <v/>
      </c>
      <c r="P806" s="12" t="str">
        <f>IF(K806=0.2,"CASA","")</f>
        <v/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" customHeight="1" x14ac:dyDescent="0.2">
      <c r="A807" s="5" t="str">
        <f>IF(AND(B807="",ISNUMBER(B808)),CHOOSE(MONTH(B808),"GENNAIO","FEBBRAIO","MARZO","APRILE","MAGGIO","GIUGNO","LUGLIO","AGOSTO","SETTEMBRE","OTTOBRE","NOVEMBRE","DICEMBRE")&amp;" "&amp;YEAR(B808),"")</f>
        <v/>
      </c>
      <c r="B807" s="11"/>
      <c r="C807" s="12"/>
      <c r="D807" s="12" t="str">
        <f>IF(C807="","",C807-IF(C806&lt;&gt;"",C806,IF(C805&lt;&gt;"",C805,IF(C804&lt;&gt;"",C804,0))))</f>
        <v/>
      </c>
      <c r="E807" s="12"/>
      <c r="F807" s="12"/>
      <c r="G807" s="9" t="str">
        <f>IF(AND(E807="",F807=""),"",IF(OR(E807&gt;1,F807&gt;1),(F807-E807)/100,F807-E807))</f>
        <v/>
      </c>
      <c r="H807" s="12" t="str">
        <f>IF(G807="","",64*G807)</f>
        <v/>
      </c>
      <c r="I807" s="13"/>
      <c r="J807" s="13" t="str">
        <f>IFERROR(IF(OR(D807="",D807=0),"",I807/D807*100),"")</f>
        <v/>
      </c>
      <c r="K807" s="14"/>
      <c r="L807" s="13" t="str">
        <f>IF(I807="","",I807*K807)</f>
        <v/>
      </c>
      <c r="M807" s="13" t="str">
        <f>IF(B807="","",IFERROR(SUMPRODUCT(ISNUMBER(B$3:B807)*(MONTH(IF(ISNUMBER(B$3:B807),B$3:B807,1))=MONTH(B807))*(YEAR(IF(ISNUMBER(B$3:B807),B$3:B807,1))=YEAR(B807))*IF(ISNUMBER(L$3:L807),L$3:L807,0)),""))</f>
        <v/>
      </c>
      <c r="N807" s="6"/>
      <c r="O807" s="7" t="str">
        <f>IF(AND(B807="",ISNUMBER(B808)),CHOOSE(MONTH(B808),"GENNAIO","FEBBRAIO","MARZO","APRILE","MAGGIO","GIUGNO","LUGLIO","AGOSTO","SETTEMBRE","OTTOBRE","NOVEMBRE","DICEMBRE")&amp;" "&amp;YEAR(B808),"")</f>
        <v/>
      </c>
      <c r="P807" s="12" t="str">
        <f>IF(K807=0.2,"CASA","")</f>
        <v/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" customHeight="1" x14ac:dyDescent="0.2">
      <c r="A808" s="5" t="str">
        <f>IF(AND(B808="",ISNUMBER(B809)),CHOOSE(MONTH(B809),"GENNAIO","FEBBRAIO","MARZO","APRILE","MAGGIO","GIUGNO","LUGLIO","AGOSTO","SETTEMBRE","OTTOBRE","NOVEMBRE","DICEMBRE")&amp;" "&amp;YEAR(B809),"")</f>
        <v/>
      </c>
      <c r="B808" s="11"/>
      <c r="C808" s="12"/>
      <c r="D808" s="12" t="str">
        <f>IF(C808="","",C808-IF(C807&lt;&gt;"",C807,IF(C806&lt;&gt;"",C806,IF(C805&lt;&gt;"",C805,0))))</f>
        <v/>
      </c>
      <c r="E808" s="12"/>
      <c r="F808" s="12"/>
      <c r="G808" s="9" t="str">
        <f>IF(AND(E808="",F808=""),"",IF(OR(E808&gt;1,F808&gt;1),(F808-E808)/100,F808-E808))</f>
        <v/>
      </c>
      <c r="H808" s="12" t="str">
        <f>IF(G808="","",64*G808)</f>
        <v/>
      </c>
      <c r="I808" s="13"/>
      <c r="J808" s="13" t="str">
        <f>IFERROR(IF(OR(D808="",D808=0),"",I808/D808*100),"")</f>
        <v/>
      </c>
      <c r="K808" s="14"/>
      <c r="L808" s="13" t="str">
        <f>IF(I808="","",I808*K808)</f>
        <v/>
      </c>
      <c r="M808" s="13" t="str">
        <f>IF(B808="","",IFERROR(SUMPRODUCT(ISNUMBER(B$3:B808)*(MONTH(IF(ISNUMBER(B$3:B808),B$3:B808,1))=MONTH(B808))*(YEAR(IF(ISNUMBER(B$3:B808),B$3:B808,1))=YEAR(B808))*IF(ISNUMBER(L$3:L808),L$3:L808,0)),""))</f>
        <v/>
      </c>
      <c r="N808" s="6"/>
      <c r="O808" s="7" t="str">
        <f>IF(AND(B808="",ISNUMBER(B809)),CHOOSE(MONTH(B809),"GENNAIO","FEBBRAIO","MARZO","APRILE","MAGGIO","GIUGNO","LUGLIO","AGOSTO","SETTEMBRE","OTTOBRE","NOVEMBRE","DICEMBRE")&amp;" "&amp;YEAR(B809),"")</f>
        <v/>
      </c>
      <c r="P808" s="12" t="str">
        <f>IF(K808=0.2,"CASA","")</f>
        <v/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" customHeight="1" x14ac:dyDescent="0.2">
      <c r="A809" s="5" t="str">
        <f>IF(AND(B809="",ISNUMBER(B810)),CHOOSE(MONTH(B810),"GENNAIO","FEBBRAIO","MARZO","APRILE","MAGGIO","GIUGNO","LUGLIO","AGOSTO","SETTEMBRE","OTTOBRE","NOVEMBRE","DICEMBRE")&amp;" "&amp;YEAR(B810),"")</f>
        <v/>
      </c>
      <c r="B809" s="11"/>
      <c r="C809" s="12"/>
      <c r="D809" s="12" t="str">
        <f>IF(C809="","",C809-IF(C808&lt;&gt;"",C808,IF(C807&lt;&gt;"",C807,IF(C806&lt;&gt;"",C806,0))))</f>
        <v/>
      </c>
      <c r="E809" s="12"/>
      <c r="F809" s="12"/>
      <c r="G809" s="9" t="str">
        <f>IF(AND(E809="",F809=""),"",IF(OR(E809&gt;1,F809&gt;1),(F809-E809)/100,F809-E809))</f>
        <v/>
      </c>
      <c r="H809" s="12" t="str">
        <f>IF(G809="","",64*G809)</f>
        <v/>
      </c>
      <c r="I809" s="13"/>
      <c r="J809" s="13" t="str">
        <f>IFERROR(IF(OR(D809="",D809=0),"",I809/D809*100),"")</f>
        <v/>
      </c>
      <c r="K809" s="14"/>
      <c r="L809" s="13" t="str">
        <f>IF(I809="","",I809*K809)</f>
        <v/>
      </c>
      <c r="M809" s="13" t="str">
        <f>IF(B809="","",IFERROR(SUMPRODUCT(ISNUMBER(B$3:B809)*(MONTH(IF(ISNUMBER(B$3:B809),B$3:B809,1))=MONTH(B809))*(YEAR(IF(ISNUMBER(B$3:B809),B$3:B809,1))=YEAR(B809))*IF(ISNUMBER(L$3:L809),L$3:L809,0)),""))</f>
        <v/>
      </c>
      <c r="N809" s="6"/>
      <c r="O809" s="7" t="str">
        <f>IF(AND(B809="",ISNUMBER(B810)),CHOOSE(MONTH(B810),"GENNAIO","FEBBRAIO","MARZO","APRILE","MAGGIO","GIUGNO","LUGLIO","AGOSTO","SETTEMBRE","OTTOBRE","NOVEMBRE","DICEMBRE")&amp;" "&amp;YEAR(B810),"")</f>
        <v/>
      </c>
      <c r="P809" s="12" t="str">
        <f>IF(K809=0.2,"CASA","")</f>
        <v/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" customHeight="1" x14ac:dyDescent="0.2">
      <c r="A810" s="5" t="str">
        <f>IF(AND(B810="",ISNUMBER(B811)),CHOOSE(MONTH(B811),"GENNAIO","FEBBRAIO","MARZO","APRILE","MAGGIO","GIUGNO","LUGLIO","AGOSTO","SETTEMBRE","OTTOBRE","NOVEMBRE","DICEMBRE")&amp;" "&amp;YEAR(B811),"")</f>
        <v/>
      </c>
      <c r="B810" s="11"/>
      <c r="C810" s="12"/>
      <c r="D810" s="12" t="str">
        <f>IF(C810="","",C810-IF(C809&lt;&gt;"",C809,IF(C808&lt;&gt;"",C808,IF(C807&lt;&gt;"",C807,0))))</f>
        <v/>
      </c>
      <c r="E810" s="12"/>
      <c r="F810" s="12"/>
      <c r="G810" s="9" t="str">
        <f>IF(AND(E810="",F810=""),"",IF(OR(E810&gt;1,F810&gt;1),(F810-E810)/100,F810-E810))</f>
        <v/>
      </c>
      <c r="H810" s="12" t="str">
        <f>IF(G810="","",64*G810)</f>
        <v/>
      </c>
      <c r="I810" s="13"/>
      <c r="J810" s="13" t="str">
        <f>IFERROR(IF(OR(D810="",D810=0),"",I810/D810*100),"")</f>
        <v/>
      </c>
      <c r="K810" s="14"/>
      <c r="L810" s="13" t="str">
        <f>IF(I810="","",I810*K810)</f>
        <v/>
      </c>
      <c r="M810" s="13" t="str">
        <f>IF(B810="","",IFERROR(SUMPRODUCT(ISNUMBER(B$3:B810)*(MONTH(IF(ISNUMBER(B$3:B810),B$3:B810,1))=MONTH(B810))*(YEAR(IF(ISNUMBER(B$3:B810),B$3:B810,1))=YEAR(B810))*IF(ISNUMBER(L$3:L810),L$3:L810,0)),""))</f>
        <v/>
      </c>
      <c r="N810" s="6"/>
      <c r="O810" s="7" t="str">
        <f>IF(AND(B810="",ISNUMBER(B811)),CHOOSE(MONTH(B811),"GENNAIO","FEBBRAIO","MARZO","APRILE","MAGGIO","GIUGNO","LUGLIO","AGOSTO","SETTEMBRE","OTTOBRE","NOVEMBRE","DICEMBRE")&amp;" "&amp;YEAR(B811),"")</f>
        <v/>
      </c>
      <c r="P810" s="12" t="str">
        <f>IF(K810=0.2,"CASA","")</f>
        <v/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" customHeight="1" x14ac:dyDescent="0.2">
      <c r="A811" s="5" t="str">
        <f>IF(AND(B811="",ISNUMBER(B812)),CHOOSE(MONTH(B812),"GENNAIO","FEBBRAIO","MARZO","APRILE","MAGGIO","GIUGNO","LUGLIO","AGOSTO","SETTEMBRE","OTTOBRE","NOVEMBRE","DICEMBRE")&amp;" "&amp;YEAR(B812),"")</f>
        <v/>
      </c>
      <c r="B811" s="11"/>
      <c r="C811" s="12"/>
      <c r="D811" s="12" t="str">
        <f>IF(C811="","",C811-IF(C810&lt;&gt;"",C810,IF(C809&lt;&gt;"",C809,IF(C808&lt;&gt;"",C808,0))))</f>
        <v/>
      </c>
      <c r="E811" s="12"/>
      <c r="F811" s="12"/>
      <c r="G811" s="9" t="str">
        <f>IF(AND(E811="",F811=""),"",IF(OR(E811&gt;1,F811&gt;1),(F811-E811)/100,F811-E811))</f>
        <v/>
      </c>
      <c r="H811" s="12" t="str">
        <f>IF(G811="","",64*G811)</f>
        <v/>
      </c>
      <c r="I811" s="13"/>
      <c r="J811" s="13" t="str">
        <f>IFERROR(IF(OR(D811="",D811=0),"",I811/D811*100),"")</f>
        <v/>
      </c>
      <c r="K811" s="14"/>
      <c r="L811" s="13" t="str">
        <f>IF(I811="","",I811*K811)</f>
        <v/>
      </c>
      <c r="M811" s="13" t="str">
        <f>IF(B811="","",IFERROR(SUMPRODUCT(ISNUMBER(B$3:B811)*(MONTH(IF(ISNUMBER(B$3:B811),B$3:B811,1))=MONTH(B811))*(YEAR(IF(ISNUMBER(B$3:B811),B$3:B811,1))=YEAR(B811))*IF(ISNUMBER(L$3:L811),L$3:L811,0)),""))</f>
        <v/>
      </c>
      <c r="N811" s="6"/>
      <c r="O811" s="7" t="str">
        <f>IF(AND(B811="",ISNUMBER(B812)),CHOOSE(MONTH(B812),"GENNAIO","FEBBRAIO","MARZO","APRILE","MAGGIO","GIUGNO","LUGLIO","AGOSTO","SETTEMBRE","OTTOBRE","NOVEMBRE","DICEMBRE")&amp;" "&amp;YEAR(B812),"")</f>
        <v/>
      </c>
      <c r="P811" s="12" t="str">
        <f>IF(K811=0.2,"CASA","")</f>
        <v/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" customHeight="1" x14ac:dyDescent="0.2">
      <c r="A812" s="5" t="str">
        <f>IF(AND(B812="",ISNUMBER(B813)),CHOOSE(MONTH(B813),"GENNAIO","FEBBRAIO","MARZO","APRILE","MAGGIO","GIUGNO","LUGLIO","AGOSTO","SETTEMBRE","OTTOBRE","NOVEMBRE","DICEMBRE")&amp;" "&amp;YEAR(B813),"")</f>
        <v/>
      </c>
      <c r="B812" s="11"/>
      <c r="C812" s="12"/>
      <c r="D812" s="12" t="str">
        <f>IF(C812="","",C812-IF(C811&lt;&gt;"",C811,IF(C810&lt;&gt;"",C810,IF(C809&lt;&gt;"",C809,0))))</f>
        <v/>
      </c>
      <c r="E812" s="12"/>
      <c r="F812" s="12"/>
      <c r="G812" s="9" t="str">
        <f>IF(AND(E812="",F812=""),"",IF(OR(E812&gt;1,F812&gt;1),(F812-E812)/100,F812-E812))</f>
        <v/>
      </c>
      <c r="H812" s="12" t="str">
        <f>IF(G812="","",64*G812)</f>
        <v/>
      </c>
      <c r="I812" s="13"/>
      <c r="J812" s="13" t="str">
        <f>IFERROR(IF(OR(D812="",D812=0),"",I812/D812*100),"")</f>
        <v/>
      </c>
      <c r="K812" s="14"/>
      <c r="L812" s="13" t="str">
        <f>IF(I812="","",I812*K812)</f>
        <v/>
      </c>
      <c r="M812" s="13" t="str">
        <f>IF(B812="","",IFERROR(SUMPRODUCT(ISNUMBER(B$3:B812)*(MONTH(IF(ISNUMBER(B$3:B812),B$3:B812,1))=MONTH(B812))*(YEAR(IF(ISNUMBER(B$3:B812),B$3:B812,1))=YEAR(B812))*IF(ISNUMBER(L$3:L812),L$3:L812,0)),""))</f>
        <v/>
      </c>
      <c r="N812" s="6"/>
      <c r="O812" s="7" t="str">
        <f>IF(AND(B812="",ISNUMBER(B813)),CHOOSE(MONTH(B813),"GENNAIO","FEBBRAIO","MARZO","APRILE","MAGGIO","GIUGNO","LUGLIO","AGOSTO","SETTEMBRE","OTTOBRE","NOVEMBRE","DICEMBRE")&amp;" "&amp;YEAR(B813),"")</f>
        <v/>
      </c>
      <c r="P812" s="12" t="str">
        <f>IF(K812=0.2,"CASA","")</f>
        <v/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" customHeight="1" x14ac:dyDescent="0.2">
      <c r="A813" s="5" t="str">
        <f>IF(AND(B813="",ISNUMBER(B814)),CHOOSE(MONTH(B814),"GENNAIO","FEBBRAIO","MARZO","APRILE","MAGGIO","GIUGNO","LUGLIO","AGOSTO","SETTEMBRE","OTTOBRE","NOVEMBRE","DICEMBRE")&amp;" "&amp;YEAR(B814),"")</f>
        <v/>
      </c>
      <c r="B813" s="11"/>
      <c r="C813" s="12"/>
      <c r="D813" s="12" t="str">
        <f>IF(C813="","",C813-IF(C812&lt;&gt;"",C812,IF(C811&lt;&gt;"",C811,IF(C810&lt;&gt;"",C810,0))))</f>
        <v/>
      </c>
      <c r="E813" s="12"/>
      <c r="F813" s="12"/>
      <c r="G813" s="9" t="str">
        <f>IF(AND(E813="",F813=""),"",IF(OR(E813&gt;1,F813&gt;1),(F813-E813)/100,F813-E813))</f>
        <v/>
      </c>
      <c r="H813" s="12" t="str">
        <f>IF(G813="","",64*G813)</f>
        <v/>
      </c>
      <c r="I813" s="13"/>
      <c r="J813" s="13" t="str">
        <f>IFERROR(IF(OR(D813="",D813=0),"",I813/D813*100),"")</f>
        <v/>
      </c>
      <c r="K813" s="14"/>
      <c r="L813" s="13" t="str">
        <f>IF(I813="","",I813*K813)</f>
        <v/>
      </c>
      <c r="M813" s="13" t="str">
        <f>IF(B813="","",IFERROR(SUMPRODUCT(ISNUMBER(B$3:B813)*(MONTH(IF(ISNUMBER(B$3:B813),B$3:B813,1))=MONTH(B813))*(YEAR(IF(ISNUMBER(B$3:B813),B$3:B813,1))=YEAR(B813))*IF(ISNUMBER(L$3:L813),L$3:L813,0)),""))</f>
        <v/>
      </c>
      <c r="N813" s="6"/>
      <c r="O813" s="7" t="str">
        <f>IF(AND(B813="",ISNUMBER(B814)),CHOOSE(MONTH(B814),"GENNAIO","FEBBRAIO","MARZO","APRILE","MAGGIO","GIUGNO","LUGLIO","AGOSTO","SETTEMBRE","OTTOBRE","NOVEMBRE","DICEMBRE")&amp;" "&amp;YEAR(B814),"")</f>
        <v/>
      </c>
      <c r="P813" s="12" t="str">
        <f>IF(K813=0.2,"CASA","")</f>
        <v/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" customHeight="1" x14ac:dyDescent="0.2">
      <c r="A814" s="5" t="str">
        <f>IF(AND(B814="",ISNUMBER(B815)),CHOOSE(MONTH(B815),"GENNAIO","FEBBRAIO","MARZO","APRILE","MAGGIO","GIUGNO","LUGLIO","AGOSTO","SETTEMBRE","OTTOBRE","NOVEMBRE","DICEMBRE")&amp;" "&amp;YEAR(B815),"")</f>
        <v/>
      </c>
      <c r="B814" s="11"/>
      <c r="C814" s="12"/>
      <c r="D814" s="12" t="str">
        <f>IF(C814="","",C814-IF(C813&lt;&gt;"",C813,IF(C812&lt;&gt;"",C812,IF(C811&lt;&gt;"",C811,0))))</f>
        <v/>
      </c>
      <c r="E814" s="12"/>
      <c r="F814" s="12"/>
      <c r="G814" s="9" t="str">
        <f>IF(AND(E814="",F814=""),"",IF(OR(E814&gt;1,F814&gt;1),(F814-E814)/100,F814-E814))</f>
        <v/>
      </c>
      <c r="H814" s="12" t="str">
        <f>IF(G814="","",64*G814)</f>
        <v/>
      </c>
      <c r="I814" s="13"/>
      <c r="J814" s="13" t="str">
        <f>IFERROR(IF(OR(D814="",D814=0),"",I814/D814*100),"")</f>
        <v/>
      </c>
      <c r="K814" s="14"/>
      <c r="L814" s="13" t="str">
        <f>IF(I814="","",I814*K814)</f>
        <v/>
      </c>
      <c r="M814" s="13" t="str">
        <f>IF(B814="","",IFERROR(SUMPRODUCT(ISNUMBER(B$3:B814)*(MONTH(IF(ISNUMBER(B$3:B814),B$3:B814,1))=MONTH(B814))*(YEAR(IF(ISNUMBER(B$3:B814),B$3:B814,1))=YEAR(B814))*IF(ISNUMBER(L$3:L814),L$3:L814,0)),""))</f>
        <v/>
      </c>
      <c r="N814" s="6"/>
      <c r="O814" s="7" t="str">
        <f>IF(AND(B814="",ISNUMBER(B815)),CHOOSE(MONTH(B815),"GENNAIO","FEBBRAIO","MARZO","APRILE","MAGGIO","GIUGNO","LUGLIO","AGOSTO","SETTEMBRE","OTTOBRE","NOVEMBRE","DICEMBRE")&amp;" "&amp;YEAR(B815),"")</f>
        <v/>
      </c>
      <c r="P814" s="12" t="str">
        <f>IF(K814=0.2,"CASA","")</f>
        <v/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" customHeight="1" x14ac:dyDescent="0.2">
      <c r="A815" s="5" t="str">
        <f>IF(AND(B815="",ISNUMBER(B816)),CHOOSE(MONTH(B816),"GENNAIO","FEBBRAIO","MARZO","APRILE","MAGGIO","GIUGNO","LUGLIO","AGOSTO","SETTEMBRE","OTTOBRE","NOVEMBRE","DICEMBRE")&amp;" "&amp;YEAR(B816),"")</f>
        <v/>
      </c>
      <c r="B815" s="11"/>
      <c r="C815" s="12"/>
      <c r="D815" s="12" t="str">
        <f>IF(C815="","",C815-IF(C814&lt;&gt;"",C814,IF(C813&lt;&gt;"",C813,IF(C812&lt;&gt;"",C812,0))))</f>
        <v/>
      </c>
      <c r="E815" s="12"/>
      <c r="F815" s="12"/>
      <c r="G815" s="9" t="str">
        <f>IF(AND(E815="",F815=""),"",IF(OR(E815&gt;1,F815&gt;1),(F815-E815)/100,F815-E815))</f>
        <v/>
      </c>
      <c r="H815" s="12" t="str">
        <f>IF(G815="","",64*G815)</f>
        <v/>
      </c>
      <c r="I815" s="13"/>
      <c r="J815" s="13" t="str">
        <f>IFERROR(IF(OR(D815="",D815=0),"",I815/D815*100),"")</f>
        <v/>
      </c>
      <c r="K815" s="14"/>
      <c r="L815" s="13" t="str">
        <f>IF(I815="","",I815*K815)</f>
        <v/>
      </c>
      <c r="M815" s="13" t="str">
        <f>IF(B815="","",IFERROR(SUMPRODUCT(ISNUMBER(B$3:B815)*(MONTH(IF(ISNUMBER(B$3:B815),B$3:B815,1))=MONTH(B815))*(YEAR(IF(ISNUMBER(B$3:B815),B$3:B815,1))=YEAR(B815))*IF(ISNUMBER(L$3:L815),L$3:L815,0)),""))</f>
        <v/>
      </c>
      <c r="N815" s="6"/>
      <c r="O815" s="7" t="str">
        <f>IF(AND(B815="",ISNUMBER(B816)),CHOOSE(MONTH(B816),"GENNAIO","FEBBRAIO","MARZO","APRILE","MAGGIO","GIUGNO","LUGLIO","AGOSTO","SETTEMBRE","OTTOBRE","NOVEMBRE","DICEMBRE")&amp;" "&amp;YEAR(B816),"")</f>
        <v/>
      </c>
      <c r="P815" s="12" t="str">
        <f>IF(K815=0.2,"CASA","")</f>
        <v/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" customHeight="1" x14ac:dyDescent="0.2">
      <c r="A816" s="5" t="str">
        <f>IF(AND(B816="",ISNUMBER(B817)),CHOOSE(MONTH(B817),"GENNAIO","FEBBRAIO","MARZO","APRILE","MAGGIO","GIUGNO","LUGLIO","AGOSTO","SETTEMBRE","OTTOBRE","NOVEMBRE","DICEMBRE")&amp;" "&amp;YEAR(B817),"")</f>
        <v/>
      </c>
      <c r="B816" s="11"/>
      <c r="C816" s="12"/>
      <c r="D816" s="12" t="str">
        <f>IF(C816="","",C816-IF(C815&lt;&gt;"",C815,IF(C814&lt;&gt;"",C814,IF(C813&lt;&gt;"",C813,0))))</f>
        <v/>
      </c>
      <c r="E816" s="12"/>
      <c r="F816" s="12"/>
      <c r="G816" s="9" t="str">
        <f>IF(AND(E816="",F816=""),"",IF(OR(E816&gt;1,F816&gt;1),(F816-E816)/100,F816-E816))</f>
        <v/>
      </c>
      <c r="H816" s="12" t="str">
        <f>IF(G816="","",64*G816)</f>
        <v/>
      </c>
      <c r="I816" s="13"/>
      <c r="J816" s="13" t="str">
        <f>IFERROR(IF(OR(D816="",D816=0),"",I816/D816*100),"")</f>
        <v/>
      </c>
      <c r="K816" s="14"/>
      <c r="L816" s="13" t="str">
        <f>IF(I816="","",I816*K816)</f>
        <v/>
      </c>
      <c r="M816" s="13" t="str">
        <f>IF(B816="","",IFERROR(SUMPRODUCT(ISNUMBER(B$3:B816)*(MONTH(IF(ISNUMBER(B$3:B816),B$3:B816,1))=MONTH(B816))*(YEAR(IF(ISNUMBER(B$3:B816),B$3:B816,1))=YEAR(B816))*IF(ISNUMBER(L$3:L816),L$3:L816,0)),""))</f>
        <v/>
      </c>
      <c r="N816" s="6"/>
      <c r="O816" s="7" t="str">
        <f>IF(AND(B816="",ISNUMBER(B817)),CHOOSE(MONTH(B817),"GENNAIO","FEBBRAIO","MARZO","APRILE","MAGGIO","GIUGNO","LUGLIO","AGOSTO","SETTEMBRE","OTTOBRE","NOVEMBRE","DICEMBRE")&amp;" "&amp;YEAR(B817),"")</f>
        <v/>
      </c>
      <c r="P816" s="12" t="str">
        <f>IF(K816=0.2,"CASA","")</f>
        <v/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" customHeight="1" x14ac:dyDescent="0.2">
      <c r="A817" s="5" t="str">
        <f>IF(AND(B817="",ISNUMBER(B818)),CHOOSE(MONTH(B818),"GENNAIO","FEBBRAIO","MARZO","APRILE","MAGGIO","GIUGNO","LUGLIO","AGOSTO","SETTEMBRE","OTTOBRE","NOVEMBRE","DICEMBRE")&amp;" "&amp;YEAR(B818),"")</f>
        <v/>
      </c>
      <c r="B817" s="11"/>
      <c r="C817" s="12"/>
      <c r="D817" s="12" t="str">
        <f>IF(C817="","",C817-IF(C816&lt;&gt;"",C816,IF(C815&lt;&gt;"",C815,IF(C814&lt;&gt;"",C814,0))))</f>
        <v/>
      </c>
      <c r="E817" s="12"/>
      <c r="F817" s="12"/>
      <c r="G817" s="9" t="str">
        <f>IF(AND(E817="",F817=""),"",IF(OR(E817&gt;1,F817&gt;1),(F817-E817)/100,F817-E817))</f>
        <v/>
      </c>
      <c r="H817" s="12" t="str">
        <f>IF(G817="","",64*G817)</f>
        <v/>
      </c>
      <c r="I817" s="13"/>
      <c r="J817" s="13" t="str">
        <f>IFERROR(IF(OR(D817="",D817=0),"",I817/D817*100),"")</f>
        <v/>
      </c>
      <c r="K817" s="14"/>
      <c r="L817" s="13" t="str">
        <f>IF(I817="","",I817*K817)</f>
        <v/>
      </c>
      <c r="M817" s="13" t="str">
        <f>IF(B817="","",IFERROR(SUMPRODUCT(ISNUMBER(B$3:B817)*(MONTH(IF(ISNUMBER(B$3:B817),B$3:B817,1))=MONTH(B817))*(YEAR(IF(ISNUMBER(B$3:B817),B$3:B817,1))=YEAR(B817))*IF(ISNUMBER(L$3:L817),L$3:L817,0)),""))</f>
        <v/>
      </c>
      <c r="N817" s="6"/>
      <c r="O817" s="7" t="str">
        <f>IF(AND(B817="",ISNUMBER(B818)),CHOOSE(MONTH(B818),"GENNAIO","FEBBRAIO","MARZO","APRILE","MAGGIO","GIUGNO","LUGLIO","AGOSTO","SETTEMBRE","OTTOBRE","NOVEMBRE","DICEMBRE")&amp;" "&amp;YEAR(B818),"")</f>
        <v/>
      </c>
      <c r="P817" s="12" t="str">
        <f>IF(K817=0.2,"CASA","")</f>
        <v/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" customHeight="1" x14ac:dyDescent="0.2">
      <c r="A818" s="5" t="str">
        <f>IF(AND(B818="",ISNUMBER(B819)),CHOOSE(MONTH(B819),"GENNAIO","FEBBRAIO","MARZO","APRILE","MAGGIO","GIUGNO","LUGLIO","AGOSTO","SETTEMBRE","OTTOBRE","NOVEMBRE","DICEMBRE")&amp;" "&amp;YEAR(B819),"")</f>
        <v/>
      </c>
      <c r="B818" s="11"/>
      <c r="C818" s="12"/>
      <c r="D818" s="12" t="str">
        <f>IF(C818="","",C818-IF(C817&lt;&gt;"",C817,IF(C816&lt;&gt;"",C816,IF(C815&lt;&gt;"",C815,0))))</f>
        <v/>
      </c>
      <c r="E818" s="12"/>
      <c r="F818" s="12"/>
      <c r="G818" s="9" t="str">
        <f>IF(AND(E818="",F818=""),"",IF(OR(E818&gt;1,F818&gt;1),(F818-E818)/100,F818-E818))</f>
        <v/>
      </c>
      <c r="H818" s="12" t="str">
        <f>IF(G818="","",64*G818)</f>
        <v/>
      </c>
      <c r="I818" s="13"/>
      <c r="J818" s="13" t="str">
        <f>IFERROR(IF(OR(D818="",D818=0),"",I818/D818*100),"")</f>
        <v/>
      </c>
      <c r="K818" s="14"/>
      <c r="L818" s="13" t="str">
        <f>IF(I818="","",I818*K818)</f>
        <v/>
      </c>
      <c r="M818" s="13" t="str">
        <f>IF(B818="","",IFERROR(SUMPRODUCT(ISNUMBER(B$3:B818)*(MONTH(IF(ISNUMBER(B$3:B818),B$3:B818,1))=MONTH(B818))*(YEAR(IF(ISNUMBER(B$3:B818),B$3:B818,1))=YEAR(B818))*IF(ISNUMBER(L$3:L818),L$3:L818,0)),""))</f>
        <v/>
      </c>
      <c r="N818" s="6"/>
      <c r="O818" s="7" t="str">
        <f>IF(AND(B818="",ISNUMBER(B819)),CHOOSE(MONTH(B819),"GENNAIO","FEBBRAIO","MARZO","APRILE","MAGGIO","GIUGNO","LUGLIO","AGOSTO","SETTEMBRE","OTTOBRE","NOVEMBRE","DICEMBRE")&amp;" "&amp;YEAR(B819),"")</f>
        <v/>
      </c>
      <c r="P818" s="12" t="str">
        <f>IF(K818=0.2,"CASA","")</f>
        <v/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" customHeight="1" x14ac:dyDescent="0.2">
      <c r="A819" s="5" t="str">
        <f>IF(AND(B819="",ISNUMBER(B820)),CHOOSE(MONTH(B820),"GENNAIO","FEBBRAIO","MARZO","APRILE","MAGGIO","GIUGNO","LUGLIO","AGOSTO","SETTEMBRE","OTTOBRE","NOVEMBRE","DICEMBRE")&amp;" "&amp;YEAR(B820),"")</f>
        <v/>
      </c>
      <c r="B819" s="11"/>
      <c r="C819" s="12"/>
      <c r="D819" s="12" t="str">
        <f>IF(C819="","",C819-IF(C818&lt;&gt;"",C818,IF(C817&lt;&gt;"",C817,IF(C816&lt;&gt;"",C816,0))))</f>
        <v/>
      </c>
      <c r="E819" s="12"/>
      <c r="F819" s="12"/>
      <c r="G819" s="9" t="str">
        <f>IF(AND(E819="",F819=""),"",IF(OR(E819&gt;1,F819&gt;1),(F819-E819)/100,F819-E819))</f>
        <v/>
      </c>
      <c r="H819" s="12" t="str">
        <f>IF(G819="","",64*G819)</f>
        <v/>
      </c>
      <c r="I819" s="13"/>
      <c r="J819" s="13" t="str">
        <f>IFERROR(IF(OR(D819="",D819=0),"",I819/D819*100),"")</f>
        <v/>
      </c>
      <c r="K819" s="14"/>
      <c r="L819" s="13" t="str">
        <f>IF(I819="","",I819*K819)</f>
        <v/>
      </c>
      <c r="M819" s="13" t="str">
        <f>IF(B819="","",IFERROR(SUMPRODUCT(ISNUMBER(B$3:B819)*(MONTH(IF(ISNUMBER(B$3:B819),B$3:B819,1))=MONTH(B819))*(YEAR(IF(ISNUMBER(B$3:B819),B$3:B819,1))=YEAR(B819))*IF(ISNUMBER(L$3:L819),L$3:L819,0)),""))</f>
        <v/>
      </c>
      <c r="N819" s="6"/>
      <c r="O819" s="7" t="str">
        <f>IF(AND(B819="",ISNUMBER(B820)),CHOOSE(MONTH(B820),"GENNAIO","FEBBRAIO","MARZO","APRILE","MAGGIO","GIUGNO","LUGLIO","AGOSTO","SETTEMBRE","OTTOBRE","NOVEMBRE","DICEMBRE")&amp;" "&amp;YEAR(B820),"")</f>
        <v/>
      </c>
      <c r="P819" s="12" t="str">
        <f>IF(K819=0.2,"CASA","")</f>
        <v/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" customHeight="1" x14ac:dyDescent="0.2">
      <c r="A820" s="5" t="str">
        <f>IF(AND(B820="",ISNUMBER(B821)),CHOOSE(MONTH(B821),"GENNAIO","FEBBRAIO","MARZO","APRILE","MAGGIO","GIUGNO","LUGLIO","AGOSTO","SETTEMBRE","OTTOBRE","NOVEMBRE","DICEMBRE")&amp;" "&amp;YEAR(B821),"")</f>
        <v/>
      </c>
      <c r="B820" s="11"/>
      <c r="C820" s="12"/>
      <c r="D820" s="12" t="str">
        <f>IF(C820="","",C820-IF(C819&lt;&gt;"",C819,IF(C818&lt;&gt;"",C818,IF(C817&lt;&gt;"",C817,0))))</f>
        <v/>
      </c>
      <c r="E820" s="12"/>
      <c r="F820" s="12"/>
      <c r="G820" s="9" t="str">
        <f>IF(AND(E820="",F820=""),"",IF(OR(E820&gt;1,F820&gt;1),(F820-E820)/100,F820-E820))</f>
        <v/>
      </c>
      <c r="H820" s="12" t="str">
        <f>IF(G820="","",64*G820)</f>
        <v/>
      </c>
      <c r="I820" s="13"/>
      <c r="J820" s="13" t="str">
        <f>IFERROR(IF(OR(D820="",D820=0),"",I820/D820*100),"")</f>
        <v/>
      </c>
      <c r="K820" s="14"/>
      <c r="L820" s="13" t="str">
        <f>IF(I820="","",I820*K820)</f>
        <v/>
      </c>
      <c r="M820" s="13" t="str">
        <f>IF(B820="","",IFERROR(SUMPRODUCT(ISNUMBER(B$3:B820)*(MONTH(IF(ISNUMBER(B$3:B820),B$3:B820,1))=MONTH(B820))*(YEAR(IF(ISNUMBER(B$3:B820),B$3:B820,1))=YEAR(B820))*IF(ISNUMBER(L$3:L820),L$3:L820,0)),""))</f>
        <v/>
      </c>
      <c r="N820" s="6"/>
      <c r="O820" s="7" t="str">
        <f>IF(AND(B820="",ISNUMBER(B821)),CHOOSE(MONTH(B821),"GENNAIO","FEBBRAIO","MARZO","APRILE","MAGGIO","GIUGNO","LUGLIO","AGOSTO","SETTEMBRE","OTTOBRE","NOVEMBRE","DICEMBRE")&amp;" "&amp;YEAR(B821),"")</f>
        <v/>
      </c>
      <c r="P820" s="12" t="str">
        <f>IF(K820=0.2,"CASA","")</f>
        <v/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" customHeight="1" x14ac:dyDescent="0.2">
      <c r="A821" s="5" t="str">
        <f>IF(AND(B821="",ISNUMBER(B822)),CHOOSE(MONTH(B822),"GENNAIO","FEBBRAIO","MARZO","APRILE","MAGGIO","GIUGNO","LUGLIO","AGOSTO","SETTEMBRE","OTTOBRE","NOVEMBRE","DICEMBRE")&amp;" "&amp;YEAR(B822),"")</f>
        <v/>
      </c>
      <c r="B821" s="11"/>
      <c r="C821" s="12"/>
      <c r="D821" s="12" t="str">
        <f>IF(C821="","",C821-IF(C820&lt;&gt;"",C820,IF(C819&lt;&gt;"",C819,IF(C818&lt;&gt;"",C818,0))))</f>
        <v/>
      </c>
      <c r="E821" s="12"/>
      <c r="F821" s="12"/>
      <c r="G821" s="9" t="str">
        <f>IF(AND(E821="",F821=""),"",IF(OR(E821&gt;1,F821&gt;1),(F821-E821)/100,F821-E821))</f>
        <v/>
      </c>
      <c r="H821" s="12" t="str">
        <f>IF(G821="","",64*G821)</f>
        <v/>
      </c>
      <c r="I821" s="13"/>
      <c r="J821" s="13" t="str">
        <f>IFERROR(IF(OR(D821="",D821=0),"",I821/D821*100),"")</f>
        <v/>
      </c>
      <c r="K821" s="14"/>
      <c r="L821" s="13" t="str">
        <f>IF(I821="","",I821*K821)</f>
        <v/>
      </c>
      <c r="M821" s="13" t="str">
        <f>IF(B821="","",IFERROR(SUMPRODUCT(ISNUMBER(B$3:B821)*(MONTH(IF(ISNUMBER(B$3:B821),B$3:B821,1))=MONTH(B821))*(YEAR(IF(ISNUMBER(B$3:B821),B$3:B821,1))=YEAR(B821))*IF(ISNUMBER(L$3:L821),L$3:L821,0)),""))</f>
        <v/>
      </c>
      <c r="N821" s="6"/>
      <c r="O821" s="7" t="str">
        <f>IF(AND(B821="",ISNUMBER(B822)),CHOOSE(MONTH(B822),"GENNAIO","FEBBRAIO","MARZO","APRILE","MAGGIO","GIUGNO","LUGLIO","AGOSTO","SETTEMBRE","OTTOBRE","NOVEMBRE","DICEMBRE")&amp;" "&amp;YEAR(B822),"")</f>
        <v/>
      </c>
      <c r="P821" s="12" t="str">
        <f>IF(K821=0.2,"CASA","")</f>
        <v/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" customHeight="1" x14ac:dyDescent="0.2">
      <c r="A822" s="5" t="str">
        <f>IF(AND(B822="",ISNUMBER(B823)),CHOOSE(MONTH(B823),"GENNAIO","FEBBRAIO","MARZO","APRILE","MAGGIO","GIUGNO","LUGLIO","AGOSTO","SETTEMBRE","OTTOBRE","NOVEMBRE","DICEMBRE")&amp;" "&amp;YEAR(B823),"")</f>
        <v/>
      </c>
      <c r="B822" s="11"/>
      <c r="C822" s="12"/>
      <c r="D822" s="12" t="str">
        <f>IF(C822="","",C822-IF(C821&lt;&gt;"",C821,IF(C820&lt;&gt;"",C820,IF(C819&lt;&gt;"",C819,0))))</f>
        <v/>
      </c>
      <c r="E822" s="12"/>
      <c r="F822" s="12"/>
      <c r="G822" s="9" t="str">
        <f>IF(AND(E822="",F822=""),"",IF(OR(E822&gt;1,F822&gt;1),(F822-E822)/100,F822-E822))</f>
        <v/>
      </c>
      <c r="H822" s="12" t="str">
        <f>IF(G822="","",64*G822)</f>
        <v/>
      </c>
      <c r="I822" s="13"/>
      <c r="J822" s="13" t="str">
        <f>IFERROR(IF(OR(D822="",D822=0),"",I822/D822*100),"")</f>
        <v/>
      </c>
      <c r="K822" s="14"/>
      <c r="L822" s="13" t="str">
        <f>IF(I822="","",I822*K822)</f>
        <v/>
      </c>
      <c r="M822" s="13" t="str">
        <f>IF(B822="","",IFERROR(SUMPRODUCT(ISNUMBER(B$3:B822)*(MONTH(IF(ISNUMBER(B$3:B822),B$3:B822,1))=MONTH(B822))*(YEAR(IF(ISNUMBER(B$3:B822),B$3:B822,1))=YEAR(B822))*IF(ISNUMBER(L$3:L822),L$3:L822,0)),""))</f>
        <v/>
      </c>
      <c r="N822" s="6"/>
      <c r="O822" s="7" t="str">
        <f>IF(AND(B822="",ISNUMBER(B823)),CHOOSE(MONTH(B823),"GENNAIO","FEBBRAIO","MARZO","APRILE","MAGGIO","GIUGNO","LUGLIO","AGOSTO","SETTEMBRE","OTTOBRE","NOVEMBRE","DICEMBRE")&amp;" "&amp;YEAR(B823),"")</f>
        <v/>
      </c>
      <c r="P822" s="12" t="str">
        <f>IF(K822=0.2,"CASA","")</f>
        <v/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" customHeight="1" x14ac:dyDescent="0.2">
      <c r="A823" s="5" t="str">
        <f>IF(AND(B823="",ISNUMBER(B824)),CHOOSE(MONTH(B824),"GENNAIO","FEBBRAIO","MARZO","APRILE","MAGGIO","GIUGNO","LUGLIO","AGOSTO","SETTEMBRE","OTTOBRE","NOVEMBRE","DICEMBRE")&amp;" "&amp;YEAR(B824),"")</f>
        <v/>
      </c>
      <c r="B823" s="11"/>
      <c r="C823" s="12"/>
      <c r="D823" s="12" t="str">
        <f>IF(C823="","",C823-IF(C822&lt;&gt;"",C822,IF(C821&lt;&gt;"",C821,IF(C820&lt;&gt;"",C820,0))))</f>
        <v/>
      </c>
      <c r="E823" s="12"/>
      <c r="F823" s="12"/>
      <c r="G823" s="9" t="str">
        <f>IF(AND(E823="",F823=""),"",IF(OR(E823&gt;1,F823&gt;1),(F823-E823)/100,F823-E823))</f>
        <v/>
      </c>
      <c r="H823" s="12" t="str">
        <f>IF(G823="","",64*G823)</f>
        <v/>
      </c>
      <c r="I823" s="13"/>
      <c r="J823" s="13" t="str">
        <f>IFERROR(IF(OR(D823="",D823=0),"",I823/D823*100),"")</f>
        <v/>
      </c>
      <c r="K823" s="14"/>
      <c r="L823" s="13" t="str">
        <f>IF(I823="","",I823*K823)</f>
        <v/>
      </c>
      <c r="M823" s="13" t="str">
        <f>IF(B823="","",IFERROR(SUMPRODUCT(ISNUMBER(B$3:B823)*(MONTH(IF(ISNUMBER(B$3:B823),B$3:B823,1))=MONTH(B823))*(YEAR(IF(ISNUMBER(B$3:B823),B$3:B823,1))=YEAR(B823))*IF(ISNUMBER(L$3:L823),L$3:L823,0)),""))</f>
        <v/>
      </c>
      <c r="N823" s="6"/>
      <c r="O823" s="7" t="str">
        <f>IF(AND(B823="",ISNUMBER(B824)),CHOOSE(MONTH(B824),"GENNAIO","FEBBRAIO","MARZO","APRILE","MAGGIO","GIUGNO","LUGLIO","AGOSTO","SETTEMBRE","OTTOBRE","NOVEMBRE","DICEMBRE")&amp;" "&amp;YEAR(B824),"")</f>
        <v/>
      </c>
      <c r="P823" s="12" t="str">
        <f>IF(K823=0.2,"CASA","")</f>
        <v/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" customHeight="1" x14ac:dyDescent="0.2">
      <c r="A824" s="5" t="str">
        <f>IF(AND(B824="",ISNUMBER(B825)),CHOOSE(MONTH(B825),"GENNAIO","FEBBRAIO","MARZO","APRILE","MAGGIO","GIUGNO","LUGLIO","AGOSTO","SETTEMBRE","OTTOBRE","NOVEMBRE","DICEMBRE")&amp;" "&amp;YEAR(B825),"")</f>
        <v/>
      </c>
      <c r="B824" s="11"/>
      <c r="C824" s="12"/>
      <c r="D824" s="12" t="str">
        <f>IF(C824="","",C824-IF(C823&lt;&gt;"",C823,IF(C822&lt;&gt;"",C822,IF(C821&lt;&gt;"",C821,0))))</f>
        <v/>
      </c>
      <c r="E824" s="12"/>
      <c r="F824" s="12"/>
      <c r="G824" s="9" t="str">
        <f>IF(AND(E824="",F824=""),"",IF(OR(E824&gt;1,F824&gt;1),(F824-E824)/100,F824-E824))</f>
        <v/>
      </c>
      <c r="H824" s="12" t="str">
        <f>IF(G824="","",64*G824)</f>
        <v/>
      </c>
      <c r="I824" s="13"/>
      <c r="J824" s="13" t="str">
        <f>IFERROR(IF(OR(D824="",D824=0),"",I824/D824*100),"")</f>
        <v/>
      </c>
      <c r="K824" s="14"/>
      <c r="L824" s="13" t="str">
        <f>IF(I824="","",I824*K824)</f>
        <v/>
      </c>
      <c r="M824" s="13" t="str">
        <f>IF(B824="","",IFERROR(SUMPRODUCT(ISNUMBER(B$3:B824)*(MONTH(IF(ISNUMBER(B$3:B824),B$3:B824,1))=MONTH(B824))*(YEAR(IF(ISNUMBER(B$3:B824),B$3:B824,1))=YEAR(B824))*IF(ISNUMBER(L$3:L824),L$3:L824,0)),""))</f>
        <v/>
      </c>
      <c r="N824" s="6"/>
      <c r="O824" s="7" t="str">
        <f>IF(AND(B824="",ISNUMBER(B825)),CHOOSE(MONTH(B825),"GENNAIO","FEBBRAIO","MARZO","APRILE","MAGGIO","GIUGNO","LUGLIO","AGOSTO","SETTEMBRE","OTTOBRE","NOVEMBRE","DICEMBRE")&amp;" "&amp;YEAR(B825),"")</f>
        <v/>
      </c>
      <c r="P824" s="12" t="str">
        <f>IF(K824=0.2,"CASA","")</f>
        <v/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" customHeight="1" x14ac:dyDescent="0.2">
      <c r="A825" s="5" t="str">
        <f>IF(AND(B825="",ISNUMBER(B826)),CHOOSE(MONTH(B826),"GENNAIO","FEBBRAIO","MARZO","APRILE","MAGGIO","GIUGNO","LUGLIO","AGOSTO","SETTEMBRE","OTTOBRE","NOVEMBRE","DICEMBRE")&amp;" "&amp;YEAR(B826),"")</f>
        <v/>
      </c>
      <c r="B825" s="11"/>
      <c r="C825" s="12"/>
      <c r="D825" s="12" t="str">
        <f>IF(C825="","",C825-IF(C824&lt;&gt;"",C824,IF(C823&lt;&gt;"",C823,IF(C822&lt;&gt;"",C822,0))))</f>
        <v/>
      </c>
      <c r="E825" s="12"/>
      <c r="F825" s="12"/>
      <c r="G825" s="9" t="str">
        <f>IF(AND(E825="",F825=""),"",IF(OR(E825&gt;1,F825&gt;1),(F825-E825)/100,F825-E825))</f>
        <v/>
      </c>
      <c r="H825" s="12" t="str">
        <f>IF(G825="","",64*G825)</f>
        <v/>
      </c>
      <c r="I825" s="13"/>
      <c r="J825" s="13" t="str">
        <f>IFERROR(IF(OR(D825="",D825=0),"",I825/D825*100),"")</f>
        <v/>
      </c>
      <c r="K825" s="14"/>
      <c r="L825" s="13" t="str">
        <f>IF(I825="","",I825*K825)</f>
        <v/>
      </c>
      <c r="M825" s="13" t="str">
        <f>IF(B825="","",IFERROR(SUMPRODUCT(ISNUMBER(B$3:B825)*(MONTH(IF(ISNUMBER(B$3:B825),B$3:B825,1))=MONTH(B825))*(YEAR(IF(ISNUMBER(B$3:B825),B$3:B825,1))=YEAR(B825))*IF(ISNUMBER(L$3:L825),L$3:L825,0)),""))</f>
        <v/>
      </c>
      <c r="N825" s="6"/>
      <c r="O825" s="7" t="str">
        <f>IF(AND(B825="",ISNUMBER(B826)),CHOOSE(MONTH(B826),"GENNAIO","FEBBRAIO","MARZO","APRILE","MAGGIO","GIUGNO","LUGLIO","AGOSTO","SETTEMBRE","OTTOBRE","NOVEMBRE","DICEMBRE")&amp;" "&amp;YEAR(B826),"")</f>
        <v/>
      </c>
      <c r="P825" s="12" t="str">
        <f>IF(K825=0.2,"CASA","")</f>
        <v/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" customHeight="1" x14ac:dyDescent="0.2">
      <c r="A826" s="5" t="str">
        <f>IF(AND(B826="",ISNUMBER(B827)),CHOOSE(MONTH(B827),"GENNAIO","FEBBRAIO","MARZO","APRILE","MAGGIO","GIUGNO","LUGLIO","AGOSTO","SETTEMBRE","OTTOBRE","NOVEMBRE","DICEMBRE")&amp;" "&amp;YEAR(B827),"")</f>
        <v/>
      </c>
      <c r="B826" s="11"/>
      <c r="C826" s="12"/>
      <c r="D826" s="12" t="str">
        <f>IF(C826="","",C826-IF(C825&lt;&gt;"",C825,IF(C824&lt;&gt;"",C824,IF(C823&lt;&gt;"",C823,0))))</f>
        <v/>
      </c>
      <c r="E826" s="12"/>
      <c r="F826" s="12"/>
      <c r="G826" s="9" t="str">
        <f>IF(AND(E826="",F826=""),"",IF(OR(E826&gt;1,F826&gt;1),(F826-E826)/100,F826-E826))</f>
        <v/>
      </c>
      <c r="H826" s="12" t="str">
        <f>IF(G826="","",64*G826)</f>
        <v/>
      </c>
      <c r="I826" s="13"/>
      <c r="J826" s="13" t="str">
        <f>IFERROR(IF(OR(D826="",D826=0),"",I826/D826*100),"")</f>
        <v/>
      </c>
      <c r="K826" s="14"/>
      <c r="L826" s="13" t="str">
        <f>IF(I826="","",I826*K826)</f>
        <v/>
      </c>
      <c r="M826" s="13" t="str">
        <f>IF(B826="","",IFERROR(SUMPRODUCT(ISNUMBER(B$3:B826)*(MONTH(IF(ISNUMBER(B$3:B826),B$3:B826,1))=MONTH(B826))*(YEAR(IF(ISNUMBER(B$3:B826),B$3:B826,1))=YEAR(B826))*IF(ISNUMBER(L$3:L826),L$3:L826,0)),""))</f>
        <v/>
      </c>
      <c r="N826" s="6"/>
      <c r="O826" s="7" t="str">
        <f>IF(AND(B826="",ISNUMBER(B827)),CHOOSE(MONTH(B827),"GENNAIO","FEBBRAIO","MARZO","APRILE","MAGGIO","GIUGNO","LUGLIO","AGOSTO","SETTEMBRE","OTTOBRE","NOVEMBRE","DICEMBRE")&amp;" "&amp;YEAR(B827),"")</f>
        <v/>
      </c>
      <c r="P826" s="12" t="str">
        <f>IF(K826=0.2,"CASA","")</f>
        <v/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" customHeight="1" x14ac:dyDescent="0.2">
      <c r="A827" s="5" t="str">
        <f>IF(AND(B827="",ISNUMBER(B828)),CHOOSE(MONTH(B828),"GENNAIO","FEBBRAIO","MARZO","APRILE","MAGGIO","GIUGNO","LUGLIO","AGOSTO","SETTEMBRE","OTTOBRE","NOVEMBRE","DICEMBRE")&amp;" "&amp;YEAR(B828),"")</f>
        <v/>
      </c>
      <c r="B827" s="11"/>
      <c r="C827" s="12"/>
      <c r="D827" s="12" t="str">
        <f>IF(C827="","",C827-IF(C826&lt;&gt;"",C826,IF(C825&lt;&gt;"",C825,IF(C824&lt;&gt;"",C824,0))))</f>
        <v/>
      </c>
      <c r="E827" s="12"/>
      <c r="F827" s="12"/>
      <c r="G827" s="9" t="str">
        <f>IF(AND(E827="",F827=""),"",IF(OR(E827&gt;1,F827&gt;1),(F827-E827)/100,F827-E827))</f>
        <v/>
      </c>
      <c r="H827" s="12" t="str">
        <f>IF(G827="","",64*G827)</f>
        <v/>
      </c>
      <c r="I827" s="13"/>
      <c r="J827" s="13" t="str">
        <f>IFERROR(IF(OR(D827="",D827=0),"",I827/D827*100),"")</f>
        <v/>
      </c>
      <c r="K827" s="14"/>
      <c r="L827" s="13" t="str">
        <f>IF(I827="","",I827*K827)</f>
        <v/>
      </c>
      <c r="M827" s="13" t="str">
        <f>IF(B827="","",IFERROR(SUMPRODUCT(ISNUMBER(B$3:B827)*(MONTH(IF(ISNUMBER(B$3:B827),B$3:B827,1))=MONTH(B827))*(YEAR(IF(ISNUMBER(B$3:B827),B$3:B827,1))=YEAR(B827))*IF(ISNUMBER(L$3:L827),L$3:L827,0)),""))</f>
        <v/>
      </c>
      <c r="N827" s="6"/>
      <c r="O827" s="7" t="str">
        <f>IF(AND(B827="",ISNUMBER(B828)),CHOOSE(MONTH(B828),"GENNAIO","FEBBRAIO","MARZO","APRILE","MAGGIO","GIUGNO","LUGLIO","AGOSTO","SETTEMBRE","OTTOBRE","NOVEMBRE","DICEMBRE")&amp;" "&amp;YEAR(B828),"")</f>
        <v/>
      </c>
      <c r="P827" s="12" t="str">
        <f>IF(K827=0.2,"CASA","")</f>
        <v/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" customHeight="1" x14ac:dyDescent="0.2">
      <c r="A828" s="5" t="str">
        <f>IF(AND(B828="",ISNUMBER(B829)),CHOOSE(MONTH(B829),"GENNAIO","FEBBRAIO","MARZO","APRILE","MAGGIO","GIUGNO","LUGLIO","AGOSTO","SETTEMBRE","OTTOBRE","NOVEMBRE","DICEMBRE")&amp;" "&amp;YEAR(B829),"")</f>
        <v/>
      </c>
      <c r="B828" s="11"/>
      <c r="C828" s="12"/>
      <c r="D828" s="12" t="str">
        <f>IF(C828="","",C828-IF(C827&lt;&gt;"",C827,IF(C826&lt;&gt;"",C826,IF(C825&lt;&gt;"",C825,0))))</f>
        <v/>
      </c>
      <c r="E828" s="12"/>
      <c r="F828" s="12"/>
      <c r="G828" s="9" t="str">
        <f>IF(AND(E828="",F828=""),"",IF(OR(E828&gt;1,F828&gt;1),(F828-E828)/100,F828-E828))</f>
        <v/>
      </c>
      <c r="H828" s="12" t="str">
        <f>IF(G828="","",64*G828)</f>
        <v/>
      </c>
      <c r="I828" s="13"/>
      <c r="J828" s="13" t="str">
        <f>IFERROR(IF(OR(D828="",D828=0),"",I828/D828*100),"")</f>
        <v/>
      </c>
      <c r="K828" s="14"/>
      <c r="L828" s="13" t="str">
        <f>IF(I828="","",I828*K828)</f>
        <v/>
      </c>
      <c r="M828" s="13" t="str">
        <f>IF(B828="","",IFERROR(SUMPRODUCT(ISNUMBER(B$3:B828)*(MONTH(IF(ISNUMBER(B$3:B828),B$3:B828,1))=MONTH(B828))*(YEAR(IF(ISNUMBER(B$3:B828),B$3:B828,1))=YEAR(B828))*IF(ISNUMBER(L$3:L828),L$3:L828,0)),""))</f>
        <v/>
      </c>
      <c r="N828" s="6"/>
      <c r="O828" s="7" t="str">
        <f>IF(AND(B828="",ISNUMBER(B829)),CHOOSE(MONTH(B829),"GENNAIO","FEBBRAIO","MARZO","APRILE","MAGGIO","GIUGNO","LUGLIO","AGOSTO","SETTEMBRE","OTTOBRE","NOVEMBRE","DICEMBRE")&amp;" "&amp;YEAR(B829),"")</f>
        <v/>
      </c>
      <c r="P828" s="12" t="str">
        <f>IF(K828=0.2,"CASA","")</f>
        <v/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" customHeight="1" x14ac:dyDescent="0.2">
      <c r="A829" s="5" t="str">
        <f>IF(AND(B829="",ISNUMBER(B830)),CHOOSE(MONTH(B830),"GENNAIO","FEBBRAIO","MARZO","APRILE","MAGGIO","GIUGNO","LUGLIO","AGOSTO","SETTEMBRE","OTTOBRE","NOVEMBRE","DICEMBRE")&amp;" "&amp;YEAR(B830),"")</f>
        <v/>
      </c>
      <c r="B829" s="11"/>
      <c r="C829" s="12"/>
      <c r="D829" s="12" t="str">
        <f>IF(C829="","",C829-IF(C828&lt;&gt;"",C828,IF(C827&lt;&gt;"",C827,IF(C826&lt;&gt;"",C826,0))))</f>
        <v/>
      </c>
      <c r="E829" s="12"/>
      <c r="F829" s="12"/>
      <c r="G829" s="9" t="str">
        <f>IF(AND(E829="",F829=""),"",IF(OR(E829&gt;1,F829&gt;1),(F829-E829)/100,F829-E829))</f>
        <v/>
      </c>
      <c r="H829" s="12" t="str">
        <f>IF(G829="","",64*G829)</f>
        <v/>
      </c>
      <c r="I829" s="13"/>
      <c r="J829" s="13" t="str">
        <f>IFERROR(IF(OR(D829="",D829=0),"",I829/D829*100),"")</f>
        <v/>
      </c>
      <c r="K829" s="14"/>
      <c r="L829" s="13" t="str">
        <f>IF(I829="","",I829*K829)</f>
        <v/>
      </c>
      <c r="M829" s="13" t="str">
        <f>IF(B829="","",IFERROR(SUMPRODUCT(ISNUMBER(B$3:B829)*(MONTH(IF(ISNUMBER(B$3:B829),B$3:B829,1))=MONTH(B829))*(YEAR(IF(ISNUMBER(B$3:B829),B$3:B829,1))=YEAR(B829))*IF(ISNUMBER(L$3:L829),L$3:L829,0)),""))</f>
        <v/>
      </c>
      <c r="N829" s="6"/>
      <c r="O829" s="7" t="str">
        <f>IF(AND(B829="",ISNUMBER(B830)),CHOOSE(MONTH(B830),"GENNAIO","FEBBRAIO","MARZO","APRILE","MAGGIO","GIUGNO","LUGLIO","AGOSTO","SETTEMBRE","OTTOBRE","NOVEMBRE","DICEMBRE")&amp;" "&amp;YEAR(B830),"")</f>
        <v/>
      </c>
      <c r="P829" s="12" t="str">
        <f>IF(K829=0.2,"CASA","")</f>
        <v/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" customHeight="1" x14ac:dyDescent="0.2">
      <c r="A830" s="5" t="str">
        <f>IF(AND(B830="",ISNUMBER(B831)),CHOOSE(MONTH(B831),"GENNAIO","FEBBRAIO","MARZO","APRILE","MAGGIO","GIUGNO","LUGLIO","AGOSTO","SETTEMBRE","OTTOBRE","NOVEMBRE","DICEMBRE")&amp;" "&amp;YEAR(B831),"")</f>
        <v/>
      </c>
      <c r="B830" s="11"/>
      <c r="C830" s="12"/>
      <c r="D830" s="12" t="str">
        <f>IF(C830="","",C830-IF(C829&lt;&gt;"",C829,IF(C828&lt;&gt;"",C828,IF(C827&lt;&gt;"",C827,0))))</f>
        <v/>
      </c>
      <c r="E830" s="12"/>
      <c r="F830" s="12"/>
      <c r="G830" s="9" t="str">
        <f>IF(AND(E830="",F830=""),"",IF(OR(E830&gt;1,F830&gt;1),(F830-E830)/100,F830-E830))</f>
        <v/>
      </c>
      <c r="H830" s="12" t="str">
        <f>IF(G830="","",64*G830)</f>
        <v/>
      </c>
      <c r="I830" s="13"/>
      <c r="J830" s="13" t="str">
        <f>IFERROR(IF(OR(D830="",D830=0),"",I830/D830*100),"")</f>
        <v/>
      </c>
      <c r="K830" s="14"/>
      <c r="L830" s="13" t="str">
        <f>IF(I830="","",I830*K830)</f>
        <v/>
      </c>
      <c r="M830" s="13" t="str">
        <f>IF(B830="","",IFERROR(SUMPRODUCT(ISNUMBER(B$3:B830)*(MONTH(IF(ISNUMBER(B$3:B830),B$3:B830,1))=MONTH(B830))*(YEAR(IF(ISNUMBER(B$3:B830),B$3:B830,1))=YEAR(B830))*IF(ISNUMBER(L$3:L830),L$3:L830,0)),""))</f>
        <v/>
      </c>
      <c r="N830" s="6"/>
      <c r="O830" s="7" t="str">
        <f>IF(AND(B830="",ISNUMBER(B831)),CHOOSE(MONTH(B831),"GENNAIO","FEBBRAIO","MARZO","APRILE","MAGGIO","GIUGNO","LUGLIO","AGOSTO","SETTEMBRE","OTTOBRE","NOVEMBRE","DICEMBRE")&amp;" "&amp;YEAR(B831),"")</f>
        <v/>
      </c>
      <c r="P830" s="12" t="str">
        <f>IF(K830=0.2,"CASA","")</f>
        <v/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" customHeight="1" x14ac:dyDescent="0.2">
      <c r="A831" s="5" t="str">
        <f>IF(AND(B831="",ISNUMBER(B832)),CHOOSE(MONTH(B832),"GENNAIO","FEBBRAIO","MARZO","APRILE","MAGGIO","GIUGNO","LUGLIO","AGOSTO","SETTEMBRE","OTTOBRE","NOVEMBRE","DICEMBRE")&amp;" "&amp;YEAR(B832),"")</f>
        <v/>
      </c>
      <c r="B831" s="11"/>
      <c r="C831" s="12"/>
      <c r="D831" s="12" t="str">
        <f>IF(C831="","",C831-IF(C830&lt;&gt;"",C830,IF(C829&lt;&gt;"",C829,IF(C828&lt;&gt;"",C828,0))))</f>
        <v/>
      </c>
      <c r="E831" s="12"/>
      <c r="F831" s="12"/>
      <c r="G831" s="9" t="str">
        <f>IF(AND(E831="",F831=""),"",IF(OR(E831&gt;1,F831&gt;1),(F831-E831)/100,F831-E831))</f>
        <v/>
      </c>
      <c r="H831" s="12" t="str">
        <f>IF(G831="","",64*G831)</f>
        <v/>
      </c>
      <c r="I831" s="13"/>
      <c r="J831" s="13" t="str">
        <f>IFERROR(IF(OR(D831="",D831=0),"",I831/D831*100),"")</f>
        <v/>
      </c>
      <c r="K831" s="14"/>
      <c r="L831" s="13" t="str">
        <f>IF(I831="","",I831*K831)</f>
        <v/>
      </c>
      <c r="M831" s="13" t="str">
        <f>IF(B831="","",IFERROR(SUMPRODUCT(ISNUMBER(B$3:B831)*(MONTH(IF(ISNUMBER(B$3:B831),B$3:B831,1))=MONTH(B831))*(YEAR(IF(ISNUMBER(B$3:B831),B$3:B831,1))=YEAR(B831))*IF(ISNUMBER(L$3:L831),L$3:L831,0)),""))</f>
        <v/>
      </c>
      <c r="N831" s="6"/>
      <c r="O831" s="7" t="str">
        <f>IF(AND(B831="",ISNUMBER(B832)),CHOOSE(MONTH(B832),"GENNAIO","FEBBRAIO","MARZO","APRILE","MAGGIO","GIUGNO","LUGLIO","AGOSTO","SETTEMBRE","OTTOBRE","NOVEMBRE","DICEMBRE")&amp;" "&amp;YEAR(B832),"")</f>
        <v/>
      </c>
      <c r="P831" s="12" t="str">
        <f>IF(K831=0.2,"CASA","")</f>
        <v/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" customHeight="1" x14ac:dyDescent="0.2">
      <c r="A832" s="5" t="str">
        <f>IF(AND(B832="",ISNUMBER(B833)),CHOOSE(MONTH(B833),"GENNAIO","FEBBRAIO","MARZO","APRILE","MAGGIO","GIUGNO","LUGLIO","AGOSTO","SETTEMBRE","OTTOBRE","NOVEMBRE","DICEMBRE")&amp;" "&amp;YEAR(B833),"")</f>
        <v/>
      </c>
      <c r="B832" s="11"/>
      <c r="C832" s="12"/>
      <c r="D832" s="12" t="str">
        <f>IF(C832="","",C832-IF(C831&lt;&gt;"",C831,IF(C830&lt;&gt;"",C830,IF(C829&lt;&gt;"",C829,0))))</f>
        <v/>
      </c>
      <c r="E832" s="12"/>
      <c r="F832" s="12"/>
      <c r="G832" s="9" t="str">
        <f>IF(AND(E832="",F832=""),"",IF(OR(E832&gt;1,F832&gt;1),(F832-E832)/100,F832-E832))</f>
        <v/>
      </c>
      <c r="H832" s="12" t="str">
        <f>IF(G832="","",64*G832)</f>
        <v/>
      </c>
      <c r="I832" s="13"/>
      <c r="J832" s="13" t="str">
        <f>IFERROR(IF(OR(D832="",D832=0),"",I832/D832*100),"")</f>
        <v/>
      </c>
      <c r="K832" s="14"/>
      <c r="L832" s="13" t="str">
        <f>IF(I832="","",I832*K832)</f>
        <v/>
      </c>
      <c r="M832" s="13" t="str">
        <f>IF(B832="","",IFERROR(SUMPRODUCT(ISNUMBER(B$3:B832)*(MONTH(IF(ISNUMBER(B$3:B832),B$3:B832,1))=MONTH(B832))*(YEAR(IF(ISNUMBER(B$3:B832),B$3:B832,1))=YEAR(B832))*IF(ISNUMBER(L$3:L832),L$3:L832,0)),""))</f>
        <v/>
      </c>
      <c r="N832" s="6"/>
      <c r="O832" s="7" t="str">
        <f>IF(AND(B832="",ISNUMBER(B833)),CHOOSE(MONTH(B833),"GENNAIO","FEBBRAIO","MARZO","APRILE","MAGGIO","GIUGNO","LUGLIO","AGOSTO","SETTEMBRE","OTTOBRE","NOVEMBRE","DICEMBRE")&amp;" "&amp;YEAR(B833),"")</f>
        <v/>
      </c>
      <c r="P832" s="12" t="str">
        <f>IF(K832=0.2,"CASA","")</f>
        <v/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" customHeight="1" x14ac:dyDescent="0.2">
      <c r="A833" s="5" t="str">
        <f>IF(AND(B833="",ISNUMBER(B834)),CHOOSE(MONTH(B834),"GENNAIO","FEBBRAIO","MARZO","APRILE","MAGGIO","GIUGNO","LUGLIO","AGOSTO","SETTEMBRE","OTTOBRE","NOVEMBRE","DICEMBRE")&amp;" "&amp;YEAR(B834),"")</f>
        <v/>
      </c>
      <c r="B833" s="11"/>
      <c r="C833" s="12"/>
      <c r="D833" s="12" t="str">
        <f>IF(C833="","",C833-IF(C832&lt;&gt;"",C832,IF(C831&lt;&gt;"",C831,IF(C830&lt;&gt;"",C830,0))))</f>
        <v/>
      </c>
      <c r="E833" s="12"/>
      <c r="F833" s="12"/>
      <c r="G833" s="9" t="str">
        <f>IF(AND(E833="",F833=""),"",IF(OR(E833&gt;1,F833&gt;1),(F833-E833)/100,F833-E833))</f>
        <v/>
      </c>
      <c r="H833" s="12" t="str">
        <f>IF(G833="","",64*G833)</f>
        <v/>
      </c>
      <c r="I833" s="13"/>
      <c r="J833" s="13" t="str">
        <f>IFERROR(IF(OR(D833="",D833=0),"",I833/D833*100),"")</f>
        <v/>
      </c>
      <c r="K833" s="14"/>
      <c r="L833" s="13" t="str">
        <f>IF(I833="","",I833*K833)</f>
        <v/>
      </c>
      <c r="M833" s="13" t="str">
        <f>IF(B833="","",IFERROR(SUMPRODUCT(ISNUMBER(B$3:B833)*(MONTH(IF(ISNUMBER(B$3:B833),B$3:B833,1))=MONTH(B833))*(YEAR(IF(ISNUMBER(B$3:B833),B$3:B833,1))=YEAR(B833))*IF(ISNUMBER(L$3:L833),L$3:L833,0)),""))</f>
        <v/>
      </c>
      <c r="N833" s="6"/>
      <c r="O833" s="7" t="str">
        <f>IF(AND(B833="",ISNUMBER(B834)),CHOOSE(MONTH(B834),"GENNAIO","FEBBRAIO","MARZO","APRILE","MAGGIO","GIUGNO","LUGLIO","AGOSTO","SETTEMBRE","OTTOBRE","NOVEMBRE","DICEMBRE")&amp;" "&amp;YEAR(B834),"")</f>
        <v/>
      </c>
      <c r="P833" s="12" t="str">
        <f>IF(K833=0.2,"CASA","")</f>
        <v/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" customHeight="1" x14ac:dyDescent="0.2">
      <c r="A834" s="5" t="str">
        <f>IF(AND(B834="",ISNUMBER(B835)),CHOOSE(MONTH(B835),"GENNAIO","FEBBRAIO","MARZO","APRILE","MAGGIO","GIUGNO","LUGLIO","AGOSTO","SETTEMBRE","OTTOBRE","NOVEMBRE","DICEMBRE")&amp;" "&amp;YEAR(B835),"")</f>
        <v/>
      </c>
      <c r="B834" s="11"/>
      <c r="C834" s="12"/>
      <c r="D834" s="12" t="str">
        <f>IF(C834="","",C834-IF(C833&lt;&gt;"",C833,IF(C832&lt;&gt;"",C832,IF(C831&lt;&gt;"",C831,0))))</f>
        <v/>
      </c>
      <c r="E834" s="12"/>
      <c r="F834" s="12"/>
      <c r="G834" s="9" t="str">
        <f>IF(AND(E834="",F834=""),"",IF(OR(E834&gt;1,F834&gt;1),(F834-E834)/100,F834-E834))</f>
        <v/>
      </c>
      <c r="H834" s="12" t="str">
        <f>IF(G834="","",64*G834)</f>
        <v/>
      </c>
      <c r="I834" s="13"/>
      <c r="J834" s="13" t="str">
        <f>IFERROR(IF(OR(D834="",D834=0),"",I834/D834*100),"")</f>
        <v/>
      </c>
      <c r="K834" s="14"/>
      <c r="L834" s="13" t="str">
        <f>IF(I834="","",I834*K834)</f>
        <v/>
      </c>
      <c r="M834" s="13" t="str">
        <f>IF(B834="","",IFERROR(SUMPRODUCT(ISNUMBER(B$3:B834)*(MONTH(IF(ISNUMBER(B$3:B834),B$3:B834,1))=MONTH(B834))*(YEAR(IF(ISNUMBER(B$3:B834),B$3:B834,1))=YEAR(B834))*IF(ISNUMBER(L$3:L834),L$3:L834,0)),""))</f>
        <v/>
      </c>
      <c r="N834" s="6"/>
      <c r="O834" s="7" t="str">
        <f>IF(AND(B834="",ISNUMBER(B835)),CHOOSE(MONTH(B835),"GENNAIO","FEBBRAIO","MARZO","APRILE","MAGGIO","GIUGNO","LUGLIO","AGOSTO","SETTEMBRE","OTTOBRE","NOVEMBRE","DICEMBRE")&amp;" "&amp;YEAR(B835),"")</f>
        <v/>
      </c>
      <c r="P834" s="12" t="str">
        <f>IF(K834=0.2,"CASA","")</f>
        <v/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" customHeight="1" x14ac:dyDescent="0.2">
      <c r="A835" s="5" t="str">
        <f>IF(AND(B835="",ISNUMBER(B836)),CHOOSE(MONTH(B836),"GENNAIO","FEBBRAIO","MARZO","APRILE","MAGGIO","GIUGNO","LUGLIO","AGOSTO","SETTEMBRE","OTTOBRE","NOVEMBRE","DICEMBRE")&amp;" "&amp;YEAR(B836),"")</f>
        <v/>
      </c>
      <c r="B835" s="11"/>
      <c r="C835" s="12"/>
      <c r="D835" s="12" t="str">
        <f>IF(C835="","",C835-IF(C834&lt;&gt;"",C834,IF(C833&lt;&gt;"",C833,IF(C832&lt;&gt;"",C832,0))))</f>
        <v/>
      </c>
      <c r="E835" s="12"/>
      <c r="F835" s="12"/>
      <c r="G835" s="9" t="str">
        <f>IF(AND(E835="",F835=""),"",IF(OR(E835&gt;1,F835&gt;1),(F835-E835)/100,F835-E835))</f>
        <v/>
      </c>
      <c r="H835" s="12" t="str">
        <f>IF(G835="","",64*G835)</f>
        <v/>
      </c>
      <c r="I835" s="13"/>
      <c r="J835" s="13" t="str">
        <f>IFERROR(IF(OR(D835="",D835=0),"",I835/D835*100),"")</f>
        <v/>
      </c>
      <c r="K835" s="14"/>
      <c r="L835" s="13" t="str">
        <f>IF(I835="","",I835*K835)</f>
        <v/>
      </c>
      <c r="M835" s="13" t="str">
        <f>IF(B835="","",IFERROR(SUMPRODUCT(ISNUMBER(B$3:B835)*(MONTH(IF(ISNUMBER(B$3:B835),B$3:B835,1))=MONTH(B835))*(YEAR(IF(ISNUMBER(B$3:B835),B$3:B835,1))=YEAR(B835))*IF(ISNUMBER(L$3:L835),L$3:L835,0)),""))</f>
        <v/>
      </c>
      <c r="N835" s="6"/>
      <c r="O835" s="7" t="str">
        <f>IF(AND(B835="",ISNUMBER(B836)),CHOOSE(MONTH(B836),"GENNAIO","FEBBRAIO","MARZO","APRILE","MAGGIO","GIUGNO","LUGLIO","AGOSTO","SETTEMBRE","OTTOBRE","NOVEMBRE","DICEMBRE")&amp;" "&amp;YEAR(B836),"")</f>
        <v/>
      </c>
      <c r="P835" s="12" t="str">
        <f>IF(K835=0.2,"CASA","")</f>
        <v/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" customHeight="1" x14ac:dyDescent="0.2">
      <c r="A836" s="5" t="str">
        <f>IF(AND(B836="",ISNUMBER(B837)),CHOOSE(MONTH(B837),"GENNAIO","FEBBRAIO","MARZO","APRILE","MAGGIO","GIUGNO","LUGLIO","AGOSTO","SETTEMBRE","OTTOBRE","NOVEMBRE","DICEMBRE")&amp;" "&amp;YEAR(B837),"")</f>
        <v/>
      </c>
      <c r="B836" s="11"/>
      <c r="C836" s="12"/>
      <c r="D836" s="12" t="str">
        <f>IF(C836="","",C836-IF(C835&lt;&gt;"",C835,IF(C834&lt;&gt;"",C834,IF(C833&lt;&gt;"",C833,0))))</f>
        <v/>
      </c>
      <c r="E836" s="12"/>
      <c r="F836" s="12"/>
      <c r="G836" s="9" t="str">
        <f>IF(AND(E836="",F836=""),"",IF(OR(E836&gt;1,F836&gt;1),(F836-E836)/100,F836-E836))</f>
        <v/>
      </c>
      <c r="H836" s="12" t="str">
        <f>IF(G836="","",64*G836)</f>
        <v/>
      </c>
      <c r="I836" s="13"/>
      <c r="J836" s="13" t="str">
        <f>IFERROR(IF(OR(D836="",D836=0),"",I836/D836*100),"")</f>
        <v/>
      </c>
      <c r="K836" s="14"/>
      <c r="L836" s="13" t="str">
        <f>IF(I836="","",I836*K836)</f>
        <v/>
      </c>
      <c r="M836" s="13" t="str">
        <f>IF(B836="","",IFERROR(SUMPRODUCT(ISNUMBER(B$3:B836)*(MONTH(IF(ISNUMBER(B$3:B836),B$3:B836,1))=MONTH(B836))*(YEAR(IF(ISNUMBER(B$3:B836),B$3:B836,1))=YEAR(B836))*IF(ISNUMBER(L$3:L836),L$3:L836,0)),""))</f>
        <v/>
      </c>
      <c r="N836" s="6"/>
      <c r="O836" s="7" t="str">
        <f>IF(AND(B836="",ISNUMBER(B837)),CHOOSE(MONTH(B837),"GENNAIO","FEBBRAIO","MARZO","APRILE","MAGGIO","GIUGNO","LUGLIO","AGOSTO","SETTEMBRE","OTTOBRE","NOVEMBRE","DICEMBRE")&amp;" "&amp;YEAR(B837),"")</f>
        <v/>
      </c>
      <c r="P836" s="12" t="str">
        <f>IF(K836=0.2,"CASA","")</f>
        <v/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" customHeight="1" x14ac:dyDescent="0.2">
      <c r="A837" s="5" t="str">
        <f>IF(AND(B837="",ISNUMBER(B838)),CHOOSE(MONTH(B838),"GENNAIO","FEBBRAIO","MARZO","APRILE","MAGGIO","GIUGNO","LUGLIO","AGOSTO","SETTEMBRE","OTTOBRE","NOVEMBRE","DICEMBRE")&amp;" "&amp;YEAR(B838),"")</f>
        <v/>
      </c>
      <c r="B837" s="11"/>
      <c r="C837" s="12"/>
      <c r="D837" s="12" t="str">
        <f>IF(C837="","",C837-IF(C836&lt;&gt;"",C836,IF(C835&lt;&gt;"",C835,IF(C834&lt;&gt;"",C834,0))))</f>
        <v/>
      </c>
      <c r="E837" s="12"/>
      <c r="F837" s="12"/>
      <c r="G837" s="9" t="str">
        <f>IF(AND(E837="",F837=""),"",IF(OR(E837&gt;1,F837&gt;1),(F837-E837)/100,F837-E837))</f>
        <v/>
      </c>
      <c r="H837" s="12" t="str">
        <f>IF(G837="","",64*G837)</f>
        <v/>
      </c>
      <c r="I837" s="13"/>
      <c r="J837" s="13" t="str">
        <f>IFERROR(IF(OR(D837="",D837=0),"",I837/D837*100),"")</f>
        <v/>
      </c>
      <c r="K837" s="14"/>
      <c r="L837" s="13" t="str">
        <f>IF(I837="","",I837*K837)</f>
        <v/>
      </c>
      <c r="M837" s="13" t="str">
        <f>IF(B837="","",IFERROR(SUMPRODUCT(ISNUMBER(B$3:B837)*(MONTH(IF(ISNUMBER(B$3:B837),B$3:B837,1))=MONTH(B837))*(YEAR(IF(ISNUMBER(B$3:B837),B$3:B837,1))=YEAR(B837))*IF(ISNUMBER(L$3:L837),L$3:L837,0)),""))</f>
        <v/>
      </c>
      <c r="N837" s="6"/>
      <c r="O837" s="7" t="str">
        <f>IF(AND(B837="",ISNUMBER(B838)),CHOOSE(MONTH(B838),"GENNAIO","FEBBRAIO","MARZO","APRILE","MAGGIO","GIUGNO","LUGLIO","AGOSTO","SETTEMBRE","OTTOBRE","NOVEMBRE","DICEMBRE")&amp;" "&amp;YEAR(B838),"")</f>
        <v/>
      </c>
      <c r="P837" s="12" t="str">
        <f>IF(K837=0.2,"CASA","")</f>
        <v/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" customHeight="1" x14ac:dyDescent="0.2">
      <c r="A838" s="5" t="str">
        <f>IF(AND(B838="",ISNUMBER(B839)),CHOOSE(MONTH(B839),"GENNAIO","FEBBRAIO","MARZO","APRILE","MAGGIO","GIUGNO","LUGLIO","AGOSTO","SETTEMBRE","OTTOBRE","NOVEMBRE","DICEMBRE")&amp;" "&amp;YEAR(B839),"")</f>
        <v/>
      </c>
      <c r="B838" s="11"/>
      <c r="C838" s="12"/>
      <c r="D838" s="12" t="str">
        <f>IF(C838="","",C838-IF(C837&lt;&gt;"",C837,IF(C836&lt;&gt;"",C836,IF(C835&lt;&gt;"",C835,0))))</f>
        <v/>
      </c>
      <c r="E838" s="12"/>
      <c r="F838" s="12"/>
      <c r="G838" s="9" t="str">
        <f>IF(AND(E838="",F838=""),"",IF(OR(E838&gt;1,F838&gt;1),(F838-E838)/100,F838-E838))</f>
        <v/>
      </c>
      <c r="H838" s="12" t="str">
        <f>IF(G838="","",64*G838)</f>
        <v/>
      </c>
      <c r="I838" s="13"/>
      <c r="J838" s="13" t="str">
        <f>IFERROR(IF(OR(D838="",D838=0),"",I838/D838*100),"")</f>
        <v/>
      </c>
      <c r="K838" s="14"/>
      <c r="L838" s="13" t="str">
        <f>IF(I838="","",I838*K838)</f>
        <v/>
      </c>
      <c r="M838" s="13" t="str">
        <f>IF(B838="","",IFERROR(SUMPRODUCT(ISNUMBER(B$3:B838)*(MONTH(IF(ISNUMBER(B$3:B838),B$3:B838,1))=MONTH(B838))*(YEAR(IF(ISNUMBER(B$3:B838),B$3:B838,1))=YEAR(B838))*IF(ISNUMBER(L$3:L838),L$3:L838,0)),""))</f>
        <v/>
      </c>
      <c r="N838" s="6"/>
      <c r="O838" s="7" t="str">
        <f>IF(AND(B838="",ISNUMBER(B839)),CHOOSE(MONTH(B839),"GENNAIO","FEBBRAIO","MARZO","APRILE","MAGGIO","GIUGNO","LUGLIO","AGOSTO","SETTEMBRE","OTTOBRE","NOVEMBRE","DICEMBRE")&amp;" "&amp;YEAR(B839),"")</f>
        <v/>
      </c>
      <c r="P838" s="12" t="str">
        <f>IF(K838=0.2,"CASA","")</f>
        <v/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" customHeight="1" x14ac:dyDescent="0.2">
      <c r="A839" s="5" t="str">
        <f>IF(AND(B839="",ISNUMBER(B840)),CHOOSE(MONTH(B840),"GENNAIO","FEBBRAIO","MARZO","APRILE","MAGGIO","GIUGNO","LUGLIO","AGOSTO","SETTEMBRE","OTTOBRE","NOVEMBRE","DICEMBRE")&amp;" "&amp;YEAR(B840),"")</f>
        <v/>
      </c>
      <c r="B839" s="11"/>
      <c r="C839" s="12"/>
      <c r="D839" s="12" t="str">
        <f>IF(C839="","",C839-IF(C838&lt;&gt;"",C838,IF(C837&lt;&gt;"",C837,IF(C836&lt;&gt;"",C836,0))))</f>
        <v/>
      </c>
      <c r="E839" s="12"/>
      <c r="F839" s="12"/>
      <c r="G839" s="9" t="str">
        <f>IF(AND(E839="",F839=""),"",IF(OR(E839&gt;1,F839&gt;1),(F839-E839)/100,F839-E839))</f>
        <v/>
      </c>
      <c r="H839" s="12" t="str">
        <f>IF(G839="","",64*G839)</f>
        <v/>
      </c>
      <c r="I839" s="13"/>
      <c r="J839" s="13" t="str">
        <f>IFERROR(IF(OR(D839="",D839=0),"",I839/D839*100),"")</f>
        <v/>
      </c>
      <c r="K839" s="14"/>
      <c r="L839" s="13" t="str">
        <f>IF(I839="","",I839*K839)</f>
        <v/>
      </c>
      <c r="M839" s="13" t="str">
        <f>IF(B839="","",IFERROR(SUMPRODUCT(ISNUMBER(B$3:B839)*(MONTH(IF(ISNUMBER(B$3:B839),B$3:B839,1))=MONTH(B839))*(YEAR(IF(ISNUMBER(B$3:B839),B$3:B839,1))=YEAR(B839))*IF(ISNUMBER(L$3:L839),L$3:L839,0)),""))</f>
        <v/>
      </c>
      <c r="N839" s="6"/>
      <c r="O839" s="7" t="str">
        <f>IF(AND(B839="",ISNUMBER(B840)),CHOOSE(MONTH(B840),"GENNAIO","FEBBRAIO","MARZO","APRILE","MAGGIO","GIUGNO","LUGLIO","AGOSTO","SETTEMBRE","OTTOBRE","NOVEMBRE","DICEMBRE")&amp;" "&amp;YEAR(B840),"")</f>
        <v/>
      </c>
      <c r="P839" s="12" t="str">
        <f>IF(K839=0.2,"CASA","")</f>
        <v/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" customHeight="1" x14ac:dyDescent="0.2">
      <c r="A840" s="5" t="str">
        <f>IF(AND(B840="",ISNUMBER(B841)),CHOOSE(MONTH(B841),"GENNAIO","FEBBRAIO","MARZO","APRILE","MAGGIO","GIUGNO","LUGLIO","AGOSTO","SETTEMBRE","OTTOBRE","NOVEMBRE","DICEMBRE")&amp;" "&amp;YEAR(B841),"")</f>
        <v/>
      </c>
      <c r="B840" s="11"/>
      <c r="C840" s="12"/>
      <c r="D840" s="12" t="str">
        <f>IF(C840="","",C840-IF(C839&lt;&gt;"",C839,IF(C838&lt;&gt;"",C838,IF(C837&lt;&gt;"",C837,0))))</f>
        <v/>
      </c>
      <c r="E840" s="12"/>
      <c r="F840" s="12"/>
      <c r="G840" s="9" t="str">
        <f>IF(AND(E840="",F840=""),"",IF(OR(E840&gt;1,F840&gt;1),(F840-E840)/100,F840-E840))</f>
        <v/>
      </c>
      <c r="H840" s="12" t="str">
        <f>IF(G840="","",64*G840)</f>
        <v/>
      </c>
      <c r="I840" s="13"/>
      <c r="J840" s="13" t="str">
        <f>IFERROR(IF(OR(D840="",D840=0),"",I840/D840*100),"")</f>
        <v/>
      </c>
      <c r="K840" s="14"/>
      <c r="L840" s="13" t="str">
        <f>IF(I840="","",I840*K840)</f>
        <v/>
      </c>
      <c r="M840" s="13" t="str">
        <f>IF(B840="","",IFERROR(SUMPRODUCT(ISNUMBER(B$3:B840)*(MONTH(IF(ISNUMBER(B$3:B840),B$3:B840,1))=MONTH(B840))*(YEAR(IF(ISNUMBER(B$3:B840),B$3:B840,1))=YEAR(B840))*IF(ISNUMBER(L$3:L840),L$3:L840,0)),""))</f>
        <v/>
      </c>
      <c r="N840" s="6"/>
      <c r="O840" s="7" t="str">
        <f>IF(AND(B840="",ISNUMBER(B841)),CHOOSE(MONTH(B841),"GENNAIO","FEBBRAIO","MARZO","APRILE","MAGGIO","GIUGNO","LUGLIO","AGOSTO","SETTEMBRE","OTTOBRE","NOVEMBRE","DICEMBRE")&amp;" "&amp;YEAR(B841),"")</f>
        <v/>
      </c>
      <c r="P840" s="12" t="str">
        <f>IF(K840=0.2,"CASA","")</f>
        <v/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" customHeight="1" x14ac:dyDescent="0.2">
      <c r="A841" s="5" t="str">
        <f>IF(AND(B841="",ISNUMBER(B842)),CHOOSE(MONTH(B842),"GENNAIO","FEBBRAIO","MARZO","APRILE","MAGGIO","GIUGNO","LUGLIO","AGOSTO","SETTEMBRE","OTTOBRE","NOVEMBRE","DICEMBRE")&amp;" "&amp;YEAR(B842),"")</f>
        <v/>
      </c>
      <c r="B841" s="11"/>
      <c r="C841" s="12"/>
      <c r="D841" s="12" t="str">
        <f>IF(C841="","",C841-IF(C840&lt;&gt;"",C840,IF(C839&lt;&gt;"",C839,IF(C838&lt;&gt;"",C838,0))))</f>
        <v/>
      </c>
      <c r="E841" s="12"/>
      <c r="F841" s="12"/>
      <c r="G841" s="9" t="str">
        <f>IF(AND(E841="",F841=""),"",IF(OR(E841&gt;1,F841&gt;1),(F841-E841)/100,F841-E841))</f>
        <v/>
      </c>
      <c r="H841" s="12" t="str">
        <f>IF(G841="","",64*G841)</f>
        <v/>
      </c>
      <c r="I841" s="13"/>
      <c r="J841" s="13" t="str">
        <f>IFERROR(IF(OR(D841="",D841=0),"",I841/D841*100),"")</f>
        <v/>
      </c>
      <c r="K841" s="14"/>
      <c r="L841" s="13" t="str">
        <f>IF(I841="","",I841*K841)</f>
        <v/>
      </c>
      <c r="M841" s="13" t="str">
        <f>IF(B841="","",IFERROR(SUMPRODUCT(ISNUMBER(B$3:B841)*(MONTH(IF(ISNUMBER(B$3:B841),B$3:B841,1))=MONTH(B841))*(YEAR(IF(ISNUMBER(B$3:B841),B$3:B841,1))=YEAR(B841))*IF(ISNUMBER(L$3:L841),L$3:L841,0)),""))</f>
        <v/>
      </c>
      <c r="N841" s="6"/>
      <c r="O841" s="7" t="str">
        <f>IF(AND(B841="",ISNUMBER(B842)),CHOOSE(MONTH(B842),"GENNAIO","FEBBRAIO","MARZO","APRILE","MAGGIO","GIUGNO","LUGLIO","AGOSTO","SETTEMBRE","OTTOBRE","NOVEMBRE","DICEMBRE")&amp;" "&amp;YEAR(B842),"")</f>
        <v/>
      </c>
      <c r="P841" s="12" t="str">
        <f>IF(K841=0.2,"CASA","")</f>
        <v/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" customHeight="1" x14ac:dyDescent="0.2">
      <c r="A842" s="5" t="str">
        <f>IF(AND(B842="",ISNUMBER(B843)),CHOOSE(MONTH(B843),"GENNAIO","FEBBRAIO","MARZO","APRILE","MAGGIO","GIUGNO","LUGLIO","AGOSTO","SETTEMBRE","OTTOBRE","NOVEMBRE","DICEMBRE")&amp;" "&amp;YEAR(B843),"")</f>
        <v/>
      </c>
      <c r="B842" s="11"/>
      <c r="C842" s="12"/>
      <c r="D842" s="12" t="str">
        <f>IF(C842="","",C842-IF(C841&lt;&gt;"",C841,IF(C840&lt;&gt;"",C840,IF(C839&lt;&gt;"",C839,0))))</f>
        <v/>
      </c>
      <c r="E842" s="12"/>
      <c r="F842" s="12"/>
      <c r="G842" s="9" t="str">
        <f>IF(AND(E842="",F842=""),"",IF(OR(E842&gt;1,F842&gt;1),(F842-E842)/100,F842-E842))</f>
        <v/>
      </c>
      <c r="H842" s="12" t="str">
        <f>IF(G842="","",64*G842)</f>
        <v/>
      </c>
      <c r="I842" s="13"/>
      <c r="J842" s="13" t="str">
        <f>IFERROR(IF(OR(D842="",D842=0),"",I842/D842*100),"")</f>
        <v/>
      </c>
      <c r="K842" s="14"/>
      <c r="L842" s="13" t="str">
        <f>IF(I842="","",I842*K842)</f>
        <v/>
      </c>
      <c r="M842" s="13" t="str">
        <f>IF(B842="","",IFERROR(SUMPRODUCT(ISNUMBER(B$3:B842)*(MONTH(IF(ISNUMBER(B$3:B842),B$3:B842,1))=MONTH(B842))*(YEAR(IF(ISNUMBER(B$3:B842),B$3:B842,1))=YEAR(B842))*IF(ISNUMBER(L$3:L842),L$3:L842,0)),""))</f>
        <v/>
      </c>
      <c r="N842" s="6"/>
      <c r="O842" s="7" t="str">
        <f>IF(AND(B842="",ISNUMBER(B843)),CHOOSE(MONTH(B843),"GENNAIO","FEBBRAIO","MARZO","APRILE","MAGGIO","GIUGNO","LUGLIO","AGOSTO","SETTEMBRE","OTTOBRE","NOVEMBRE","DICEMBRE")&amp;" "&amp;YEAR(B843),"")</f>
        <v/>
      </c>
      <c r="P842" s="12" t="str">
        <f>IF(K842=0.2,"CASA","")</f>
        <v/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" customHeight="1" x14ac:dyDescent="0.2">
      <c r="A843" s="5" t="str">
        <f>IF(AND(B843="",ISNUMBER(B844)),CHOOSE(MONTH(B844),"GENNAIO","FEBBRAIO","MARZO","APRILE","MAGGIO","GIUGNO","LUGLIO","AGOSTO","SETTEMBRE","OTTOBRE","NOVEMBRE","DICEMBRE")&amp;" "&amp;YEAR(B844),"")</f>
        <v/>
      </c>
      <c r="B843" s="11"/>
      <c r="C843" s="12"/>
      <c r="D843" s="12" t="str">
        <f>IF(C843="","",C843-IF(C842&lt;&gt;"",C842,IF(C841&lt;&gt;"",C841,IF(C840&lt;&gt;"",C840,0))))</f>
        <v/>
      </c>
      <c r="E843" s="12"/>
      <c r="F843" s="12"/>
      <c r="G843" s="9" t="str">
        <f>IF(AND(E843="",F843=""),"",IF(OR(E843&gt;1,F843&gt;1),(F843-E843)/100,F843-E843))</f>
        <v/>
      </c>
      <c r="H843" s="12" t="str">
        <f>IF(G843="","",64*G843)</f>
        <v/>
      </c>
      <c r="I843" s="13"/>
      <c r="J843" s="13" t="str">
        <f>IFERROR(IF(OR(D843="",D843=0),"",I843/D843*100),"")</f>
        <v/>
      </c>
      <c r="K843" s="14"/>
      <c r="L843" s="13" t="str">
        <f>IF(I843="","",I843*K843)</f>
        <v/>
      </c>
      <c r="M843" s="13" t="str">
        <f>IF(B843="","",IFERROR(SUMPRODUCT(ISNUMBER(B$3:B843)*(MONTH(IF(ISNUMBER(B$3:B843),B$3:B843,1))=MONTH(B843))*(YEAR(IF(ISNUMBER(B$3:B843),B$3:B843,1))=YEAR(B843))*IF(ISNUMBER(L$3:L843),L$3:L843,0)),""))</f>
        <v/>
      </c>
      <c r="N843" s="6"/>
      <c r="O843" s="7" t="str">
        <f>IF(AND(B843="",ISNUMBER(B844)),CHOOSE(MONTH(B844),"GENNAIO","FEBBRAIO","MARZO","APRILE","MAGGIO","GIUGNO","LUGLIO","AGOSTO","SETTEMBRE","OTTOBRE","NOVEMBRE","DICEMBRE")&amp;" "&amp;YEAR(B844),"")</f>
        <v/>
      </c>
      <c r="P843" s="12" t="str">
        <f>IF(K843=0.2,"CASA","")</f>
        <v/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" customHeight="1" x14ac:dyDescent="0.2">
      <c r="A844" s="5" t="str">
        <f>IF(AND(B844="",ISNUMBER(B845)),CHOOSE(MONTH(B845),"GENNAIO","FEBBRAIO","MARZO","APRILE","MAGGIO","GIUGNO","LUGLIO","AGOSTO","SETTEMBRE","OTTOBRE","NOVEMBRE","DICEMBRE")&amp;" "&amp;YEAR(B845),"")</f>
        <v/>
      </c>
      <c r="B844" s="11"/>
      <c r="C844" s="12"/>
      <c r="D844" s="12" t="str">
        <f>IF(C844="","",C844-IF(C843&lt;&gt;"",C843,IF(C842&lt;&gt;"",C842,IF(C841&lt;&gt;"",C841,0))))</f>
        <v/>
      </c>
      <c r="E844" s="12"/>
      <c r="F844" s="12"/>
      <c r="G844" s="9" t="str">
        <f>IF(AND(E844="",F844=""),"",IF(OR(E844&gt;1,F844&gt;1),(F844-E844)/100,F844-E844))</f>
        <v/>
      </c>
      <c r="H844" s="12" t="str">
        <f>IF(G844="","",64*G844)</f>
        <v/>
      </c>
      <c r="I844" s="13"/>
      <c r="J844" s="13" t="str">
        <f>IFERROR(IF(OR(D844="",D844=0),"",I844/D844*100),"")</f>
        <v/>
      </c>
      <c r="K844" s="14"/>
      <c r="L844" s="13" t="str">
        <f>IF(I844="","",I844*K844)</f>
        <v/>
      </c>
      <c r="M844" s="13" t="str">
        <f>IF(B844="","",IFERROR(SUMPRODUCT(ISNUMBER(B$3:B844)*(MONTH(IF(ISNUMBER(B$3:B844),B$3:B844,1))=MONTH(B844))*(YEAR(IF(ISNUMBER(B$3:B844),B$3:B844,1))=YEAR(B844))*IF(ISNUMBER(L$3:L844),L$3:L844,0)),""))</f>
        <v/>
      </c>
      <c r="N844" s="6"/>
      <c r="O844" s="7" t="str">
        <f>IF(AND(B844="",ISNUMBER(B845)),CHOOSE(MONTH(B845),"GENNAIO","FEBBRAIO","MARZO","APRILE","MAGGIO","GIUGNO","LUGLIO","AGOSTO","SETTEMBRE","OTTOBRE","NOVEMBRE","DICEMBRE")&amp;" "&amp;YEAR(B845),"")</f>
        <v/>
      </c>
      <c r="P844" s="12" t="str">
        <f>IF(K844=0.2,"CASA","")</f>
        <v/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" customHeight="1" x14ac:dyDescent="0.2">
      <c r="A845" s="5" t="str">
        <f>IF(AND(B845="",ISNUMBER(B846)),CHOOSE(MONTH(B846),"GENNAIO","FEBBRAIO","MARZO","APRILE","MAGGIO","GIUGNO","LUGLIO","AGOSTO","SETTEMBRE","OTTOBRE","NOVEMBRE","DICEMBRE")&amp;" "&amp;YEAR(B846),"")</f>
        <v/>
      </c>
      <c r="B845" s="11"/>
      <c r="C845" s="12"/>
      <c r="D845" s="12" t="str">
        <f>IF(C845="","",C845-IF(C844&lt;&gt;"",C844,IF(C843&lt;&gt;"",C843,IF(C842&lt;&gt;"",C842,0))))</f>
        <v/>
      </c>
      <c r="E845" s="12"/>
      <c r="F845" s="12"/>
      <c r="G845" s="9" t="str">
        <f>IF(AND(E845="",F845=""),"",IF(OR(E845&gt;1,F845&gt;1),(F845-E845)/100,F845-E845))</f>
        <v/>
      </c>
      <c r="H845" s="12" t="str">
        <f>IF(G845="","",64*G845)</f>
        <v/>
      </c>
      <c r="I845" s="13"/>
      <c r="J845" s="13" t="str">
        <f>IFERROR(IF(OR(D845="",D845=0),"",I845/D845*100),"")</f>
        <v/>
      </c>
      <c r="K845" s="14"/>
      <c r="L845" s="13" t="str">
        <f>IF(I845="","",I845*K845)</f>
        <v/>
      </c>
      <c r="M845" s="13" t="str">
        <f>IF(B845="","",IFERROR(SUMPRODUCT(ISNUMBER(B$3:B845)*(MONTH(IF(ISNUMBER(B$3:B845),B$3:B845,1))=MONTH(B845))*(YEAR(IF(ISNUMBER(B$3:B845),B$3:B845,1))=YEAR(B845))*IF(ISNUMBER(L$3:L845),L$3:L845,0)),""))</f>
        <v/>
      </c>
      <c r="N845" s="6"/>
      <c r="O845" s="7" t="str">
        <f>IF(AND(B845="",ISNUMBER(B846)),CHOOSE(MONTH(B846),"GENNAIO","FEBBRAIO","MARZO","APRILE","MAGGIO","GIUGNO","LUGLIO","AGOSTO","SETTEMBRE","OTTOBRE","NOVEMBRE","DICEMBRE")&amp;" "&amp;YEAR(B846),"")</f>
        <v/>
      </c>
      <c r="P845" s="12" t="str">
        <f>IF(K845=0.2,"CASA","")</f>
        <v/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" customHeight="1" x14ac:dyDescent="0.2">
      <c r="A846" s="5" t="str">
        <f>IF(AND(B846="",ISNUMBER(B847)),CHOOSE(MONTH(B847),"GENNAIO","FEBBRAIO","MARZO","APRILE","MAGGIO","GIUGNO","LUGLIO","AGOSTO","SETTEMBRE","OTTOBRE","NOVEMBRE","DICEMBRE")&amp;" "&amp;YEAR(B847),"")</f>
        <v/>
      </c>
      <c r="B846" s="11"/>
      <c r="C846" s="12"/>
      <c r="D846" s="12" t="str">
        <f>IF(C846="","",C846-IF(C845&lt;&gt;"",C845,IF(C844&lt;&gt;"",C844,IF(C843&lt;&gt;"",C843,0))))</f>
        <v/>
      </c>
      <c r="E846" s="12"/>
      <c r="F846" s="12"/>
      <c r="G846" s="9" t="str">
        <f>IF(AND(E846="",F846=""),"",IF(OR(E846&gt;1,F846&gt;1),(F846-E846)/100,F846-E846))</f>
        <v/>
      </c>
      <c r="H846" s="12" t="str">
        <f>IF(G846="","",64*G846)</f>
        <v/>
      </c>
      <c r="I846" s="13"/>
      <c r="J846" s="13" t="str">
        <f>IFERROR(IF(OR(D846="",D846=0),"",I846/D846*100),"")</f>
        <v/>
      </c>
      <c r="K846" s="14"/>
      <c r="L846" s="13" t="str">
        <f>IF(I846="","",I846*K846)</f>
        <v/>
      </c>
      <c r="M846" s="13" t="str">
        <f>IF(B846="","",IFERROR(SUMPRODUCT(ISNUMBER(B$3:B846)*(MONTH(IF(ISNUMBER(B$3:B846),B$3:B846,1))=MONTH(B846))*(YEAR(IF(ISNUMBER(B$3:B846),B$3:B846,1))=YEAR(B846))*IF(ISNUMBER(L$3:L846),L$3:L846,0)),""))</f>
        <v/>
      </c>
      <c r="N846" s="6"/>
      <c r="O846" s="7" t="str">
        <f>IF(AND(B846="",ISNUMBER(B847)),CHOOSE(MONTH(B847),"GENNAIO","FEBBRAIO","MARZO","APRILE","MAGGIO","GIUGNO","LUGLIO","AGOSTO","SETTEMBRE","OTTOBRE","NOVEMBRE","DICEMBRE")&amp;" "&amp;YEAR(B847),"")</f>
        <v/>
      </c>
      <c r="P846" s="12" t="str">
        <f>IF(K846=0.2,"CASA","")</f>
        <v/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" customHeight="1" x14ac:dyDescent="0.2">
      <c r="A847" s="5" t="str">
        <f>IF(AND(B847="",ISNUMBER(B848)),CHOOSE(MONTH(B848),"GENNAIO","FEBBRAIO","MARZO","APRILE","MAGGIO","GIUGNO","LUGLIO","AGOSTO","SETTEMBRE","OTTOBRE","NOVEMBRE","DICEMBRE")&amp;" "&amp;YEAR(B848),"")</f>
        <v/>
      </c>
      <c r="B847" s="11"/>
      <c r="C847" s="12"/>
      <c r="D847" s="12" t="str">
        <f>IF(C847="","",C847-IF(C846&lt;&gt;"",C846,IF(C845&lt;&gt;"",C845,IF(C844&lt;&gt;"",C844,0))))</f>
        <v/>
      </c>
      <c r="E847" s="12"/>
      <c r="F847" s="12"/>
      <c r="G847" s="9" t="str">
        <f>IF(AND(E847="",F847=""),"",IF(OR(E847&gt;1,F847&gt;1),(F847-E847)/100,F847-E847))</f>
        <v/>
      </c>
      <c r="H847" s="12" t="str">
        <f>IF(G847="","",64*G847)</f>
        <v/>
      </c>
      <c r="I847" s="13"/>
      <c r="J847" s="13" t="str">
        <f>IFERROR(IF(OR(D847="",D847=0),"",I847/D847*100),"")</f>
        <v/>
      </c>
      <c r="K847" s="14"/>
      <c r="L847" s="13" t="str">
        <f>IF(I847="","",I847*K847)</f>
        <v/>
      </c>
      <c r="M847" s="13" t="str">
        <f>IF(B847="","",IFERROR(SUMPRODUCT(ISNUMBER(B$3:B847)*(MONTH(IF(ISNUMBER(B$3:B847),B$3:B847,1))=MONTH(B847))*(YEAR(IF(ISNUMBER(B$3:B847),B$3:B847,1))=YEAR(B847))*IF(ISNUMBER(L$3:L847),L$3:L847,0)),""))</f>
        <v/>
      </c>
      <c r="N847" s="6"/>
      <c r="O847" s="7" t="str">
        <f>IF(AND(B847="",ISNUMBER(B848)),CHOOSE(MONTH(B848),"GENNAIO","FEBBRAIO","MARZO","APRILE","MAGGIO","GIUGNO","LUGLIO","AGOSTO","SETTEMBRE","OTTOBRE","NOVEMBRE","DICEMBRE")&amp;" "&amp;YEAR(B848),"")</f>
        <v/>
      </c>
      <c r="P847" s="12" t="str">
        <f>IF(K847=0.2,"CASA","")</f>
        <v/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" customHeight="1" x14ac:dyDescent="0.2">
      <c r="A848" s="5" t="str">
        <f>IF(AND(B848="",ISNUMBER(B849)),CHOOSE(MONTH(B849),"GENNAIO","FEBBRAIO","MARZO","APRILE","MAGGIO","GIUGNO","LUGLIO","AGOSTO","SETTEMBRE","OTTOBRE","NOVEMBRE","DICEMBRE")&amp;" "&amp;YEAR(B849),"")</f>
        <v/>
      </c>
      <c r="B848" s="11"/>
      <c r="C848" s="12"/>
      <c r="D848" s="12" t="str">
        <f>IF(C848="","",C848-IF(C847&lt;&gt;"",C847,IF(C846&lt;&gt;"",C846,IF(C845&lt;&gt;"",C845,0))))</f>
        <v/>
      </c>
      <c r="E848" s="12"/>
      <c r="F848" s="12"/>
      <c r="G848" s="9" t="str">
        <f>IF(AND(E848="",F848=""),"",IF(OR(E848&gt;1,F848&gt;1),(F848-E848)/100,F848-E848))</f>
        <v/>
      </c>
      <c r="H848" s="12" t="str">
        <f>IF(G848="","",64*G848)</f>
        <v/>
      </c>
      <c r="I848" s="13"/>
      <c r="J848" s="13" t="str">
        <f>IFERROR(IF(OR(D848="",D848=0),"",I848/D848*100),"")</f>
        <v/>
      </c>
      <c r="K848" s="14"/>
      <c r="L848" s="13" t="str">
        <f>IF(I848="","",I848*K848)</f>
        <v/>
      </c>
      <c r="M848" s="13" t="str">
        <f>IF(B848="","",IFERROR(SUMPRODUCT(ISNUMBER(B$3:B848)*(MONTH(IF(ISNUMBER(B$3:B848),B$3:B848,1))=MONTH(B848))*(YEAR(IF(ISNUMBER(B$3:B848),B$3:B848,1))=YEAR(B848))*IF(ISNUMBER(L$3:L848),L$3:L848,0)),""))</f>
        <v/>
      </c>
      <c r="N848" s="6"/>
      <c r="O848" s="7" t="str">
        <f>IF(AND(B848="",ISNUMBER(B849)),CHOOSE(MONTH(B849),"GENNAIO","FEBBRAIO","MARZO","APRILE","MAGGIO","GIUGNO","LUGLIO","AGOSTO","SETTEMBRE","OTTOBRE","NOVEMBRE","DICEMBRE")&amp;" "&amp;YEAR(B849),"")</f>
        <v/>
      </c>
      <c r="P848" s="12" t="str">
        <f>IF(K848=0.2,"CASA","")</f>
        <v/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" customHeight="1" x14ac:dyDescent="0.2">
      <c r="A849" s="5" t="str">
        <f>IF(AND(B849="",ISNUMBER(B850)),CHOOSE(MONTH(B850),"GENNAIO","FEBBRAIO","MARZO","APRILE","MAGGIO","GIUGNO","LUGLIO","AGOSTO","SETTEMBRE","OTTOBRE","NOVEMBRE","DICEMBRE")&amp;" "&amp;YEAR(B850),"")</f>
        <v/>
      </c>
      <c r="B849" s="11"/>
      <c r="C849" s="12"/>
      <c r="D849" s="12" t="str">
        <f>IF(C849="","",C849-IF(C848&lt;&gt;"",C848,IF(C847&lt;&gt;"",C847,IF(C846&lt;&gt;"",C846,0))))</f>
        <v/>
      </c>
      <c r="E849" s="12"/>
      <c r="F849" s="12"/>
      <c r="G849" s="9" t="str">
        <f>IF(AND(E849="",F849=""),"",IF(OR(E849&gt;1,F849&gt;1),(F849-E849)/100,F849-E849))</f>
        <v/>
      </c>
      <c r="H849" s="12" t="str">
        <f>IF(G849="","",64*G849)</f>
        <v/>
      </c>
      <c r="I849" s="13"/>
      <c r="J849" s="13" t="str">
        <f>IFERROR(IF(OR(D849="",D849=0),"",I849/D849*100),"")</f>
        <v/>
      </c>
      <c r="K849" s="14"/>
      <c r="L849" s="13" t="str">
        <f>IF(I849="","",I849*K849)</f>
        <v/>
      </c>
      <c r="M849" s="13" t="str">
        <f>IF(B849="","",IFERROR(SUMPRODUCT(ISNUMBER(B$3:B849)*(MONTH(IF(ISNUMBER(B$3:B849),B$3:B849,1))=MONTH(B849))*(YEAR(IF(ISNUMBER(B$3:B849),B$3:B849,1))=YEAR(B849))*IF(ISNUMBER(L$3:L849),L$3:L849,0)),""))</f>
        <v/>
      </c>
      <c r="N849" s="6"/>
      <c r="O849" s="7" t="str">
        <f>IF(AND(B849="",ISNUMBER(B850)),CHOOSE(MONTH(B850),"GENNAIO","FEBBRAIO","MARZO","APRILE","MAGGIO","GIUGNO","LUGLIO","AGOSTO","SETTEMBRE","OTTOBRE","NOVEMBRE","DICEMBRE")&amp;" "&amp;YEAR(B850),"")</f>
        <v/>
      </c>
      <c r="P849" s="12" t="str">
        <f>IF(K849=0.2,"CASA","")</f>
        <v/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" customHeight="1" x14ac:dyDescent="0.2">
      <c r="A850" s="5" t="str">
        <f>IF(AND(B850="",ISNUMBER(B851)),CHOOSE(MONTH(B851),"GENNAIO","FEBBRAIO","MARZO","APRILE","MAGGIO","GIUGNO","LUGLIO","AGOSTO","SETTEMBRE","OTTOBRE","NOVEMBRE","DICEMBRE")&amp;" "&amp;YEAR(B851),"")</f>
        <v/>
      </c>
      <c r="B850" s="11"/>
      <c r="C850" s="12"/>
      <c r="D850" s="12" t="str">
        <f>IF(C850="","",C850-IF(C849&lt;&gt;"",C849,IF(C848&lt;&gt;"",C848,IF(C847&lt;&gt;"",C847,0))))</f>
        <v/>
      </c>
      <c r="E850" s="12"/>
      <c r="F850" s="12"/>
      <c r="G850" s="9" t="str">
        <f>IF(AND(E850="",F850=""),"",IF(OR(E850&gt;1,F850&gt;1),(F850-E850)/100,F850-E850))</f>
        <v/>
      </c>
      <c r="H850" s="12" t="str">
        <f>IF(G850="","",64*G850)</f>
        <v/>
      </c>
      <c r="I850" s="13"/>
      <c r="J850" s="13" t="str">
        <f>IFERROR(IF(OR(D850="",D850=0),"",I850/D850*100),"")</f>
        <v/>
      </c>
      <c r="K850" s="14"/>
      <c r="L850" s="13" t="str">
        <f>IF(I850="","",I850*K850)</f>
        <v/>
      </c>
      <c r="M850" s="13" t="str">
        <f>IF(B850="","",IFERROR(SUMPRODUCT(ISNUMBER(B$3:B850)*(MONTH(IF(ISNUMBER(B$3:B850),B$3:B850,1))=MONTH(B850))*(YEAR(IF(ISNUMBER(B$3:B850),B$3:B850,1))=YEAR(B850))*IF(ISNUMBER(L$3:L850),L$3:L850,0)),""))</f>
        <v/>
      </c>
      <c r="N850" s="6"/>
      <c r="O850" s="7" t="str">
        <f>IF(AND(B850="",ISNUMBER(B851)),CHOOSE(MONTH(B851),"GENNAIO","FEBBRAIO","MARZO","APRILE","MAGGIO","GIUGNO","LUGLIO","AGOSTO","SETTEMBRE","OTTOBRE","NOVEMBRE","DICEMBRE")&amp;" "&amp;YEAR(B851),"")</f>
        <v/>
      </c>
      <c r="P850" s="12" t="str">
        <f>IF(K850=0.2,"CASA","")</f>
        <v/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" customHeight="1" x14ac:dyDescent="0.2">
      <c r="A851" s="5" t="str">
        <f>IF(AND(B851="",ISNUMBER(B852)),CHOOSE(MONTH(B852),"GENNAIO","FEBBRAIO","MARZO","APRILE","MAGGIO","GIUGNO","LUGLIO","AGOSTO","SETTEMBRE","OTTOBRE","NOVEMBRE","DICEMBRE")&amp;" "&amp;YEAR(B852),"")</f>
        <v/>
      </c>
      <c r="B851" s="11"/>
      <c r="C851" s="12"/>
      <c r="D851" s="12" t="str">
        <f>IF(C851="","",C851-IF(C850&lt;&gt;"",C850,IF(C849&lt;&gt;"",C849,IF(C848&lt;&gt;"",C848,0))))</f>
        <v/>
      </c>
      <c r="E851" s="12"/>
      <c r="F851" s="12"/>
      <c r="G851" s="9" t="str">
        <f>IF(AND(E851="",F851=""),"",IF(OR(E851&gt;1,F851&gt;1),(F851-E851)/100,F851-E851))</f>
        <v/>
      </c>
      <c r="H851" s="12" t="str">
        <f>IF(G851="","",64*G851)</f>
        <v/>
      </c>
      <c r="I851" s="13"/>
      <c r="J851" s="13" t="str">
        <f>IFERROR(IF(OR(D851="",D851=0),"",I851/D851*100),"")</f>
        <v/>
      </c>
      <c r="K851" s="14"/>
      <c r="L851" s="13" t="str">
        <f>IF(I851="","",I851*K851)</f>
        <v/>
      </c>
      <c r="M851" s="13" t="str">
        <f>IF(B851="","",IFERROR(SUMPRODUCT(ISNUMBER(B$3:B851)*(MONTH(IF(ISNUMBER(B$3:B851),B$3:B851,1))=MONTH(B851))*(YEAR(IF(ISNUMBER(B$3:B851),B$3:B851,1))=YEAR(B851))*IF(ISNUMBER(L$3:L851),L$3:L851,0)),""))</f>
        <v/>
      </c>
      <c r="N851" s="6"/>
      <c r="O851" s="7" t="str">
        <f>IF(AND(B851="",ISNUMBER(B852)),CHOOSE(MONTH(B852),"GENNAIO","FEBBRAIO","MARZO","APRILE","MAGGIO","GIUGNO","LUGLIO","AGOSTO","SETTEMBRE","OTTOBRE","NOVEMBRE","DICEMBRE")&amp;" "&amp;YEAR(B852),"")</f>
        <v/>
      </c>
      <c r="P851" s="12" t="str">
        <f>IF(K851=0.2,"CASA","")</f>
        <v/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" customHeight="1" x14ac:dyDescent="0.2">
      <c r="A852" s="5" t="str">
        <f>IF(AND(B852="",ISNUMBER(B853)),CHOOSE(MONTH(B853),"GENNAIO","FEBBRAIO","MARZO","APRILE","MAGGIO","GIUGNO","LUGLIO","AGOSTO","SETTEMBRE","OTTOBRE","NOVEMBRE","DICEMBRE")&amp;" "&amp;YEAR(B853),"")</f>
        <v/>
      </c>
      <c r="B852" s="11"/>
      <c r="C852" s="12"/>
      <c r="D852" s="12" t="str">
        <f>IF(C852="","",C852-IF(C851&lt;&gt;"",C851,IF(C850&lt;&gt;"",C850,IF(C849&lt;&gt;"",C849,0))))</f>
        <v/>
      </c>
      <c r="E852" s="12"/>
      <c r="F852" s="12"/>
      <c r="G852" s="9" t="str">
        <f>IF(AND(E852="",F852=""),"",IF(OR(E852&gt;1,F852&gt;1),(F852-E852)/100,F852-E852))</f>
        <v/>
      </c>
      <c r="H852" s="12" t="str">
        <f>IF(G852="","",64*G852)</f>
        <v/>
      </c>
      <c r="I852" s="13"/>
      <c r="J852" s="13" t="str">
        <f>IFERROR(IF(OR(D852="",D852=0),"",I852/D852*100),"")</f>
        <v/>
      </c>
      <c r="K852" s="14"/>
      <c r="L852" s="13" t="str">
        <f>IF(I852="","",I852*K852)</f>
        <v/>
      </c>
      <c r="M852" s="13" t="str">
        <f>IF(B852="","",IFERROR(SUMPRODUCT(ISNUMBER(B$3:B852)*(MONTH(IF(ISNUMBER(B$3:B852),B$3:B852,1))=MONTH(B852))*(YEAR(IF(ISNUMBER(B$3:B852),B$3:B852,1))=YEAR(B852))*IF(ISNUMBER(L$3:L852),L$3:L852,0)),""))</f>
        <v/>
      </c>
      <c r="N852" s="6"/>
      <c r="O852" s="7" t="str">
        <f>IF(AND(B852="",ISNUMBER(B853)),CHOOSE(MONTH(B853),"GENNAIO","FEBBRAIO","MARZO","APRILE","MAGGIO","GIUGNO","LUGLIO","AGOSTO","SETTEMBRE","OTTOBRE","NOVEMBRE","DICEMBRE")&amp;" "&amp;YEAR(B853),"")</f>
        <v/>
      </c>
      <c r="P852" s="12" t="str">
        <f>IF(K852=0.2,"CASA","")</f>
        <v/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" customHeight="1" x14ac:dyDescent="0.2">
      <c r="A853" s="5" t="str">
        <f>IF(AND(B853="",ISNUMBER(B854)),CHOOSE(MONTH(B854),"GENNAIO","FEBBRAIO","MARZO","APRILE","MAGGIO","GIUGNO","LUGLIO","AGOSTO","SETTEMBRE","OTTOBRE","NOVEMBRE","DICEMBRE")&amp;" "&amp;YEAR(B854),"")</f>
        <v/>
      </c>
      <c r="B853" s="11"/>
      <c r="C853" s="12"/>
      <c r="D853" s="12" t="str">
        <f>IF(C853="","",C853-IF(C852&lt;&gt;"",C852,IF(C851&lt;&gt;"",C851,IF(C850&lt;&gt;"",C850,0))))</f>
        <v/>
      </c>
      <c r="E853" s="12"/>
      <c r="F853" s="12"/>
      <c r="G853" s="9" t="str">
        <f>IF(AND(E853="",F853=""),"",IF(OR(E853&gt;1,F853&gt;1),(F853-E853)/100,F853-E853))</f>
        <v/>
      </c>
      <c r="H853" s="12" t="str">
        <f>IF(G853="","",64*G853)</f>
        <v/>
      </c>
      <c r="I853" s="13"/>
      <c r="J853" s="13" t="str">
        <f>IFERROR(IF(OR(D853="",D853=0),"",I853/D853*100),"")</f>
        <v/>
      </c>
      <c r="K853" s="14"/>
      <c r="L853" s="13" t="str">
        <f>IF(I853="","",I853*K853)</f>
        <v/>
      </c>
      <c r="M853" s="13" t="str">
        <f>IF(B853="","",IFERROR(SUMPRODUCT(ISNUMBER(B$3:B853)*(MONTH(IF(ISNUMBER(B$3:B853),B$3:B853,1))=MONTH(B853))*(YEAR(IF(ISNUMBER(B$3:B853),B$3:B853,1))=YEAR(B853))*IF(ISNUMBER(L$3:L853),L$3:L853,0)),""))</f>
        <v/>
      </c>
      <c r="N853" s="6"/>
      <c r="O853" s="7" t="str">
        <f>IF(AND(B853="",ISNUMBER(B854)),CHOOSE(MONTH(B854),"GENNAIO","FEBBRAIO","MARZO","APRILE","MAGGIO","GIUGNO","LUGLIO","AGOSTO","SETTEMBRE","OTTOBRE","NOVEMBRE","DICEMBRE")&amp;" "&amp;YEAR(B854),"")</f>
        <v/>
      </c>
      <c r="P853" s="12" t="str">
        <f>IF(K853=0.2,"CASA","")</f>
        <v/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" customHeight="1" x14ac:dyDescent="0.2">
      <c r="A854" s="5" t="str">
        <f>IF(AND(B854="",ISNUMBER(B855)),CHOOSE(MONTH(B855),"GENNAIO","FEBBRAIO","MARZO","APRILE","MAGGIO","GIUGNO","LUGLIO","AGOSTO","SETTEMBRE","OTTOBRE","NOVEMBRE","DICEMBRE")&amp;" "&amp;YEAR(B855),"")</f>
        <v/>
      </c>
      <c r="B854" s="11"/>
      <c r="C854" s="12"/>
      <c r="D854" s="12" t="str">
        <f>IF(C854="","",C854-IF(C853&lt;&gt;"",C853,IF(C852&lt;&gt;"",C852,IF(C851&lt;&gt;"",C851,0))))</f>
        <v/>
      </c>
      <c r="E854" s="12"/>
      <c r="F854" s="12"/>
      <c r="G854" s="9" t="str">
        <f>IF(AND(E854="",F854=""),"",IF(OR(E854&gt;1,F854&gt;1),(F854-E854)/100,F854-E854))</f>
        <v/>
      </c>
      <c r="H854" s="12" t="str">
        <f>IF(G854="","",64*G854)</f>
        <v/>
      </c>
      <c r="I854" s="13"/>
      <c r="J854" s="13" t="str">
        <f>IFERROR(IF(OR(D854="",D854=0),"",I854/D854*100),"")</f>
        <v/>
      </c>
      <c r="K854" s="14"/>
      <c r="L854" s="13" t="str">
        <f>IF(I854="","",I854*K854)</f>
        <v/>
      </c>
      <c r="M854" s="13" t="str">
        <f>IF(B854="","",IFERROR(SUMPRODUCT(ISNUMBER(B$3:B854)*(MONTH(IF(ISNUMBER(B$3:B854),B$3:B854,1))=MONTH(B854))*(YEAR(IF(ISNUMBER(B$3:B854),B$3:B854,1))=YEAR(B854))*IF(ISNUMBER(L$3:L854),L$3:L854,0)),""))</f>
        <v/>
      </c>
      <c r="N854" s="6"/>
      <c r="O854" s="7" t="str">
        <f>IF(AND(B854="",ISNUMBER(B855)),CHOOSE(MONTH(B855),"GENNAIO","FEBBRAIO","MARZO","APRILE","MAGGIO","GIUGNO","LUGLIO","AGOSTO","SETTEMBRE","OTTOBRE","NOVEMBRE","DICEMBRE")&amp;" "&amp;YEAR(B855),"")</f>
        <v/>
      </c>
      <c r="P854" s="12" t="str">
        <f>IF(K854=0.2,"CASA","")</f>
        <v/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" customHeight="1" x14ac:dyDescent="0.2">
      <c r="A855" s="5" t="str">
        <f>IF(AND(B855="",ISNUMBER(B856)),CHOOSE(MONTH(B856),"GENNAIO","FEBBRAIO","MARZO","APRILE","MAGGIO","GIUGNO","LUGLIO","AGOSTO","SETTEMBRE","OTTOBRE","NOVEMBRE","DICEMBRE")&amp;" "&amp;YEAR(B856),"")</f>
        <v/>
      </c>
      <c r="B855" s="11"/>
      <c r="C855" s="12"/>
      <c r="D855" s="12" t="str">
        <f>IF(C855="","",C855-IF(C854&lt;&gt;"",C854,IF(C853&lt;&gt;"",C853,IF(C852&lt;&gt;"",C852,0))))</f>
        <v/>
      </c>
      <c r="E855" s="12"/>
      <c r="F855" s="12"/>
      <c r="G855" s="9" t="str">
        <f>IF(AND(E855="",F855=""),"",IF(OR(E855&gt;1,F855&gt;1),(F855-E855)/100,F855-E855))</f>
        <v/>
      </c>
      <c r="H855" s="12" t="str">
        <f>IF(G855="","",64*G855)</f>
        <v/>
      </c>
      <c r="I855" s="13"/>
      <c r="J855" s="13" t="str">
        <f>IFERROR(IF(OR(D855="",D855=0),"",I855/D855*100),"")</f>
        <v/>
      </c>
      <c r="K855" s="14"/>
      <c r="L855" s="13" t="str">
        <f>IF(I855="","",I855*K855)</f>
        <v/>
      </c>
      <c r="M855" s="13" t="str">
        <f>IF(B855="","",IFERROR(SUMPRODUCT(ISNUMBER(B$3:B855)*(MONTH(IF(ISNUMBER(B$3:B855),B$3:B855,1))=MONTH(B855))*(YEAR(IF(ISNUMBER(B$3:B855),B$3:B855,1))=YEAR(B855))*IF(ISNUMBER(L$3:L855),L$3:L855,0)),""))</f>
        <v/>
      </c>
      <c r="N855" s="6"/>
      <c r="O855" s="7" t="str">
        <f>IF(AND(B855="",ISNUMBER(B856)),CHOOSE(MONTH(B856),"GENNAIO","FEBBRAIO","MARZO","APRILE","MAGGIO","GIUGNO","LUGLIO","AGOSTO","SETTEMBRE","OTTOBRE","NOVEMBRE","DICEMBRE")&amp;" "&amp;YEAR(B856),"")</f>
        <v/>
      </c>
      <c r="P855" s="12" t="str">
        <f>IF(K855=0.2,"CASA","")</f>
        <v/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" customHeight="1" x14ac:dyDescent="0.2">
      <c r="A856" s="5" t="str">
        <f>IF(AND(B856="",ISNUMBER(B857)),CHOOSE(MONTH(B857),"GENNAIO","FEBBRAIO","MARZO","APRILE","MAGGIO","GIUGNO","LUGLIO","AGOSTO","SETTEMBRE","OTTOBRE","NOVEMBRE","DICEMBRE")&amp;" "&amp;YEAR(B857),"")</f>
        <v/>
      </c>
      <c r="B856" s="11"/>
      <c r="C856" s="12"/>
      <c r="D856" s="12" t="str">
        <f>IF(C856="","",C856-IF(C855&lt;&gt;"",C855,IF(C854&lt;&gt;"",C854,IF(C853&lt;&gt;"",C853,0))))</f>
        <v/>
      </c>
      <c r="E856" s="12"/>
      <c r="F856" s="12"/>
      <c r="G856" s="9" t="str">
        <f>IF(AND(E856="",F856=""),"",IF(OR(E856&gt;1,F856&gt;1),(F856-E856)/100,F856-E856))</f>
        <v/>
      </c>
      <c r="H856" s="12" t="str">
        <f>IF(G856="","",64*G856)</f>
        <v/>
      </c>
      <c r="I856" s="13"/>
      <c r="J856" s="13" t="str">
        <f>IFERROR(IF(OR(D856="",D856=0),"",I856/D856*100),"")</f>
        <v/>
      </c>
      <c r="K856" s="14"/>
      <c r="L856" s="13" t="str">
        <f>IF(I856="","",I856*K856)</f>
        <v/>
      </c>
      <c r="M856" s="13" t="str">
        <f>IF(B856="","",IFERROR(SUMPRODUCT(ISNUMBER(B$3:B856)*(MONTH(IF(ISNUMBER(B$3:B856),B$3:B856,1))=MONTH(B856))*(YEAR(IF(ISNUMBER(B$3:B856),B$3:B856,1))=YEAR(B856))*IF(ISNUMBER(L$3:L856),L$3:L856,0)),""))</f>
        <v/>
      </c>
      <c r="N856" s="6"/>
      <c r="O856" s="7" t="str">
        <f>IF(AND(B856="",ISNUMBER(B857)),CHOOSE(MONTH(B857),"GENNAIO","FEBBRAIO","MARZO","APRILE","MAGGIO","GIUGNO","LUGLIO","AGOSTO","SETTEMBRE","OTTOBRE","NOVEMBRE","DICEMBRE")&amp;" "&amp;YEAR(B857),"")</f>
        <v/>
      </c>
      <c r="P856" s="12" t="str">
        <f>IF(K856=0.2,"CASA","")</f>
        <v/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" customHeight="1" x14ac:dyDescent="0.2">
      <c r="A857" s="5" t="str">
        <f>IF(AND(B857="",ISNUMBER(B858)),CHOOSE(MONTH(B858),"GENNAIO","FEBBRAIO","MARZO","APRILE","MAGGIO","GIUGNO","LUGLIO","AGOSTO","SETTEMBRE","OTTOBRE","NOVEMBRE","DICEMBRE")&amp;" "&amp;YEAR(B858),"")</f>
        <v/>
      </c>
      <c r="B857" s="11"/>
      <c r="C857" s="12"/>
      <c r="D857" s="12" t="str">
        <f>IF(C857="","",C857-IF(C856&lt;&gt;"",C856,IF(C855&lt;&gt;"",C855,IF(C854&lt;&gt;"",C854,0))))</f>
        <v/>
      </c>
      <c r="E857" s="12"/>
      <c r="F857" s="12"/>
      <c r="G857" s="9" t="str">
        <f>IF(AND(E857="",F857=""),"",IF(OR(E857&gt;1,F857&gt;1),(F857-E857)/100,F857-E857))</f>
        <v/>
      </c>
      <c r="H857" s="12" t="str">
        <f>IF(G857="","",64*G857)</f>
        <v/>
      </c>
      <c r="I857" s="13"/>
      <c r="J857" s="13" t="str">
        <f>IFERROR(IF(OR(D857="",D857=0),"",I857/D857*100),"")</f>
        <v/>
      </c>
      <c r="K857" s="14"/>
      <c r="L857" s="13" t="str">
        <f>IF(I857="","",I857*K857)</f>
        <v/>
      </c>
      <c r="M857" s="13" t="str">
        <f>IF(B857="","",IFERROR(SUMPRODUCT(ISNUMBER(B$3:B857)*(MONTH(IF(ISNUMBER(B$3:B857),B$3:B857,1))=MONTH(B857))*(YEAR(IF(ISNUMBER(B$3:B857),B$3:B857,1))=YEAR(B857))*IF(ISNUMBER(L$3:L857),L$3:L857,0)),""))</f>
        <v/>
      </c>
      <c r="N857" s="6"/>
      <c r="O857" s="7" t="str">
        <f>IF(AND(B857="",ISNUMBER(B858)),CHOOSE(MONTH(B858),"GENNAIO","FEBBRAIO","MARZO","APRILE","MAGGIO","GIUGNO","LUGLIO","AGOSTO","SETTEMBRE","OTTOBRE","NOVEMBRE","DICEMBRE")&amp;" "&amp;YEAR(B858),"")</f>
        <v/>
      </c>
      <c r="P857" s="12" t="str">
        <f>IF(K857=0.2,"CASA","")</f>
        <v/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" customHeight="1" x14ac:dyDescent="0.2">
      <c r="A858" s="5" t="str">
        <f>IF(AND(B858="",ISNUMBER(B859)),CHOOSE(MONTH(B859),"GENNAIO","FEBBRAIO","MARZO","APRILE","MAGGIO","GIUGNO","LUGLIO","AGOSTO","SETTEMBRE","OTTOBRE","NOVEMBRE","DICEMBRE")&amp;" "&amp;YEAR(B859),"")</f>
        <v/>
      </c>
      <c r="B858" s="11"/>
      <c r="C858" s="12"/>
      <c r="D858" s="12" t="str">
        <f>IF(C858="","",C858-IF(C857&lt;&gt;"",C857,IF(C856&lt;&gt;"",C856,IF(C855&lt;&gt;"",C855,0))))</f>
        <v/>
      </c>
      <c r="E858" s="12"/>
      <c r="F858" s="12"/>
      <c r="G858" s="9" t="str">
        <f>IF(AND(E858="",F858=""),"",IF(OR(E858&gt;1,F858&gt;1),(F858-E858)/100,F858-E858))</f>
        <v/>
      </c>
      <c r="H858" s="12" t="str">
        <f>IF(G858="","",64*G858)</f>
        <v/>
      </c>
      <c r="I858" s="13"/>
      <c r="J858" s="13" t="str">
        <f>IFERROR(IF(OR(D858="",D858=0),"",I858/D858*100),"")</f>
        <v/>
      </c>
      <c r="K858" s="14"/>
      <c r="L858" s="13" t="str">
        <f>IF(I858="","",I858*K858)</f>
        <v/>
      </c>
      <c r="M858" s="13" t="str">
        <f>IF(B858="","",IFERROR(SUMPRODUCT(ISNUMBER(B$3:B858)*(MONTH(IF(ISNUMBER(B$3:B858),B$3:B858,1))=MONTH(B858))*(YEAR(IF(ISNUMBER(B$3:B858),B$3:B858,1))=YEAR(B858))*IF(ISNUMBER(L$3:L858),L$3:L858,0)),""))</f>
        <v/>
      </c>
      <c r="N858" s="6"/>
      <c r="O858" s="7" t="str">
        <f>IF(AND(B858="",ISNUMBER(B859)),CHOOSE(MONTH(B859),"GENNAIO","FEBBRAIO","MARZO","APRILE","MAGGIO","GIUGNO","LUGLIO","AGOSTO","SETTEMBRE","OTTOBRE","NOVEMBRE","DICEMBRE")&amp;" "&amp;YEAR(B859),"")</f>
        <v/>
      </c>
      <c r="P858" s="12" t="str">
        <f>IF(K858=0.2,"CASA","")</f>
        <v/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" customHeight="1" x14ac:dyDescent="0.2">
      <c r="A859" s="5" t="str">
        <f>IF(AND(B859="",ISNUMBER(B860)),CHOOSE(MONTH(B860),"GENNAIO","FEBBRAIO","MARZO","APRILE","MAGGIO","GIUGNO","LUGLIO","AGOSTO","SETTEMBRE","OTTOBRE","NOVEMBRE","DICEMBRE")&amp;" "&amp;YEAR(B860),"")</f>
        <v/>
      </c>
      <c r="B859" s="11"/>
      <c r="C859" s="12"/>
      <c r="D859" s="12" t="str">
        <f>IF(C859="","",C859-IF(C858&lt;&gt;"",C858,IF(C857&lt;&gt;"",C857,IF(C856&lt;&gt;"",C856,0))))</f>
        <v/>
      </c>
      <c r="E859" s="12"/>
      <c r="F859" s="12"/>
      <c r="G859" s="9" t="str">
        <f>IF(AND(E859="",F859=""),"",IF(OR(E859&gt;1,F859&gt;1),(F859-E859)/100,F859-E859))</f>
        <v/>
      </c>
      <c r="H859" s="12" t="str">
        <f>IF(G859="","",64*G859)</f>
        <v/>
      </c>
      <c r="I859" s="13"/>
      <c r="J859" s="13" t="str">
        <f>IFERROR(IF(OR(D859="",D859=0),"",I859/D859*100),"")</f>
        <v/>
      </c>
      <c r="K859" s="14"/>
      <c r="L859" s="13" t="str">
        <f>IF(I859="","",I859*K859)</f>
        <v/>
      </c>
      <c r="M859" s="13" t="str">
        <f>IF(B859="","",IFERROR(SUMPRODUCT(ISNUMBER(B$3:B859)*(MONTH(IF(ISNUMBER(B$3:B859),B$3:B859,1))=MONTH(B859))*(YEAR(IF(ISNUMBER(B$3:B859),B$3:B859,1))=YEAR(B859))*IF(ISNUMBER(L$3:L859),L$3:L859,0)),""))</f>
        <v/>
      </c>
      <c r="N859" s="6"/>
      <c r="O859" s="7" t="str">
        <f>IF(AND(B859="",ISNUMBER(B860)),CHOOSE(MONTH(B860),"GENNAIO","FEBBRAIO","MARZO","APRILE","MAGGIO","GIUGNO","LUGLIO","AGOSTO","SETTEMBRE","OTTOBRE","NOVEMBRE","DICEMBRE")&amp;" "&amp;YEAR(B860),"")</f>
        <v/>
      </c>
      <c r="P859" s="12" t="str">
        <f>IF(K859=0.2,"CASA","")</f>
        <v/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" customHeight="1" x14ac:dyDescent="0.2">
      <c r="A860" s="5" t="str">
        <f>IF(AND(B860="",ISNUMBER(B861)),CHOOSE(MONTH(B861),"GENNAIO","FEBBRAIO","MARZO","APRILE","MAGGIO","GIUGNO","LUGLIO","AGOSTO","SETTEMBRE","OTTOBRE","NOVEMBRE","DICEMBRE")&amp;" "&amp;YEAR(B861),"")</f>
        <v/>
      </c>
      <c r="B860" s="11"/>
      <c r="C860" s="12"/>
      <c r="D860" s="12" t="str">
        <f>IF(C860="","",C860-IF(C859&lt;&gt;"",C859,IF(C858&lt;&gt;"",C858,IF(C857&lt;&gt;"",C857,0))))</f>
        <v/>
      </c>
      <c r="E860" s="12"/>
      <c r="F860" s="12"/>
      <c r="G860" s="9" t="str">
        <f>IF(AND(E860="",F860=""),"",IF(OR(E860&gt;1,F860&gt;1),(F860-E860)/100,F860-E860))</f>
        <v/>
      </c>
      <c r="H860" s="12" t="str">
        <f>IF(G860="","",64*G860)</f>
        <v/>
      </c>
      <c r="I860" s="13"/>
      <c r="J860" s="13" t="str">
        <f>IFERROR(IF(OR(D860="",D860=0),"",I860/D860*100),"")</f>
        <v/>
      </c>
      <c r="K860" s="14"/>
      <c r="L860" s="13" t="str">
        <f>IF(I860="","",I860*K860)</f>
        <v/>
      </c>
      <c r="M860" s="13" t="str">
        <f>IF(B860="","",IFERROR(SUMPRODUCT(ISNUMBER(B$3:B860)*(MONTH(IF(ISNUMBER(B$3:B860),B$3:B860,1))=MONTH(B860))*(YEAR(IF(ISNUMBER(B$3:B860),B$3:B860,1))=YEAR(B860))*IF(ISNUMBER(L$3:L860),L$3:L860,0)),""))</f>
        <v/>
      </c>
      <c r="N860" s="6"/>
      <c r="O860" s="7" t="str">
        <f>IF(AND(B860="",ISNUMBER(B861)),CHOOSE(MONTH(B861),"GENNAIO","FEBBRAIO","MARZO","APRILE","MAGGIO","GIUGNO","LUGLIO","AGOSTO","SETTEMBRE","OTTOBRE","NOVEMBRE","DICEMBRE")&amp;" "&amp;YEAR(B861),"")</f>
        <v/>
      </c>
      <c r="P860" s="12" t="str">
        <f>IF(K860=0.2,"CASA","")</f>
        <v/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" customHeight="1" x14ac:dyDescent="0.2">
      <c r="A861" s="5" t="str">
        <f>IF(AND(B861="",ISNUMBER(B862)),CHOOSE(MONTH(B862),"GENNAIO","FEBBRAIO","MARZO","APRILE","MAGGIO","GIUGNO","LUGLIO","AGOSTO","SETTEMBRE","OTTOBRE","NOVEMBRE","DICEMBRE")&amp;" "&amp;YEAR(B862),"")</f>
        <v/>
      </c>
      <c r="B861" s="11"/>
      <c r="C861" s="12"/>
      <c r="D861" s="12" t="str">
        <f>IF(C861="","",C861-IF(C860&lt;&gt;"",C860,IF(C859&lt;&gt;"",C859,IF(C858&lt;&gt;"",C858,0))))</f>
        <v/>
      </c>
      <c r="E861" s="12"/>
      <c r="F861" s="12"/>
      <c r="G861" s="9" t="str">
        <f>IF(AND(E861="",F861=""),"",IF(OR(E861&gt;1,F861&gt;1),(F861-E861)/100,F861-E861))</f>
        <v/>
      </c>
      <c r="H861" s="12" t="str">
        <f>IF(G861="","",64*G861)</f>
        <v/>
      </c>
      <c r="I861" s="13"/>
      <c r="J861" s="13" t="str">
        <f>IFERROR(IF(OR(D861="",D861=0),"",I861/D861*100),"")</f>
        <v/>
      </c>
      <c r="K861" s="14"/>
      <c r="L861" s="13" t="str">
        <f>IF(I861="","",I861*K861)</f>
        <v/>
      </c>
      <c r="M861" s="13" t="str">
        <f>IF(B861="","",IFERROR(SUMPRODUCT(ISNUMBER(B$3:B861)*(MONTH(IF(ISNUMBER(B$3:B861),B$3:B861,1))=MONTH(B861))*(YEAR(IF(ISNUMBER(B$3:B861),B$3:B861,1))=YEAR(B861))*IF(ISNUMBER(L$3:L861),L$3:L861,0)),""))</f>
        <v/>
      </c>
      <c r="N861" s="6"/>
      <c r="O861" s="7" t="str">
        <f>IF(AND(B861="",ISNUMBER(B862)),CHOOSE(MONTH(B862),"GENNAIO","FEBBRAIO","MARZO","APRILE","MAGGIO","GIUGNO","LUGLIO","AGOSTO","SETTEMBRE","OTTOBRE","NOVEMBRE","DICEMBRE")&amp;" "&amp;YEAR(B862),"")</f>
        <v/>
      </c>
      <c r="P861" s="12" t="str">
        <f>IF(K861=0.2,"CASA","")</f>
        <v/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" customHeight="1" x14ac:dyDescent="0.2">
      <c r="A862" s="5" t="str">
        <f>IF(AND(B862="",ISNUMBER(B863)),CHOOSE(MONTH(B863),"GENNAIO","FEBBRAIO","MARZO","APRILE","MAGGIO","GIUGNO","LUGLIO","AGOSTO","SETTEMBRE","OTTOBRE","NOVEMBRE","DICEMBRE")&amp;" "&amp;YEAR(B863),"")</f>
        <v/>
      </c>
      <c r="B862" s="11"/>
      <c r="C862" s="12"/>
      <c r="D862" s="12" t="str">
        <f>IF(C862="","",C862-IF(C861&lt;&gt;"",C861,IF(C860&lt;&gt;"",C860,IF(C859&lt;&gt;"",C859,0))))</f>
        <v/>
      </c>
      <c r="E862" s="12"/>
      <c r="F862" s="12"/>
      <c r="G862" s="9" t="str">
        <f>IF(AND(E862="",F862=""),"",IF(OR(E862&gt;1,F862&gt;1),(F862-E862)/100,F862-E862))</f>
        <v/>
      </c>
      <c r="H862" s="12" t="str">
        <f>IF(G862="","",64*G862)</f>
        <v/>
      </c>
      <c r="I862" s="13"/>
      <c r="J862" s="13" t="str">
        <f>IFERROR(IF(OR(D862="",D862=0),"",I862/D862*100),"")</f>
        <v/>
      </c>
      <c r="K862" s="14"/>
      <c r="L862" s="13" t="str">
        <f>IF(I862="","",I862*K862)</f>
        <v/>
      </c>
      <c r="M862" s="13" t="str">
        <f>IF(B862="","",IFERROR(SUMPRODUCT(ISNUMBER(B$3:B862)*(MONTH(IF(ISNUMBER(B$3:B862),B$3:B862,1))=MONTH(B862))*(YEAR(IF(ISNUMBER(B$3:B862),B$3:B862,1))=YEAR(B862))*IF(ISNUMBER(L$3:L862),L$3:L862,0)),""))</f>
        <v/>
      </c>
      <c r="N862" s="6"/>
      <c r="O862" s="7" t="str">
        <f>IF(AND(B862="",ISNUMBER(B863)),CHOOSE(MONTH(B863),"GENNAIO","FEBBRAIO","MARZO","APRILE","MAGGIO","GIUGNO","LUGLIO","AGOSTO","SETTEMBRE","OTTOBRE","NOVEMBRE","DICEMBRE")&amp;" "&amp;YEAR(B863),"")</f>
        <v/>
      </c>
      <c r="P862" s="12" t="str">
        <f>IF(K862=0.2,"CASA","")</f>
        <v/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" customHeight="1" x14ac:dyDescent="0.2">
      <c r="A863" s="5" t="str">
        <f>IF(AND(B863="",ISNUMBER(B864)),CHOOSE(MONTH(B864),"GENNAIO","FEBBRAIO","MARZO","APRILE","MAGGIO","GIUGNO","LUGLIO","AGOSTO","SETTEMBRE","OTTOBRE","NOVEMBRE","DICEMBRE")&amp;" "&amp;YEAR(B864),"")</f>
        <v/>
      </c>
      <c r="B863" s="11"/>
      <c r="C863" s="12"/>
      <c r="D863" s="12" t="str">
        <f>IF(C863="","",C863-IF(C862&lt;&gt;"",C862,IF(C861&lt;&gt;"",C861,IF(C860&lt;&gt;"",C860,0))))</f>
        <v/>
      </c>
      <c r="E863" s="12"/>
      <c r="F863" s="12"/>
      <c r="G863" s="9" t="str">
        <f>IF(AND(E863="",F863=""),"",IF(OR(E863&gt;1,F863&gt;1),(F863-E863)/100,F863-E863))</f>
        <v/>
      </c>
      <c r="H863" s="12" t="str">
        <f>IF(G863="","",64*G863)</f>
        <v/>
      </c>
      <c r="I863" s="13"/>
      <c r="J863" s="13" t="str">
        <f>IFERROR(IF(OR(D863="",D863=0),"",I863/D863*100),"")</f>
        <v/>
      </c>
      <c r="K863" s="14"/>
      <c r="L863" s="13" t="str">
        <f>IF(I863="","",I863*K863)</f>
        <v/>
      </c>
      <c r="M863" s="13" t="str">
        <f>IF(B863="","",IFERROR(SUMPRODUCT(ISNUMBER(B$3:B863)*(MONTH(IF(ISNUMBER(B$3:B863),B$3:B863,1))=MONTH(B863))*(YEAR(IF(ISNUMBER(B$3:B863),B$3:B863,1))=YEAR(B863))*IF(ISNUMBER(L$3:L863),L$3:L863,0)),""))</f>
        <v/>
      </c>
      <c r="N863" s="6"/>
      <c r="O863" s="7" t="str">
        <f>IF(AND(B863="",ISNUMBER(B864)),CHOOSE(MONTH(B864),"GENNAIO","FEBBRAIO","MARZO","APRILE","MAGGIO","GIUGNO","LUGLIO","AGOSTO","SETTEMBRE","OTTOBRE","NOVEMBRE","DICEMBRE")&amp;" "&amp;YEAR(B864),"")</f>
        <v/>
      </c>
      <c r="P863" s="12" t="str">
        <f>IF(K863=0.2,"CASA","")</f>
        <v/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" customHeight="1" x14ac:dyDescent="0.2">
      <c r="A864" s="5" t="str">
        <f>IF(AND(B864="",ISNUMBER(B865)),CHOOSE(MONTH(B865),"GENNAIO","FEBBRAIO","MARZO","APRILE","MAGGIO","GIUGNO","LUGLIO","AGOSTO","SETTEMBRE","OTTOBRE","NOVEMBRE","DICEMBRE")&amp;" "&amp;YEAR(B865),"")</f>
        <v/>
      </c>
      <c r="B864" s="11"/>
      <c r="C864" s="12"/>
      <c r="D864" s="12" t="str">
        <f>IF(C864="","",C864-IF(C863&lt;&gt;"",C863,IF(C862&lt;&gt;"",C862,IF(C861&lt;&gt;"",C861,0))))</f>
        <v/>
      </c>
      <c r="E864" s="12"/>
      <c r="F864" s="12"/>
      <c r="G864" s="9" t="str">
        <f>IF(AND(E864="",F864=""),"",IF(OR(E864&gt;1,F864&gt;1),(F864-E864)/100,F864-E864))</f>
        <v/>
      </c>
      <c r="H864" s="12" t="str">
        <f>IF(G864="","",64*G864)</f>
        <v/>
      </c>
      <c r="I864" s="13"/>
      <c r="J864" s="13" t="str">
        <f>IFERROR(IF(OR(D864="",D864=0),"",I864/D864*100),"")</f>
        <v/>
      </c>
      <c r="K864" s="14"/>
      <c r="L864" s="13" t="str">
        <f>IF(I864="","",I864*K864)</f>
        <v/>
      </c>
      <c r="M864" s="13" t="str">
        <f>IF(B864="","",IFERROR(SUMPRODUCT(ISNUMBER(B$3:B864)*(MONTH(IF(ISNUMBER(B$3:B864),B$3:B864,1))=MONTH(B864))*(YEAR(IF(ISNUMBER(B$3:B864),B$3:B864,1))=YEAR(B864))*IF(ISNUMBER(L$3:L864),L$3:L864,0)),""))</f>
        <v/>
      </c>
      <c r="N864" s="6"/>
      <c r="O864" s="7" t="str">
        <f>IF(AND(B864="",ISNUMBER(B865)),CHOOSE(MONTH(B865),"GENNAIO","FEBBRAIO","MARZO","APRILE","MAGGIO","GIUGNO","LUGLIO","AGOSTO","SETTEMBRE","OTTOBRE","NOVEMBRE","DICEMBRE")&amp;" "&amp;YEAR(B865),"")</f>
        <v/>
      </c>
      <c r="P864" s="12" t="str">
        <f>IF(K864=0.2,"CASA","")</f>
        <v/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" customHeight="1" x14ac:dyDescent="0.2">
      <c r="A865" s="5" t="str">
        <f>IF(AND(B865="",ISNUMBER(B866)),CHOOSE(MONTH(B866),"GENNAIO","FEBBRAIO","MARZO","APRILE","MAGGIO","GIUGNO","LUGLIO","AGOSTO","SETTEMBRE","OTTOBRE","NOVEMBRE","DICEMBRE")&amp;" "&amp;YEAR(B866),"")</f>
        <v/>
      </c>
      <c r="B865" s="11"/>
      <c r="C865" s="12"/>
      <c r="D865" s="12" t="str">
        <f>IF(C865="","",C865-IF(C864&lt;&gt;"",C864,IF(C863&lt;&gt;"",C863,IF(C862&lt;&gt;"",C862,0))))</f>
        <v/>
      </c>
      <c r="E865" s="12"/>
      <c r="F865" s="12"/>
      <c r="G865" s="9" t="str">
        <f>IF(AND(E865="",F865=""),"",IF(OR(E865&gt;1,F865&gt;1),(F865-E865)/100,F865-E865))</f>
        <v/>
      </c>
      <c r="H865" s="12" t="str">
        <f>IF(G865="","",64*G865)</f>
        <v/>
      </c>
      <c r="I865" s="13"/>
      <c r="J865" s="13" t="str">
        <f>IFERROR(IF(OR(D865="",D865=0),"",I865/D865*100),"")</f>
        <v/>
      </c>
      <c r="K865" s="14"/>
      <c r="L865" s="13" t="str">
        <f>IF(I865="","",I865*K865)</f>
        <v/>
      </c>
      <c r="M865" s="13" t="str">
        <f>IF(B865="","",IFERROR(SUMPRODUCT(ISNUMBER(B$3:B865)*(MONTH(IF(ISNUMBER(B$3:B865),B$3:B865,1))=MONTH(B865))*(YEAR(IF(ISNUMBER(B$3:B865),B$3:B865,1))=YEAR(B865))*IF(ISNUMBER(L$3:L865),L$3:L865,0)),""))</f>
        <v/>
      </c>
      <c r="N865" s="6"/>
      <c r="O865" s="7" t="str">
        <f>IF(AND(B865="",ISNUMBER(B866)),CHOOSE(MONTH(B866),"GENNAIO","FEBBRAIO","MARZO","APRILE","MAGGIO","GIUGNO","LUGLIO","AGOSTO","SETTEMBRE","OTTOBRE","NOVEMBRE","DICEMBRE")&amp;" "&amp;YEAR(B866),"")</f>
        <v/>
      </c>
      <c r="P865" s="12" t="str">
        <f>IF(K865=0.2,"CASA","")</f>
        <v/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" customHeight="1" x14ac:dyDescent="0.2">
      <c r="A866" s="5" t="str">
        <f>IF(AND(B866="",ISNUMBER(B867)),CHOOSE(MONTH(B867),"GENNAIO","FEBBRAIO","MARZO","APRILE","MAGGIO","GIUGNO","LUGLIO","AGOSTO","SETTEMBRE","OTTOBRE","NOVEMBRE","DICEMBRE")&amp;" "&amp;YEAR(B867),"")</f>
        <v/>
      </c>
      <c r="B866" s="11"/>
      <c r="C866" s="12"/>
      <c r="D866" s="12" t="str">
        <f>IF(C866="","",C866-IF(C865&lt;&gt;"",C865,IF(C864&lt;&gt;"",C864,IF(C863&lt;&gt;"",C863,0))))</f>
        <v/>
      </c>
      <c r="E866" s="12"/>
      <c r="F866" s="12"/>
      <c r="G866" s="9" t="str">
        <f>IF(AND(E866="",F866=""),"",IF(OR(E866&gt;1,F866&gt;1),(F866-E866)/100,F866-E866))</f>
        <v/>
      </c>
      <c r="H866" s="12" t="str">
        <f>IF(G866="","",64*G866)</f>
        <v/>
      </c>
      <c r="I866" s="13"/>
      <c r="J866" s="13" t="str">
        <f>IFERROR(IF(OR(D866="",D866=0),"",I866/D866*100),"")</f>
        <v/>
      </c>
      <c r="K866" s="14"/>
      <c r="L866" s="13" t="str">
        <f>IF(I866="","",I866*K866)</f>
        <v/>
      </c>
      <c r="M866" s="13" t="str">
        <f>IF(B866="","",IFERROR(SUMPRODUCT(ISNUMBER(B$3:B866)*(MONTH(IF(ISNUMBER(B$3:B866),B$3:B866,1))=MONTH(B866))*(YEAR(IF(ISNUMBER(B$3:B866),B$3:B866,1))=YEAR(B866))*IF(ISNUMBER(L$3:L866),L$3:L866,0)),""))</f>
        <v/>
      </c>
      <c r="N866" s="6"/>
      <c r="O866" s="7" t="str">
        <f>IF(AND(B866="",ISNUMBER(B867)),CHOOSE(MONTH(B867),"GENNAIO","FEBBRAIO","MARZO","APRILE","MAGGIO","GIUGNO","LUGLIO","AGOSTO","SETTEMBRE","OTTOBRE","NOVEMBRE","DICEMBRE")&amp;" "&amp;YEAR(B867),"")</f>
        <v/>
      </c>
      <c r="P866" s="12" t="str">
        <f>IF(K866=0.2,"CASA","")</f>
        <v/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" customHeight="1" x14ac:dyDescent="0.2">
      <c r="A867" s="5" t="str">
        <f>IF(AND(B867="",ISNUMBER(B868)),CHOOSE(MONTH(B868),"GENNAIO","FEBBRAIO","MARZO","APRILE","MAGGIO","GIUGNO","LUGLIO","AGOSTO","SETTEMBRE","OTTOBRE","NOVEMBRE","DICEMBRE")&amp;" "&amp;YEAR(B868),"")</f>
        <v/>
      </c>
      <c r="B867" s="11"/>
      <c r="C867" s="12"/>
      <c r="D867" s="12" t="str">
        <f>IF(C867="","",C867-IF(C866&lt;&gt;"",C866,IF(C865&lt;&gt;"",C865,IF(C864&lt;&gt;"",C864,0))))</f>
        <v/>
      </c>
      <c r="E867" s="12"/>
      <c r="F867" s="12"/>
      <c r="G867" s="9" t="str">
        <f>IF(AND(E867="",F867=""),"",IF(OR(E867&gt;1,F867&gt;1),(F867-E867)/100,F867-E867))</f>
        <v/>
      </c>
      <c r="H867" s="12" t="str">
        <f>IF(G867="","",64*G867)</f>
        <v/>
      </c>
      <c r="I867" s="13"/>
      <c r="J867" s="13" t="str">
        <f>IFERROR(IF(OR(D867="",D867=0),"",I867/D867*100),"")</f>
        <v/>
      </c>
      <c r="K867" s="14"/>
      <c r="L867" s="13" t="str">
        <f>IF(I867="","",I867*K867)</f>
        <v/>
      </c>
      <c r="M867" s="13" t="str">
        <f>IF(B867="","",IFERROR(SUMPRODUCT(ISNUMBER(B$3:B867)*(MONTH(IF(ISNUMBER(B$3:B867),B$3:B867,1))=MONTH(B867))*(YEAR(IF(ISNUMBER(B$3:B867),B$3:B867,1))=YEAR(B867))*IF(ISNUMBER(L$3:L867),L$3:L867,0)),""))</f>
        <v/>
      </c>
      <c r="N867" s="6"/>
      <c r="O867" s="7" t="str">
        <f>IF(AND(B867="",ISNUMBER(B868)),CHOOSE(MONTH(B868),"GENNAIO","FEBBRAIO","MARZO","APRILE","MAGGIO","GIUGNO","LUGLIO","AGOSTO","SETTEMBRE","OTTOBRE","NOVEMBRE","DICEMBRE")&amp;" "&amp;YEAR(B868),"")</f>
        <v/>
      </c>
      <c r="P867" s="12" t="str">
        <f>IF(K867=0.2,"CASA","")</f>
        <v/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" customHeight="1" x14ac:dyDescent="0.2">
      <c r="A868" s="5" t="str">
        <f>IF(AND(B868="",ISNUMBER(B869)),CHOOSE(MONTH(B869),"GENNAIO","FEBBRAIO","MARZO","APRILE","MAGGIO","GIUGNO","LUGLIO","AGOSTO","SETTEMBRE","OTTOBRE","NOVEMBRE","DICEMBRE")&amp;" "&amp;YEAR(B869),"")</f>
        <v/>
      </c>
      <c r="B868" s="11"/>
      <c r="C868" s="12"/>
      <c r="D868" s="12" t="str">
        <f>IF(C868="","",C868-IF(C867&lt;&gt;"",C867,IF(C866&lt;&gt;"",C866,IF(C865&lt;&gt;"",C865,0))))</f>
        <v/>
      </c>
      <c r="E868" s="12"/>
      <c r="F868" s="12"/>
      <c r="G868" s="9" t="str">
        <f>IF(AND(E868="",F868=""),"",IF(OR(E868&gt;1,F868&gt;1),(F868-E868)/100,F868-E868))</f>
        <v/>
      </c>
      <c r="H868" s="12" t="str">
        <f>IF(G868="","",64*G868)</f>
        <v/>
      </c>
      <c r="I868" s="13"/>
      <c r="J868" s="13" t="str">
        <f>IFERROR(IF(OR(D868="",D868=0),"",I868/D868*100),"")</f>
        <v/>
      </c>
      <c r="K868" s="14"/>
      <c r="L868" s="13" t="str">
        <f>IF(I868="","",I868*K868)</f>
        <v/>
      </c>
      <c r="M868" s="13" t="str">
        <f>IF(B868="","",IFERROR(SUMPRODUCT(ISNUMBER(B$3:B868)*(MONTH(IF(ISNUMBER(B$3:B868),B$3:B868,1))=MONTH(B868))*(YEAR(IF(ISNUMBER(B$3:B868),B$3:B868,1))=YEAR(B868))*IF(ISNUMBER(L$3:L868),L$3:L868,0)),""))</f>
        <v/>
      </c>
      <c r="N868" s="6"/>
      <c r="O868" s="7" t="str">
        <f>IF(AND(B868="",ISNUMBER(B869)),CHOOSE(MONTH(B869),"GENNAIO","FEBBRAIO","MARZO","APRILE","MAGGIO","GIUGNO","LUGLIO","AGOSTO","SETTEMBRE","OTTOBRE","NOVEMBRE","DICEMBRE")&amp;" "&amp;YEAR(B869),"")</f>
        <v/>
      </c>
      <c r="P868" s="12" t="str">
        <f>IF(K868=0.2,"CASA","")</f>
        <v/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" customHeight="1" x14ac:dyDescent="0.2">
      <c r="A869" s="5" t="str">
        <f>IF(AND(B869="",ISNUMBER(B870)),CHOOSE(MONTH(B870),"GENNAIO","FEBBRAIO","MARZO","APRILE","MAGGIO","GIUGNO","LUGLIO","AGOSTO","SETTEMBRE","OTTOBRE","NOVEMBRE","DICEMBRE")&amp;" "&amp;YEAR(B870),"")</f>
        <v/>
      </c>
      <c r="B869" s="11"/>
      <c r="C869" s="12"/>
      <c r="D869" s="12" t="str">
        <f>IF(C869="","",C869-IF(C868&lt;&gt;"",C868,IF(C867&lt;&gt;"",C867,IF(C866&lt;&gt;"",C866,0))))</f>
        <v/>
      </c>
      <c r="E869" s="12"/>
      <c r="F869" s="12"/>
      <c r="G869" s="9" t="str">
        <f>IF(AND(E869="",F869=""),"",IF(OR(E869&gt;1,F869&gt;1),(F869-E869)/100,F869-E869))</f>
        <v/>
      </c>
      <c r="H869" s="12" t="str">
        <f>IF(G869="","",64*G869)</f>
        <v/>
      </c>
      <c r="I869" s="13"/>
      <c r="J869" s="13" t="str">
        <f>IFERROR(IF(OR(D869="",D869=0),"",I869/D869*100),"")</f>
        <v/>
      </c>
      <c r="K869" s="14"/>
      <c r="L869" s="13" t="str">
        <f>IF(I869="","",I869*K869)</f>
        <v/>
      </c>
      <c r="M869" s="13" t="str">
        <f>IF(B869="","",IFERROR(SUMPRODUCT(ISNUMBER(B$3:B869)*(MONTH(IF(ISNUMBER(B$3:B869),B$3:B869,1))=MONTH(B869))*(YEAR(IF(ISNUMBER(B$3:B869),B$3:B869,1))=YEAR(B869))*IF(ISNUMBER(L$3:L869),L$3:L869,0)),""))</f>
        <v/>
      </c>
      <c r="N869" s="6"/>
      <c r="O869" s="7" t="str">
        <f>IF(AND(B869="",ISNUMBER(B870)),CHOOSE(MONTH(B870),"GENNAIO","FEBBRAIO","MARZO","APRILE","MAGGIO","GIUGNO","LUGLIO","AGOSTO","SETTEMBRE","OTTOBRE","NOVEMBRE","DICEMBRE")&amp;" "&amp;YEAR(B870),"")</f>
        <v/>
      </c>
      <c r="P869" s="12" t="str">
        <f>IF(K869=0.2,"CASA","")</f>
        <v/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" customHeight="1" x14ac:dyDescent="0.2">
      <c r="A870" s="5" t="str">
        <f>IF(AND(B870="",ISNUMBER(B871)),CHOOSE(MONTH(B871),"GENNAIO","FEBBRAIO","MARZO","APRILE","MAGGIO","GIUGNO","LUGLIO","AGOSTO","SETTEMBRE","OTTOBRE","NOVEMBRE","DICEMBRE")&amp;" "&amp;YEAR(B871),"")</f>
        <v/>
      </c>
      <c r="B870" s="11"/>
      <c r="C870" s="12"/>
      <c r="D870" s="12" t="str">
        <f>IF(C870="","",C870-IF(C869&lt;&gt;"",C869,IF(C868&lt;&gt;"",C868,IF(C867&lt;&gt;"",C867,0))))</f>
        <v/>
      </c>
      <c r="E870" s="12"/>
      <c r="F870" s="12"/>
      <c r="G870" s="9" t="str">
        <f>IF(AND(E870="",F870=""),"",IF(OR(E870&gt;1,F870&gt;1),(F870-E870)/100,F870-E870))</f>
        <v/>
      </c>
      <c r="H870" s="12" t="str">
        <f>IF(G870="","",64*G870)</f>
        <v/>
      </c>
      <c r="I870" s="13"/>
      <c r="J870" s="13" t="str">
        <f>IFERROR(IF(OR(D870="",D870=0),"",I870/D870*100),"")</f>
        <v/>
      </c>
      <c r="K870" s="14"/>
      <c r="L870" s="13" t="str">
        <f>IF(I870="","",I870*K870)</f>
        <v/>
      </c>
      <c r="M870" s="13" t="str">
        <f>IF(B870="","",IFERROR(SUMPRODUCT(ISNUMBER(B$3:B870)*(MONTH(IF(ISNUMBER(B$3:B870),B$3:B870,1))=MONTH(B870))*(YEAR(IF(ISNUMBER(B$3:B870),B$3:B870,1))=YEAR(B870))*IF(ISNUMBER(L$3:L870),L$3:L870,0)),""))</f>
        <v/>
      </c>
      <c r="N870" s="6"/>
      <c r="O870" s="7" t="str">
        <f>IF(AND(B870="",ISNUMBER(B871)),CHOOSE(MONTH(B871),"GENNAIO","FEBBRAIO","MARZO","APRILE","MAGGIO","GIUGNO","LUGLIO","AGOSTO","SETTEMBRE","OTTOBRE","NOVEMBRE","DICEMBRE")&amp;" "&amp;YEAR(B871),"")</f>
        <v/>
      </c>
      <c r="P870" s="12" t="str">
        <f>IF(K870=0.2,"CASA","")</f>
        <v/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" customHeight="1" x14ac:dyDescent="0.2">
      <c r="A871" s="5" t="str">
        <f>IF(AND(B871="",ISNUMBER(B872)),CHOOSE(MONTH(B872),"GENNAIO","FEBBRAIO","MARZO","APRILE","MAGGIO","GIUGNO","LUGLIO","AGOSTO","SETTEMBRE","OTTOBRE","NOVEMBRE","DICEMBRE")&amp;" "&amp;YEAR(B872),"")</f>
        <v/>
      </c>
      <c r="B871" s="11"/>
      <c r="C871" s="12"/>
      <c r="D871" s="12" t="str">
        <f>IF(C871="","",C871-IF(C870&lt;&gt;"",C870,IF(C869&lt;&gt;"",C869,IF(C868&lt;&gt;"",C868,0))))</f>
        <v/>
      </c>
      <c r="E871" s="12"/>
      <c r="F871" s="12"/>
      <c r="G871" s="9" t="str">
        <f>IF(AND(E871="",F871=""),"",IF(OR(E871&gt;1,F871&gt;1),(F871-E871)/100,F871-E871))</f>
        <v/>
      </c>
      <c r="H871" s="12" t="str">
        <f>IF(G871="","",64*G871)</f>
        <v/>
      </c>
      <c r="I871" s="13"/>
      <c r="J871" s="13" t="str">
        <f>IFERROR(IF(OR(D871="",D871=0),"",I871/D871*100),"")</f>
        <v/>
      </c>
      <c r="K871" s="14"/>
      <c r="L871" s="13" t="str">
        <f>IF(I871="","",I871*K871)</f>
        <v/>
      </c>
      <c r="M871" s="13" t="str">
        <f>IF(B871="","",IFERROR(SUMPRODUCT(ISNUMBER(B$3:B871)*(MONTH(IF(ISNUMBER(B$3:B871),B$3:B871,1))=MONTH(B871))*(YEAR(IF(ISNUMBER(B$3:B871),B$3:B871,1))=YEAR(B871))*IF(ISNUMBER(L$3:L871),L$3:L871,0)),""))</f>
        <v/>
      </c>
      <c r="N871" s="6"/>
      <c r="O871" s="7" t="str">
        <f>IF(AND(B871="",ISNUMBER(B872)),CHOOSE(MONTH(B872),"GENNAIO","FEBBRAIO","MARZO","APRILE","MAGGIO","GIUGNO","LUGLIO","AGOSTO","SETTEMBRE","OTTOBRE","NOVEMBRE","DICEMBRE")&amp;" "&amp;YEAR(B872),"")</f>
        <v/>
      </c>
      <c r="P871" s="12" t="str">
        <f>IF(K871=0.2,"CASA","")</f>
        <v/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" customHeight="1" x14ac:dyDescent="0.2">
      <c r="A872" s="5" t="str">
        <f>IF(AND(B872="",ISNUMBER(B873)),CHOOSE(MONTH(B873),"GENNAIO","FEBBRAIO","MARZO","APRILE","MAGGIO","GIUGNO","LUGLIO","AGOSTO","SETTEMBRE","OTTOBRE","NOVEMBRE","DICEMBRE")&amp;" "&amp;YEAR(B873),"")</f>
        <v/>
      </c>
      <c r="B872" s="11"/>
      <c r="C872" s="12"/>
      <c r="D872" s="12" t="str">
        <f>IF(C872="","",C872-IF(C871&lt;&gt;"",C871,IF(C870&lt;&gt;"",C870,IF(C869&lt;&gt;"",C869,0))))</f>
        <v/>
      </c>
      <c r="E872" s="12"/>
      <c r="F872" s="12"/>
      <c r="G872" s="9" t="str">
        <f>IF(AND(E872="",F872=""),"",IF(OR(E872&gt;1,F872&gt;1),(F872-E872)/100,F872-E872))</f>
        <v/>
      </c>
      <c r="H872" s="12" t="str">
        <f>IF(G872="","",64*G872)</f>
        <v/>
      </c>
      <c r="I872" s="13"/>
      <c r="J872" s="13" t="str">
        <f>IFERROR(IF(OR(D872="",D872=0),"",I872/D872*100),"")</f>
        <v/>
      </c>
      <c r="K872" s="14"/>
      <c r="L872" s="13" t="str">
        <f>IF(I872="","",I872*K872)</f>
        <v/>
      </c>
      <c r="M872" s="13" t="str">
        <f>IF(B872="","",IFERROR(SUMPRODUCT(ISNUMBER(B$3:B872)*(MONTH(IF(ISNUMBER(B$3:B872),B$3:B872,1))=MONTH(B872))*(YEAR(IF(ISNUMBER(B$3:B872),B$3:B872,1))=YEAR(B872))*IF(ISNUMBER(L$3:L872),L$3:L872,0)),""))</f>
        <v/>
      </c>
      <c r="N872" s="6"/>
      <c r="O872" s="7" t="str">
        <f>IF(AND(B872="",ISNUMBER(B873)),CHOOSE(MONTH(B873),"GENNAIO","FEBBRAIO","MARZO","APRILE","MAGGIO","GIUGNO","LUGLIO","AGOSTO","SETTEMBRE","OTTOBRE","NOVEMBRE","DICEMBRE")&amp;" "&amp;YEAR(B873),"")</f>
        <v/>
      </c>
      <c r="P872" s="12" t="str">
        <f>IF(K872=0.2,"CASA","")</f>
        <v/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" customHeight="1" x14ac:dyDescent="0.2">
      <c r="A873" s="5" t="str">
        <f>IF(AND(B873="",ISNUMBER(B874)),CHOOSE(MONTH(B874),"GENNAIO","FEBBRAIO","MARZO","APRILE","MAGGIO","GIUGNO","LUGLIO","AGOSTO","SETTEMBRE","OTTOBRE","NOVEMBRE","DICEMBRE")&amp;" "&amp;YEAR(B874),"")</f>
        <v/>
      </c>
      <c r="B873" s="11"/>
      <c r="C873" s="12"/>
      <c r="D873" s="12" t="str">
        <f>IF(C873="","",C873-IF(C872&lt;&gt;"",C872,IF(C871&lt;&gt;"",C871,IF(C870&lt;&gt;"",C870,0))))</f>
        <v/>
      </c>
      <c r="E873" s="12"/>
      <c r="F873" s="12"/>
      <c r="G873" s="9" t="str">
        <f>IF(AND(E873="",F873=""),"",IF(OR(E873&gt;1,F873&gt;1),(F873-E873)/100,F873-E873))</f>
        <v/>
      </c>
      <c r="H873" s="12" t="str">
        <f>IF(G873="","",64*G873)</f>
        <v/>
      </c>
      <c r="I873" s="13"/>
      <c r="J873" s="13" t="str">
        <f>IFERROR(IF(OR(D873="",D873=0),"",I873/D873*100),"")</f>
        <v/>
      </c>
      <c r="K873" s="14"/>
      <c r="L873" s="13" t="str">
        <f>IF(I873="","",I873*K873)</f>
        <v/>
      </c>
      <c r="M873" s="13" t="str">
        <f>IF(B873="","",IFERROR(SUMPRODUCT(ISNUMBER(B$3:B873)*(MONTH(IF(ISNUMBER(B$3:B873),B$3:B873,1))=MONTH(B873))*(YEAR(IF(ISNUMBER(B$3:B873),B$3:B873,1))=YEAR(B873))*IF(ISNUMBER(L$3:L873),L$3:L873,0)),""))</f>
        <v/>
      </c>
      <c r="N873" s="6"/>
      <c r="O873" s="7" t="str">
        <f>IF(AND(B873="",ISNUMBER(B874)),CHOOSE(MONTH(B874),"GENNAIO","FEBBRAIO","MARZO","APRILE","MAGGIO","GIUGNO","LUGLIO","AGOSTO","SETTEMBRE","OTTOBRE","NOVEMBRE","DICEMBRE")&amp;" "&amp;YEAR(B874),"")</f>
        <v/>
      </c>
      <c r="P873" s="12" t="str">
        <f>IF(K873=0.2,"CASA","")</f>
        <v/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" customHeight="1" x14ac:dyDescent="0.2">
      <c r="A874" s="5" t="str">
        <f>IF(AND(B874="",ISNUMBER(B875)),CHOOSE(MONTH(B875),"GENNAIO","FEBBRAIO","MARZO","APRILE","MAGGIO","GIUGNO","LUGLIO","AGOSTO","SETTEMBRE","OTTOBRE","NOVEMBRE","DICEMBRE")&amp;" "&amp;YEAR(B875),"")</f>
        <v/>
      </c>
      <c r="B874" s="11"/>
      <c r="C874" s="12"/>
      <c r="D874" s="12" t="str">
        <f>IF(C874="","",C874-IF(C873&lt;&gt;"",C873,IF(C872&lt;&gt;"",C872,IF(C871&lt;&gt;"",C871,0))))</f>
        <v/>
      </c>
      <c r="E874" s="12"/>
      <c r="F874" s="12"/>
      <c r="G874" s="9" t="str">
        <f>IF(AND(E874="",F874=""),"",IF(OR(E874&gt;1,F874&gt;1),(F874-E874)/100,F874-E874))</f>
        <v/>
      </c>
      <c r="H874" s="12" t="str">
        <f>IF(G874="","",64*G874)</f>
        <v/>
      </c>
      <c r="I874" s="13"/>
      <c r="J874" s="13" t="str">
        <f>IFERROR(IF(OR(D874="",D874=0),"",I874/D874*100),"")</f>
        <v/>
      </c>
      <c r="K874" s="14"/>
      <c r="L874" s="13" t="str">
        <f>IF(I874="","",I874*K874)</f>
        <v/>
      </c>
      <c r="M874" s="13" t="str">
        <f>IF(B874="","",IFERROR(SUMPRODUCT(ISNUMBER(B$3:B874)*(MONTH(IF(ISNUMBER(B$3:B874),B$3:B874,1))=MONTH(B874))*(YEAR(IF(ISNUMBER(B$3:B874),B$3:B874,1))=YEAR(B874))*IF(ISNUMBER(L$3:L874),L$3:L874,0)),""))</f>
        <v/>
      </c>
      <c r="N874" s="6"/>
      <c r="O874" s="7" t="str">
        <f>IF(AND(B874="",ISNUMBER(B875)),CHOOSE(MONTH(B875),"GENNAIO","FEBBRAIO","MARZO","APRILE","MAGGIO","GIUGNO","LUGLIO","AGOSTO","SETTEMBRE","OTTOBRE","NOVEMBRE","DICEMBRE")&amp;" "&amp;YEAR(B875),"")</f>
        <v/>
      </c>
      <c r="P874" s="12" t="str">
        <f>IF(K874=0.2,"CASA","")</f>
        <v/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" customHeight="1" x14ac:dyDescent="0.2">
      <c r="A875" s="5" t="str">
        <f>IF(AND(B875="",ISNUMBER(B876)),CHOOSE(MONTH(B876),"GENNAIO","FEBBRAIO","MARZO","APRILE","MAGGIO","GIUGNO","LUGLIO","AGOSTO","SETTEMBRE","OTTOBRE","NOVEMBRE","DICEMBRE")&amp;" "&amp;YEAR(B876),"")</f>
        <v/>
      </c>
      <c r="B875" s="11"/>
      <c r="C875" s="12"/>
      <c r="D875" s="12" t="str">
        <f>IF(C875="","",C875-IF(C874&lt;&gt;"",C874,IF(C873&lt;&gt;"",C873,IF(C872&lt;&gt;"",C872,0))))</f>
        <v/>
      </c>
      <c r="E875" s="12"/>
      <c r="F875" s="12"/>
      <c r="G875" s="9" t="str">
        <f>IF(AND(E875="",F875=""),"",IF(OR(E875&gt;1,F875&gt;1),(F875-E875)/100,F875-E875))</f>
        <v/>
      </c>
      <c r="H875" s="12" t="str">
        <f>IF(G875="","",64*G875)</f>
        <v/>
      </c>
      <c r="I875" s="13"/>
      <c r="J875" s="13" t="str">
        <f>IFERROR(IF(OR(D875="",D875=0),"",I875/D875*100),"")</f>
        <v/>
      </c>
      <c r="K875" s="14"/>
      <c r="L875" s="13" t="str">
        <f>IF(I875="","",I875*K875)</f>
        <v/>
      </c>
      <c r="M875" s="13" t="str">
        <f>IF(B875="","",IFERROR(SUMPRODUCT(ISNUMBER(B$3:B875)*(MONTH(IF(ISNUMBER(B$3:B875),B$3:B875,1))=MONTH(B875))*(YEAR(IF(ISNUMBER(B$3:B875),B$3:B875,1))=YEAR(B875))*IF(ISNUMBER(L$3:L875),L$3:L875,0)),""))</f>
        <v/>
      </c>
      <c r="N875" s="6"/>
      <c r="O875" s="7" t="str">
        <f>IF(AND(B875="",ISNUMBER(B876)),CHOOSE(MONTH(B876),"GENNAIO","FEBBRAIO","MARZO","APRILE","MAGGIO","GIUGNO","LUGLIO","AGOSTO","SETTEMBRE","OTTOBRE","NOVEMBRE","DICEMBRE")&amp;" "&amp;YEAR(B876),"")</f>
        <v/>
      </c>
      <c r="P875" s="12" t="str">
        <f>IF(K875=0.2,"CASA","")</f>
        <v/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" customHeight="1" x14ac:dyDescent="0.2">
      <c r="A876" s="5" t="str">
        <f>IF(AND(B876="",ISNUMBER(B877)),CHOOSE(MONTH(B877),"GENNAIO","FEBBRAIO","MARZO","APRILE","MAGGIO","GIUGNO","LUGLIO","AGOSTO","SETTEMBRE","OTTOBRE","NOVEMBRE","DICEMBRE")&amp;" "&amp;YEAR(B877),"")</f>
        <v/>
      </c>
      <c r="B876" s="11"/>
      <c r="C876" s="12"/>
      <c r="D876" s="12" t="str">
        <f>IF(C876="","",C876-IF(C875&lt;&gt;"",C875,IF(C874&lt;&gt;"",C874,IF(C873&lt;&gt;"",C873,0))))</f>
        <v/>
      </c>
      <c r="E876" s="12"/>
      <c r="F876" s="12"/>
      <c r="G876" s="9" t="str">
        <f>IF(AND(E876="",F876=""),"",IF(OR(E876&gt;1,F876&gt;1),(F876-E876)/100,F876-E876))</f>
        <v/>
      </c>
      <c r="H876" s="12" t="str">
        <f>IF(G876="","",64*G876)</f>
        <v/>
      </c>
      <c r="I876" s="13"/>
      <c r="J876" s="13" t="str">
        <f>IFERROR(IF(OR(D876="",D876=0),"",I876/D876*100),"")</f>
        <v/>
      </c>
      <c r="K876" s="14"/>
      <c r="L876" s="13" t="str">
        <f>IF(I876="","",I876*K876)</f>
        <v/>
      </c>
      <c r="M876" s="13" t="str">
        <f>IF(B876="","",IFERROR(SUMPRODUCT(ISNUMBER(B$3:B876)*(MONTH(IF(ISNUMBER(B$3:B876),B$3:B876,1))=MONTH(B876))*(YEAR(IF(ISNUMBER(B$3:B876),B$3:B876,1))=YEAR(B876))*IF(ISNUMBER(L$3:L876),L$3:L876,0)),""))</f>
        <v/>
      </c>
      <c r="N876" s="6"/>
      <c r="O876" s="7" t="str">
        <f>IF(AND(B876="",ISNUMBER(B877)),CHOOSE(MONTH(B877),"GENNAIO","FEBBRAIO","MARZO","APRILE","MAGGIO","GIUGNO","LUGLIO","AGOSTO","SETTEMBRE","OTTOBRE","NOVEMBRE","DICEMBRE")&amp;" "&amp;YEAR(B877),"")</f>
        <v/>
      </c>
      <c r="P876" s="12" t="str">
        <f>IF(K876=0.2,"CASA","")</f>
        <v/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" customHeight="1" x14ac:dyDescent="0.2">
      <c r="A877" s="5" t="str">
        <f>IF(AND(B877="",ISNUMBER(B878)),CHOOSE(MONTH(B878),"GENNAIO","FEBBRAIO","MARZO","APRILE","MAGGIO","GIUGNO","LUGLIO","AGOSTO","SETTEMBRE","OTTOBRE","NOVEMBRE","DICEMBRE")&amp;" "&amp;YEAR(B878),"")</f>
        <v/>
      </c>
      <c r="B877" s="11"/>
      <c r="C877" s="12"/>
      <c r="D877" s="12" t="str">
        <f>IF(C877="","",C877-IF(C876&lt;&gt;"",C876,IF(C875&lt;&gt;"",C875,IF(C874&lt;&gt;"",C874,0))))</f>
        <v/>
      </c>
      <c r="E877" s="12"/>
      <c r="F877" s="12"/>
      <c r="G877" s="9" t="str">
        <f>IF(AND(E877="",F877=""),"",IF(OR(E877&gt;1,F877&gt;1),(F877-E877)/100,F877-E877))</f>
        <v/>
      </c>
      <c r="H877" s="12" t="str">
        <f>IF(G877="","",64*G877)</f>
        <v/>
      </c>
      <c r="I877" s="13"/>
      <c r="J877" s="13" t="str">
        <f>IFERROR(IF(OR(D877="",D877=0),"",I877/D877*100),"")</f>
        <v/>
      </c>
      <c r="K877" s="14"/>
      <c r="L877" s="13" t="str">
        <f>IF(I877="","",I877*K877)</f>
        <v/>
      </c>
      <c r="M877" s="13" t="str">
        <f>IF(B877="","",IFERROR(SUMPRODUCT(ISNUMBER(B$3:B877)*(MONTH(IF(ISNUMBER(B$3:B877),B$3:B877,1))=MONTH(B877))*(YEAR(IF(ISNUMBER(B$3:B877),B$3:B877,1))=YEAR(B877))*IF(ISNUMBER(L$3:L877),L$3:L877,0)),""))</f>
        <v/>
      </c>
      <c r="N877" s="6"/>
      <c r="O877" s="7" t="str">
        <f>IF(AND(B877="",ISNUMBER(B878)),CHOOSE(MONTH(B878),"GENNAIO","FEBBRAIO","MARZO","APRILE","MAGGIO","GIUGNO","LUGLIO","AGOSTO","SETTEMBRE","OTTOBRE","NOVEMBRE","DICEMBRE")&amp;" "&amp;YEAR(B878),"")</f>
        <v/>
      </c>
      <c r="P877" s="12" t="str">
        <f>IF(K877=0.2,"CASA","")</f>
        <v/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" customHeight="1" x14ac:dyDescent="0.2">
      <c r="A878" s="5" t="str">
        <f>IF(AND(B878="",ISNUMBER(B879)),CHOOSE(MONTH(B879),"GENNAIO","FEBBRAIO","MARZO","APRILE","MAGGIO","GIUGNO","LUGLIO","AGOSTO","SETTEMBRE","OTTOBRE","NOVEMBRE","DICEMBRE")&amp;" "&amp;YEAR(B879),"")</f>
        <v/>
      </c>
      <c r="B878" s="11"/>
      <c r="C878" s="12"/>
      <c r="D878" s="12" t="str">
        <f>IF(C878="","",C878-IF(C877&lt;&gt;"",C877,IF(C876&lt;&gt;"",C876,IF(C875&lt;&gt;"",C875,0))))</f>
        <v/>
      </c>
      <c r="E878" s="12"/>
      <c r="F878" s="12"/>
      <c r="G878" s="9" t="str">
        <f>IF(AND(E878="",F878=""),"",IF(OR(E878&gt;1,F878&gt;1),(F878-E878)/100,F878-E878))</f>
        <v/>
      </c>
      <c r="H878" s="12" t="str">
        <f>IF(G878="","",64*G878)</f>
        <v/>
      </c>
      <c r="I878" s="13"/>
      <c r="J878" s="13" t="str">
        <f>IFERROR(IF(OR(D878="",D878=0),"",I878/D878*100),"")</f>
        <v/>
      </c>
      <c r="K878" s="14"/>
      <c r="L878" s="13" t="str">
        <f>IF(I878="","",I878*K878)</f>
        <v/>
      </c>
      <c r="M878" s="13" t="str">
        <f>IF(B878="","",IFERROR(SUMPRODUCT(ISNUMBER(B$3:B878)*(MONTH(IF(ISNUMBER(B$3:B878),B$3:B878,1))=MONTH(B878))*(YEAR(IF(ISNUMBER(B$3:B878),B$3:B878,1))=YEAR(B878))*IF(ISNUMBER(L$3:L878),L$3:L878,0)),""))</f>
        <v/>
      </c>
      <c r="N878" s="6"/>
      <c r="O878" s="7" t="str">
        <f>IF(AND(B878="",ISNUMBER(B879)),CHOOSE(MONTH(B879),"GENNAIO","FEBBRAIO","MARZO","APRILE","MAGGIO","GIUGNO","LUGLIO","AGOSTO","SETTEMBRE","OTTOBRE","NOVEMBRE","DICEMBRE")&amp;" "&amp;YEAR(B879),"")</f>
        <v/>
      </c>
      <c r="P878" s="12" t="str">
        <f>IF(K878=0.2,"CASA","")</f>
        <v/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" customHeight="1" x14ac:dyDescent="0.2">
      <c r="A879" s="5" t="str">
        <f>IF(AND(B879="",ISNUMBER(B880)),CHOOSE(MONTH(B880),"GENNAIO","FEBBRAIO","MARZO","APRILE","MAGGIO","GIUGNO","LUGLIO","AGOSTO","SETTEMBRE","OTTOBRE","NOVEMBRE","DICEMBRE")&amp;" "&amp;YEAR(B880),"")</f>
        <v/>
      </c>
      <c r="B879" s="11"/>
      <c r="C879" s="12"/>
      <c r="D879" s="12" t="str">
        <f>IF(C879="","",C879-IF(C878&lt;&gt;"",C878,IF(C877&lt;&gt;"",C877,IF(C876&lt;&gt;"",C876,0))))</f>
        <v/>
      </c>
      <c r="E879" s="12"/>
      <c r="F879" s="12"/>
      <c r="G879" s="9" t="str">
        <f>IF(AND(E879="",F879=""),"",IF(OR(E879&gt;1,F879&gt;1),(F879-E879)/100,F879-E879))</f>
        <v/>
      </c>
      <c r="H879" s="12" t="str">
        <f>IF(G879="","",64*G879)</f>
        <v/>
      </c>
      <c r="I879" s="13"/>
      <c r="J879" s="13" t="str">
        <f>IFERROR(IF(OR(D879="",D879=0),"",I879/D879*100),"")</f>
        <v/>
      </c>
      <c r="K879" s="14"/>
      <c r="L879" s="13" t="str">
        <f>IF(I879="","",I879*K879)</f>
        <v/>
      </c>
      <c r="M879" s="13" t="str">
        <f>IF(B879="","",IFERROR(SUMPRODUCT(ISNUMBER(B$3:B879)*(MONTH(IF(ISNUMBER(B$3:B879),B$3:B879,1))=MONTH(B879))*(YEAR(IF(ISNUMBER(B$3:B879),B$3:B879,1))=YEAR(B879))*IF(ISNUMBER(L$3:L879),L$3:L879,0)),""))</f>
        <v/>
      </c>
      <c r="N879" s="6"/>
      <c r="O879" s="7" t="str">
        <f>IF(AND(B879="",ISNUMBER(B880)),CHOOSE(MONTH(B880),"GENNAIO","FEBBRAIO","MARZO","APRILE","MAGGIO","GIUGNO","LUGLIO","AGOSTO","SETTEMBRE","OTTOBRE","NOVEMBRE","DICEMBRE")&amp;" "&amp;YEAR(B880),"")</f>
        <v/>
      </c>
      <c r="P879" s="12" t="str">
        <f>IF(K879=0.2,"CASA","")</f>
        <v/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" customHeight="1" x14ac:dyDescent="0.2">
      <c r="A880" s="5" t="str">
        <f>IF(AND(B880="",ISNUMBER(B881)),CHOOSE(MONTH(B881),"GENNAIO","FEBBRAIO","MARZO","APRILE","MAGGIO","GIUGNO","LUGLIO","AGOSTO","SETTEMBRE","OTTOBRE","NOVEMBRE","DICEMBRE")&amp;" "&amp;YEAR(B881),"")</f>
        <v/>
      </c>
      <c r="B880" s="11"/>
      <c r="C880" s="12"/>
      <c r="D880" s="12" t="str">
        <f>IF(C880="","",C880-IF(C879&lt;&gt;"",C879,IF(C878&lt;&gt;"",C878,IF(C877&lt;&gt;"",C877,0))))</f>
        <v/>
      </c>
      <c r="E880" s="12"/>
      <c r="F880" s="12"/>
      <c r="G880" s="9" t="str">
        <f>IF(AND(E880="",F880=""),"",IF(OR(E880&gt;1,F880&gt;1),(F880-E880)/100,F880-E880))</f>
        <v/>
      </c>
      <c r="H880" s="12" t="str">
        <f>IF(G880="","",64*G880)</f>
        <v/>
      </c>
      <c r="I880" s="13"/>
      <c r="J880" s="13" t="str">
        <f>IFERROR(IF(OR(D880="",D880=0),"",I880/D880*100),"")</f>
        <v/>
      </c>
      <c r="K880" s="14"/>
      <c r="L880" s="13" t="str">
        <f>IF(I880="","",I880*K880)</f>
        <v/>
      </c>
      <c r="M880" s="13" t="str">
        <f>IF(B880="","",IFERROR(SUMPRODUCT(ISNUMBER(B$3:B880)*(MONTH(IF(ISNUMBER(B$3:B880),B$3:B880,1))=MONTH(B880))*(YEAR(IF(ISNUMBER(B$3:B880),B$3:B880,1))=YEAR(B880))*IF(ISNUMBER(L$3:L880),L$3:L880,0)),""))</f>
        <v/>
      </c>
      <c r="N880" s="6"/>
      <c r="O880" s="7" t="str">
        <f>IF(AND(B880="",ISNUMBER(B881)),CHOOSE(MONTH(B881),"GENNAIO","FEBBRAIO","MARZO","APRILE","MAGGIO","GIUGNO","LUGLIO","AGOSTO","SETTEMBRE","OTTOBRE","NOVEMBRE","DICEMBRE")&amp;" "&amp;YEAR(B881),"")</f>
        <v/>
      </c>
      <c r="P880" s="12" t="str">
        <f>IF(K880=0.2,"CASA","")</f>
        <v/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" customHeight="1" x14ac:dyDescent="0.2">
      <c r="A881" s="5" t="str">
        <f>IF(AND(B881="",ISNUMBER(B882)),CHOOSE(MONTH(B882),"GENNAIO","FEBBRAIO","MARZO","APRILE","MAGGIO","GIUGNO","LUGLIO","AGOSTO","SETTEMBRE","OTTOBRE","NOVEMBRE","DICEMBRE")&amp;" "&amp;YEAR(B882),"")</f>
        <v/>
      </c>
      <c r="B881" s="11"/>
      <c r="C881" s="12"/>
      <c r="D881" s="12" t="str">
        <f>IF(C881="","",C881-IF(C880&lt;&gt;"",C880,IF(C879&lt;&gt;"",C879,IF(C878&lt;&gt;"",C878,0))))</f>
        <v/>
      </c>
      <c r="E881" s="12"/>
      <c r="F881" s="12"/>
      <c r="G881" s="9" t="str">
        <f>IF(AND(E881="",F881=""),"",IF(OR(E881&gt;1,F881&gt;1),(F881-E881)/100,F881-E881))</f>
        <v/>
      </c>
      <c r="H881" s="12" t="str">
        <f>IF(G881="","",64*G881)</f>
        <v/>
      </c>
      <c r="I881" s="13"/>
      <c r="J881" s="13" t="str">
        <f>IFERROR(IF(OR(D881="",D881=0),"",I881/D881*100),"")</f>
        <v/>
      </c>
      <c r="K881" s="14"/>
      <c r="L881" s="13" t="str">
        <f>IF(I881="","",I881*K881)</f>
        <v/>
      </c>
      <c r="M881" s="13" t="str">
        <f>IF(B881="","",IFERROR(SUMPRODUCT(ISNUMBER(B$3:B881)*(MONTH(IF(ISNUMBER(B$3:B881),B$3:B881,1))=MONTH(B881))*(YEAR(IF(ISNUMBER(B$3:B881),B$3:B881,1))=YEAR(B881))*IF(ISNUMBER(L$3:L881),L$3:L881,0)),""))</f>
        <v/>
      </c>
      <c r="N881" s="6"/>
      <c r="O881" s="7" t="str">
        <f>IF(AND(B881="",ISNUMBER(B882)),CHOOSE(MONTH(B882),"GENNAIO","FEBBRAIO","MARZO","APRILE","MAGGIO","GIUGNO","LUGLIO","AGOSTO","SETTEMBRE","OTTOBRE","NOVEMBRE","DICEMBRE")&amp;" "&amp;YEAR(B882),"")</f>
        <v/>
      </c>
      <c r="P881" s="12" t="str">
        <f>IF(K881=0.2,"CASA","")</f>
        <v/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" customHeight="1" x14ac:dyDescent="0.2">
      <c r="A882" s="5" t="str">
        <f>IF(AND(B882="",ISNUMBER(B883)),CHOOSE(MONTH(B883),"GENNAIO","FEBBRAIO","MARZO","APRILE","MAGGIO","GIUGNO","LUGLIO","AGOSTO","SETTEMBRE","OTTOBRE","NOVEMBRE","DICEMBRE")&amp;" "&amp;YEAR(B883),"")</f>
        <v/>
      </c>
      <c r="B882" s="11"/>
      <c r="C882" s="12"/>
      <c r="D882" s="12" t="str">
        <f>IF(C882="","",C882-IF(C881&lt;&gt;"",C881,IF(C880&lt;&gt;"",C880,IF(C879&lt;&gt;"",C879,0))))</f>
        <v/>
      </c>
      <c r="E882" s="12"/>
      <c r="F882" s="12"/>
      <c r="G882" s="9" t="str">
        <f>IF(AND(E882="",F882=""),"",IF(OR(E882&gt;1,F882&gt;1),(F882-E882)/100,F882-E882))</f>
        <v/>
      </c>
      <c r="H882" s="12" t="str">
        <f>IF(G882="","",64*G882)</f>
        <v/>
      </c>
      <c r="I882" s="13"/>
      <c r="J882" s="13" t="str">
        <f>IFERROR(IF(OR(D882="",D882=0),"",I882/D882*100),"")</f>
        <v/>
      </c>
      <c r="K882" s="14"/>
      <c r="L882" s="13" t="str">
        <f>IF(I882="","",I882*K882)</f>
        <v/>
      </c>
      <c r="M882" s="13" t="str">
        <f>IF(B882="","",IFERROR(SUMPRODUCT(ISNUMBER(B$3:B882)*(MONTH(IF(ISNUMBER(B$3:B882),B$3:B882,1))=MONTH(B882))*(YEAR(IF(ISNUMBER(B$3:B882),B$3:B882,1))=YEAR(B882))*IF(ISNUMBER(L$3:L882),L$3:L882,0)),""))</f>
        <v/>
      </c>
      <c r="N882" s="6"/>
      <c r="O882" s="7" t="str">
        <f>IF(AND(B882="",ISNUMBER(B883)),CHOOSE(MONTH(B883),"GENNAIO","FEBBRAIO","MARZO","APRILE","MAGGIO","GIUGNO","LUGLIO","AGOSTO","SETTEMBRE","OTTOBRE","NOVEMBRE","DICEMBRE")&amp;" "&amp;YEAR(B883),"")</f>
        <v/>
      </c>
      <c r="P882" s="12" t="str">
        <f>IF(K882=0.2,"CASA","")</f>
        <v/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" customHeight="1" x14ac:dyDescent="0.2">
      <c r="A883" s="5" t="str">
        <f>IF(AND(B883="",ISNUMBER(B884)),CHOOSE(MONTH(B884),"GENNAIO","FEBBRAIO","MARZO","APRILE","MAGGIO","GIUGNO","LUGLIO","AGOSTO","SETTEMBRE","OTTOBRE","NOVEMBRE","DICEMBRE")&amp;" "&amp;YEAR(B884),"")</f>
        <v/>
      </c>
      <c r="B883" s="11"/>
      <c r="C883" s="12"/>
      <c r="D883" s="12" t="str">
        <f>IF(C883="","",C883-IF(C882&lt;&gt;"",C882,IF(C881&lt;&gt;"",C881,IF(C880&lt;&gt;"",C880,0))))</f>
        <v/>
      </c>
      <c r="E883" s="12"/>
      <c r="F883" s="12"/>
      <c r="G883" s="9" t="str">
        <f>IF(AND(E883="",F883=""),"",IF(OR(E883&gt;1,F883&gt;1),(F883-E883)/100,F883-E883))</f>
        <v/>
      </c>
      <c r="H883" s="12" t="str">
        <f>IF(G883="","",64*G883)</f>
        <v/>
      </c>
      <c r="I883" s="13"/>
      <c r="J883" s="13" t="str">
        <f>IFERROR(IF(OR(D883="",D883=0),"",I883/D883*100),"")</f>
        <v/>
      </c>
      <c r="K883" s="14"/>
      <c r="L883" s="13" t="str">
        <f>IF(I883="","",I883*K883)</f>
        <v/>
      </c>
      <c r="M883" s="13" t="str">
        <f>IF(B883="","",IFERROR(SUMPRODUCT(ISNUMBER(B$3:B883)*(MONTH(IF(ISNUMBER(B$3:B883),B$3:B883,1))=MONTH(B883))*(YEAR(IF(ISNUMBER(B$3:B883),B$3:B883,1))=YEAR(B883))*IF(ISNUMBER(L$3:L883),L$3:L883,0)),""))</f>
        <v/>
      </c>
      <c r="N883" s="6"/>
      <c r="O883" s="7" t="str">
        <f>IF(AND(B883="",ISNUMBER(B884)),CHOOSE(MONTH(B884),"GENNAIO","FEBBRAIO","MARZO","APRILE","MAGGIO","GIUGNO","LUGLIO","AGOSTO","SETTEMBRE","OTTOBRE","NOVEMBRE","DICEMBRE")&amp;" "&amp;YEAR(B884),"")</f>
        <v/>
      </c>
      <c r="P883" s="12" t="str">
        <f>IF(K883=0.2,"CASA","")</f>
        <v/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" customHeight="1" x14ac:dyDescent="0.2">
      <c r="A884" s="5" t="str">
        <f>IF(AND(B884="",ISNUMBER(B885)),CHOOSE(MONTH(B885),"GENNAIO","FEBBRAIO","MARZO","APRILE","MAGGIO","GIUGNO","LUGLIO","AGOSTO","SETTEMBRE","OTTOBRE","NOVEMBRE","DICEMBRE")&amp;" "&amp;YEAR(B885),"")</f>
        <v/>
      </c>
      <c r="B884" s="11"/>
      <c r="C884" s="12"/>
      <c r="D884" s="12" t="str">
        <f>IF(C884="","",C884-IF(C883&lt;&gt;"",C883,IF(C882&lt;&gt;"",C882,IF(C881&lt;&gt;"",C881,0))))</f>
        <v/>
      </c>
      <c r="E884" s="12"/>
      <c r="F884" s="12"/>
      <c r="G884" s="9" t="str">
        <f>IF(AND(E884="",F884=""),"",IF(OR(E884&gt;1,F884&gt;1),(F884-E884)/100,F884-E884))</f>
        <v/>
      </c>
      <c r="H884" s="12" t="str">
        <f>IF(G884="","",64*G884)</f>
        <v/>
      </c>
      <c r="I884" s="13"/>
      <c r="J884" s="13" t="str">
        <f>IFERROR(IF(OR(D884="",D884=0),"",I884/D884*100),"")</f>
        <v/>
      </c>
      <c r="K884" s="14"/>
      <c r="L884" s="13" t="str">
        <f>IF(I884="","",I884*K884)</f>
        <v/>
      </c>
      <c r="M884" s="13" t="str">
        <f>IF(B884="","",IFERROR(SUMPRODUCT(ISNUMBER(B$3:B884)*(MONTH(IF(ISNUMBER(B$3:B884),B$3:B884,1))=MONTH(B884))*(YEAR(IF(ISNUMBER(B$3:B884),B$3:B884,1))=YEAR(B884))*IF(ISNUMBER(L$3:L884),L$3:L884,0)),""))</f>
        <v/>
      </c>
      <c r="N884" s="6"/>
      <c r="O884" s="7" t="str">
        <f>IF(AND(B884="",ISNUMBER(B885)),CHOOSE(MONTH(B885),"GENNAIO","FEBBRAIO","MARZO","APRILE","MAGGIO","GIUGNO","LUGLIO","AGOSTO","SETTEMBRE","OTTOBRE","NOVEMBRE","DICEMBRE")&amp;" "&amp;YEAR(B885),"")</f>
        <v/>
      </c>
      <c r="P884" s="12" t="str">
        <f>IF(K884=0.2,"CASA","")</f>
        <v/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" customHeight="1" x14ac:dyDescent="0.2">
      <c r="A885" s="5" t="str">
        <f>IF(AND(B885="",ISNUMBER(B886)),CHOOSE(MONTH(B886),"GENNAIO","FEBBRAIO","MARZO","APRILE","MAGGIO","GIUGNO","LUGLIO","AGOSTO","SETTEMBRE","OTTOBRE","NOVEMBRE","DICEMBRE")&amp;" "&amp;YEAR(B886),"")</f>
        <v/>
      </c>
      <c r="B885" s="11"/>
      <c r="C885" s="12"/>
      <c r="D885" s="12" t="str">
        <f>IF(C885="","",C885-IF(C884&lt;&gt;"",C884,IF(C883&lt;&gt;"",C883,IF(C882&lt;&gt;"",C882,0))))</f>
        <v/>
      </c>
      <c r="E885" s="12"/>
      <c r="F885" s="12"/>
      <c r="G885" s="9" t="str">
        <f>IF(AND(E885="",F885=""),"",IF(OR(E885&gt;1,F885&gt;1),(F885-E885)/100,F885-E885))</f>
        <v/>
      </c>
      <c r="H885" s="12" t="str">
        <f>IF(G885="","",64*G885)</f>
        <v/>
      </c>
      <c r="I885" s="13"/>
      <c r="J885" s="13" t="str">
        <f>IFERROR(IF(OR(D885="",D885=0),"",I885/D885*100),"")</f>
        <v/>
      </c>
      <c r="K885" s="14"/>
      <c r="L885" s="13" t="str">
        <f>IF(I885="","",I885*K885)</f>
        <v/>
      </c>
      <c r="M885" s="13" t="str">
        <f>IF(B885="","",IFERROR(SUMPRODUCT(ISNUMBER(B$3:B885)*(MONTH(IF(ISNUMBER(B$3:B885),B$3:B885,1))=MONTH(B885))*(YEAR(IF(ISNUMBER(B$3:B885),B$3:B885,1))=YEAR(B885))*IF(ISNUMBER(L$3:L885),L$3:L885,0)),""))</f>
        <v/>
      </c>
      <c r="N885" s="6"/>
      <c r="O885" s="7" t="str">
        <f>IF(AND(B885="",ISNUMBER(B886)),CHOOSE(MONTH(B886),"GENNAIO","FEBBRAIO","MARZO","APRILE","MAGGIO","GIUGNO","LUGLIO","AGOSTO","SETTEMBRE","OTTOBRE","NOVEMBRE","DICEMBRE")&amp;" "&amp;YEAR(B886),"")</f>
        <v/>
      </c>
      <c r="P885" s="12" t="str">
        <f>IF(K885=0.2,"CASA","")</f>
        <v/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" customHeight="1" x14ac:dyDescent="0.2">
      <c r="A886" s="5" t="str">
        <f>IF(AND(B886="",ISNUMBER(B887)),CHOOSE(MONTH(B887),"GENNAIO","FEBBRAIO","MARZO","APRILE","MAGGIO","GIUGNO","LUGLIO","AGOSTO","SETTEMBRE","OTTOBRE","NOVEMBRE","DICEMBRE")&amp;" "&amp;YEAR(B887),"")</f>
        <v/>
      </c>
      <c r="B886" s="11"/>
      <c r="C886" s="12"/>
      <c r="D886" s="12" t="str">
        <f>IF(C886="","",C886-IF(C885&lt;&gt;"",C885,IF(C884&lt;&gt;"",C884,IF(C883&lt;&gt;"",C883,0))))</f>
        <v/>
      </c>
      <c r="E886" s="12"/>
      <c r="F886" s="12"/>
      <c r="G886" s="9" t="str">
        <f>IF(AND(E886="",F886=""),"",IF(OR(E886&gt;1,F886&gt;1),(F886-E886)/100,F886-E886))</f>
        <v/>
      </c>
      <c r="H886" s="12" t="str">
        <f>IF(G886="","",64*G886)</f>
        <v/>
      </c>
      <c r="I886" s="13"/>
      <c r="J886" s="13" t="str">
        <f>IFERROR(IF(OR(D886="",D886=0),"",I886/D886*100),"")</f>
        <v/>
      </c>
      <c r="K886" s="14"/>
      <c r="L886" s="13" t="str">
        <f>IF(I886="","",I886*K886)</f>
        <v/>
      </c>
      <c r="M886" s="13" t="str">
        <f>IF(B886="","",IFERROR(SUMPRODUCT(ISNUMBER(B$3:B886)*(MONTH(IF(ISNUMBER(B$3:B886),B$3:B886,1))=MONTH(B886))*(YEAR(IF(ISNUMBER(B$3:B886),B$3:B886,1))=YEAR(B886))*IF(ISNUMBER(L$3:L886),L$3:L886,0)),""))</f>
        <v/>
      </c>
      <c r="N886" s="6"/>
      <c r="O886" s="7" t="str">
        <f>IF(AND(B886="",ISNUMBER(B887)),CHOOSE(MONTH(B887),"GENNAIO","FEBBRAIO","MARZO","APRILE","MAGGIO","GIUGNO","LUGLIO","AGOSTO","SETTEMBRE","OTTOBRE","NOVEMBRE","DICEMBRE")&amp;" "&amp;YEAR(B887),"")</f>
        <v/>
      </c>
      <c r="P886" s="12" t="str">
        <f>IF(K886=0.2,"CASA","")</f>
        <v/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" customHeight="1" x14ac:dyDescent="0.2">
      <c r="A887" s="5" t="str">
        <f>IF(AND(B887="",ISNUMBER(B888)),CHOOSE(MONTH(B888),"GENNAIO","FEBBRAIO","MARZO","APRILE","MAGGIO","GIUGNO","LUGLIO","AGOSTO","SETTEMBRE","OTTOBRE","NOVEMBRE","DICEMBRE")&amp;" "&amp;YEAR(B888),"")</f>
        <v/>
      </c>
      <c r="B887" s="11"/>
      <c r="C887" s="12"/>
      <c r="D887" s="12" t="str">
        <f>IF(C887="","",C887-IF(C886&lt;&gt;"",C886,IF(C885&lt;&gt;"",C885,IF(C884&lt;&gt;"",C884,0))))</f>
        <v/>
      </c>
      <c r="E887" s="12"/>
      <c r="F887" s="12"/>
      <c r="G887" s="9" t="str">
        <f>IF(AND(E887="",F887=""),"",IF(OR(E887&gt;1,F887&gt;1),(F887-E887)/100,F887-E887))</f>
        <v/>
      </c>
      <c r="H887" s="12" t="str">
        <f>IF(G887="","",64*G887)</f>
        <v/>
      </c>
      <c r="I887" s="13"/>
      <c r="J887" s="13" t="str">
        <f>IFERROR(IF(OR(D887="",D887=0),"",I887/D887*100),"")</f>
        <v/>
      </c>
      <c r="K887" s="14"/>
      <c r="L887" s="13" t="str">
        <f>IF(I887="","",I887*K887)</f>
        <v/>
      </c>
      <c r="M887" s="13" t="str">
        <f>IF(B887="","",IFERROR(SUMPRODUCT(ISNUMBER(B$3:B887)*(MONTH(IF(ISNUMBER(B$3:B887),B$3:B887,1))=MONTH(B887))*(YEAR(IF(ISNUMBER(B$3:B887),B$3:B887,1))=YEAR(B887))*IF(ISNUMBER(L$3:L887),L$3:L887,0)),""))</f>
        <v/>
      </c>
      <c r="N887" s="6"/>
      <c r="O887" s="7" t="str">
        <f>IF(AND(B887="",ISNUMBER(B888)),CHOOSE(MONTH(B888),"GENNAIO","FEBBRAIO","MARZO","APRILE","MAGGIO","GIUGNO","LUGLIO","AGOSTO","SETTEMBRE","OTTOBRE","NOVEMBRE","DICEMBRE")&amp;" "&amp;YEAR(B888),"")</f>
        <v/>
      </c>
      <c r="P887" s="12" t="str">
        <f>IF(K887=0.2,"CASA","")</f>
        <v/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" customHeight="1" x14ac:dyDescent="0.2">
      <c r="A888" s="5" t="str">
        <f>IF(AND(B888="",ISNUMBER(B889)),CHOOSE(MONTH(B889),"GENNAIO","FEBBRAIO","MARZO","APRILE","MAGGIO","GIUGNO","LUGLIO","AGOSTO","SETTEMBRE","OTTOBRE","NOVEMBRE","DICEMBRE")&amp;" "&amp;YEAR(B889),"")</f>
        <v/>
      </c>
      <c r="B888" s="11"/>
      <c r="C888" s="12"/>
      <c r="D888" s="12" t="str">
        <f>IF(C888="","",C888-IF(C887&lt;&gt;"",C887,IF(C886&lt;&gt;"",C886,IF(C885&lt;&gt;"",C885,0))))</f>
        <v/>
      </c>
      <c r="E888" s="12"/>
      <c r="F888" s="12"/>
      <c r="G888" s="9" t="str">
        <f>IF(AND(E888="",F888=""),"",IF(OR(E888&gt;1,F888&gt;1),(F888-E888)/100,F888-E888))</f>
        <v/>
      </c>
      <c r="H888" s="12" t="str">
        <f>IF(G888="","",64*G888)</f>
        <v/>
      </c>
      <c r="I888" s="13"/>
      <c r="J888" s="13" t="str">
        <f>IFERROR(IF(OR(D888="",D888=0),"",I888/D888*100),"")</f>
        <v/>
      </c>
      <c r="K888" s="14"/>
      <c r="L888" s="13" t="str">
        <f>IF(I888="","",I888*K888)</f>
        <v/>
      </c>
      <c r="M888" s="13" t="str">
        <f>IF(B888="","",IFERROR(SUMPRODUCT(ISNUMBER(B$3:B888)*(MONTH(IF(ISNUMBER(B$3:B888),B$3:B888,1))=MONTH(B888))*(YEAR(IF(ISNUMBER(B$3:B888),B$3:B888,1))=YEAR(B888))*IF(ISNUMBER(L$3:L888),L$3:L888,0)),""))</f>
        <v/>
      </c>
      <c r="N888" s="6"/>
      <c r="O888" s="7" t="str">
        <f>IF(AND(B888="",ISNUMBER(B889)),CHOOSE(MONTH(B889),"GENNAIO","FEBBRAIO","MARZO","APRILE","MAGGIO","GIUGNO","LUGLIO","AGOSTO","SETTEMBRE","OTTOBRE","NOVEMBRE","DICEMBRE")&amp;" "&amp;YEAR(B889),"")</f>
        <v/>
      </c>
      <c r="P888" s="12" t="str">
        <f>IF(K888=0.2,"CASA","")</f>
        <v/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" customHeight="1" x14ac:dyDescent="0.2">
      <c r="A889" s="5" t="str">
        <f>IF(AND(B889="",ISNUMBER(B890)),CHOOSE(MONTH(B890),"GENNAIO","FEBBRAIO","MARZO","APRILE","MAGGIO","GIUGNO","LUGLIO","AGOSTO","SETTEMBRE","OTTOBRE","NOVEMBRE","DICEMBRE")&amp;" "&amp;YEAR(B890),"")</f>
        <v/>
      </c>
      <c r="B889" s="11"/>
      <c r="C889" s="12"/>
      <c r="D889" s="12" t="str">
        <f>IF(C889="","",C889-IF(C888&lt;&gt;"",C888,IF(C887&lt;&gt;"",C887,IF(C886&lt;&gt;"",C886,0))))</f>
        <v/>
      </c>
      <c r="E889" s="12"/>
      <c r="F889" s="12"/>
      <c r="G889" s="9" t="str">
        <f>IF(AND(E889="",F889=""),"",IF(OR(E889&gt;1,F889&gt;1),(F889-E889)/100,F889-E889))</f>
        <v/>
      </c>
      <c r="H889" s="12" t="str">
        <f>IF(G889="","",64*G889)</f>
        <v/>
      </c>
      <c r="I889" s="13"/>
      <c r="J889" s="13" t="str">
        <f>IFERROR(IF(OR(D889="",D889=0),"",I889/D889*100),"")</f>
        <v/>
      </c>
      <c r="K889" s="14"/>
      <c r="L889" s="13" t="str">
        <f>IF(I889="","",I889*K889)</f>
        <v/>
      </c>
      <c r="M889" s="13" t="str">
        <f>IF(B889="","",IFERROR(SUMPRODUCT(ISNUMBER(B$3:B889)*(MONTH(IF(ISNUMBER(B$3:B889),B$3:B889,1))=MONTH(B889))*(YEAR(IF(ISNUMBER(B$3:B889),B$3:B889,1))=YEAR(B889))*IF(ISNUMBER(L$3:L889),L$3:L889,0)),""))</f>
        <v/>
      </c>
      <c r="N889" s="6"/>
      <c r="O889" s="7" t="str">
        <f>IF(AND(B889="",ISNUMBER(B890)),CHOOSE(MONTH(B890),"GENNAIO","FEBBRAIO","MARZO","APRILE","MAGGIO","GIUGNO","LUGLIO","AGOSTO","SETTEMBRE","OTTOBRE","NOVEMBRE","DICEMBRE")&amp;" "&amp;YEAR(B890),"")</f>
        <v/>
      </c>
      <c r="P889" s="12" t="str">
        <f>IF(K889=0.2,"CASA","")</f>
        <v/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" customHeight="1" x14ac:dyDescent="0.2">
      <c r="A890" s="5" t="str">
        <f>IF(AND(B890="",ISNUMBER(B891)),CHOOSE(MONTH(B891),"GENNAIO","FEBBRAIO","MARZO","APRILE","MAGGIO","GIUGNO","LUGLIO","AGOSTO","SETTEMBRE","OTTOBRE","NOVEMBRE","DICEMBRE")&amp;" "&amp;YEAR(B891),"")</f>
        <v/>
      </c>
      <c r="B890" s="11"/>
      <c r="C890" s="12"/>
      <c r="D890" s="12" t="str">
        <f>IF(C890="","",C890-IF(C889&lt;&gt;"",C889,IF(C888&lt;&gt;"",C888,IF(C887&lt;&gt;"",C887,0))))</f>
        <v/>
      </c>
      <c r="E890" s="12"/>
      <c r="F890" s="12"/>
      <c r="G890" s="9" t="str">
        <f>IF(AND(E890="",F890=""),"",IF(OR(E890&gt;1,F890&gt;1),(F890-E890)/100,F890-E890))</f>
        <v/>
      </c>
      <c r="H890" s="12" t="str">
        <f>IF(G890="","",64*G890)</f>
        <v/>
      </c>
      <c r="I890" s="13"/>
      <c r="J890" s="13" t="str">
        <f>IFERROR(IF(OR(D890="",D890=0),"",I890/D890*100),"")</f>
        <v/>
      </c>
      <c r="K890" s="14"/>
      <c r="L890" s="13" t="str">
        <f>IF(I890="","",I890*K890)</f>
        <v/>
      </c>
      <c r="M890" s="13" t="str">
        <f>IF(B890="","",IFERROR(SUMPRODUCT(ISNUMBER(B$3:B890)*(MONTH(IF(ISNUMBER(B$3:B890),B$3:B890,1))=MONTH(B890))*(YEAR(IF(ISNUMBER(B$3:B890),B$3:B890,1))=YEAR(B890))*IF(ISNUMBER(L$3:L890),L$3:L890,0)),""))</f>
        <v/>
      </c>
      <c r="N890" s="6"/>
      <c r="O890" s="7" t="str">
        <f>IF(AND(B890="",ISNUMBER(B891)),CHOOSE(MONTH(B891),"GENNAIO","FEBBRAIO","MARZO","APRILE","MAGGIO","GIUGNO","LUGLIO","AGOSTO","SETTEMBRE","OTTOBRE","NOVEMBRE","DICEMBRE")&amp;" "&amp;YEAR(B891),"")</f>
        <v/>
      </c>
      <c r="P890" s="12" t="str">
        <f>IF(K890=0.2,"CASA","")</f>
        <v/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" customHeight="1" x14ac:dyDescent="0.2">
      <c r="A891" s="5" t="str">
        <f>IF(AND(B891="",ISNUMBER(B892)),CHOOSE(MONTH(B892),"GENNAIO","FEBBRAIO","MARZO","APRILE","MAGGIO","GIUGNO","LUGLIO","AGOSTO","SETTEMBRE","OTTOBRE","NOVEMBRE","DICEMBRE")&amp;" "&amp;YEAR(B892),"")</f>
        <v/>
      </c>
      <c r="B891" s="11"/>
      <c r="C891" s="12"/>
      <c r="D891" s="12" t="str">
        <f>IF(C891="","",C891-IF(C890&lt;&gt;"",C890,IF(C889&lt;&gt;"",C889,IF(C888&lt;&gt;"",C888,0))))</f>
        <v/>
      </c>
      <c r="E891" s="12"/>
      <c r="F891" s="12"/>
      <c r="G891" s="9" t="str">
        <f>IF(AND(E891="",F891=""),"",IF(OR(E891&gt;1,F891&gt;1),(F891-E891)/100,F891-E891))</f>
        <v/>
      </c>
      <c r="H891" s="12" t="str">
        <f>IF(G891="","",64*G891)</f>
        <v/>
      </c>
      <c r="I891" s="13"/>
      <c r="J891" s="13" t="str">
        <f>IFERROR(IF(OR(D891="",D891=0),"",I891/D891*100),"")</f>
        <v/>
      </c>
      <c r="K891" s="14"/>
      <c r="L891" s="13" t="str">
        <f>IF(I891="","",I891*K891)</f>
        <v/>
      </c>
      <c r="M891" s="13" t="str">
        <f>IF(B891="","",IFERROR(SUMPRODUCT(ISNUMBER(B$3:B891)*(MONTH(IF(ISNUMBER(B$3:B891),B$3:B891,1))=MONTH(B891))*(YEAR(IF(ISNUMBER(B$3:B891),B$3:B891,1))=YEAR(B891))*IF(ISNUMBER(L$3:L891),L$3:L891,0)),""))</f>
        <v/>
      </c>
      <c r="N891" s="6"/>
      <c r="O891" s="7" t="str">
        <f>IF(AND(B891="",ISNUMBER(B892)),CHOOSE(MONTH(B892),"GENNAIO","FEBBRAIO","MARZO","APRILE","MAGGIO","GIUGNO","LUGLIO","AGOSTO","SETTEMBRE","OTTOBRE","NOVEMBRE","DICEMBRE")&amp;" "&amp;YEAR(B892),"")</f>
        <v/>
      </c>
      <c r="P891" s="12" t="str">
        <f>IF(K891=0.2,"CASA","")</f>
        <v/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" customHeight="1" x14ac:dyDescent="0.2">
      <c r="A892" s="5" t="str">
        <f>IF(AND(B892="",ISNUMBER(B893)),CHOOSE(MONTH(B893),"GENNAIO","FEBBRAIO","MARZO","APRILE","MAGGIO","GIUGNO","LUGLIO","AGOSTO","SETTEMBRE","OTTOBRE","NOVEMBRE","DICEMBRE")&amp;" "&amp;YEAR(B893),"")</f>
        <v/>
      </c>
      <c r="B892" s="11"/>
      <c r="C892" s="12"/>
      <c r="D892" s="12" t="str">
        <f>IF(C892="","",C892-IF(C891&lt;&gt;"",C891,IF(C890&lt;&gt;"",C890,IF(C889&lt;&gt;"",C889,0))))</f>
        <v/>
      </c>
      <c r="E892" s="12"/>
      <c r="F892" s="12"/>
      <c r="G892" s="9" t="str">
        <f>IF(AND(E892="",F892=""),"",IF(OR(E892&gt;1,F892&gt;1),(F892-E892)/100,F892-E892))</f>
        <v/>
      </c>
      <c r="H892" s="12" t="str">
        <f>IF(G892="","",64*G892)</f>
        <v/>
      </c>
      <c r="I892" s="13"/>
      <c r="J892" s="13" t="str">
        <f>IFERROR(IF(OR(D892="",D892=0),"",I892/D892*100),"")</f>
        <v/>
      </c>
      <c r="K892" s="14"/>
      <c r="L892" s="13" t="str">
        <f>IF(I892="","",I892*K892)</f>
        <v/>
      </c>
      <c r="M892" s="13" t="str">
        <f>IF(B892="","",IFERROR(SUMPRODUCT(ISNUMBER(B$3:B892)*(MONTH(IF(ISNUMBER(B$3:B892),B$3:B892,1))=MONTH(B892))*(YEAR(IF(ISNUMBER(B$3:B892),B$3:B892,1))=YEAR(B892))*IF(ISNUMBER(L$3:L892),L$3:L892,0)),""))</f>
        <v/>
      </c>
      <c r="N892" s="6"/>
      <c r="O892" s="7" t="str">
        <f>IF(AND(B892="",ISNUMBER(B893)),CHOOSE(MONTH(B893),"GENNAIO","FEBBRAIO","MARZO","APRILE","MAGGIO","GIUGNO","LUGLIO","AGOSTO","SETTEMBRE","OTTOBRE","NOVEMBRE","DICEMBRE")&amp;" "&amp;YEAR(B893),"")</f>
        <v/>
      </c>
      <c r="P892" s="12" t="str">
        <f>IF(K892=0.2,"CASA","")</f>
        <v/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" customHeight="1" x14ac:dyDescent="0.2">
      <c r="A893" s="5" t="str">
        <f>IF(AND(B893="",ISNUMBER(B894)),CHOOSE(MONTH(B894),"GENNAIO","FEBBRAIO","MARZO","APRILE","MAGGIO","GIUGNO","LUGLIO","AGOSTO","SETTEMBRE","OTTOBRE","NOVEMBRE","DICEMBRE")&amp;" "&amp;YEAR(B894),"")</f>
        <v/>
      </c>
      <c r="B893" s="11"/>
      <c r="C893" s="12"/>
      <c r="D893" s="12" t="str">
        <f>IF(C893="","",C893-IF(C892&lt;&gt;"",C892,IF(C891&lt;&gt;"",C891,IF(C890&lt;&gt;"",C890,0))))</f>
        <v/>
      </c>
      <c r="E893" s="12"/>
      <c r="F893" s="12"/>
      <c r="G893" s="9" t="str">
        <f>IF(AND(E893="",F893=""),"",IF(OR(E893&gt;1,F893&gt;1),(F893-E893)/100,F893-E893))</f>
        <v/>
      </c>
      <c r="H893" s="12" t="str">
        <f>IF(G893="","",64*G893)</f>
        <v/>
      </c>
      <c r="I893" s="13"/>
      <c r="J893" s="13" t="str">
        <f>IFERROR(IF(OR(D893="",D893=0),"",I893/D893*100),"")</f>
        <v/>
      </c>
      <c r="K893" s="14"/>
      <c r="L893" s="13" t="str">
        <f>IF(I893="","",I893*K893)</f>
        <v/>
      </c>
      <c r="M893" s="13" t="str">
        <f>IF(B893="","",IFERROR(SUMPRODUCT(ISNUMBER(B$3:B893)*(MONTH(IF(ISNUMBER(B$3:B893),B$3:B893,1))=MONTH(B893))*(YEAR(IF(ISNUMBER(B$3:B893),B$3:B893,1))=YEAR(B893))*IF(ISNUMBER(L$3:L893),L$3:L893,0)),""))</f>
        <v/>
      </c>
      <c r="N893" s="6"/>
      <c r="O893" s="7" t="str">
        <f>IF(AND(B893="",ISNUMBER(B894)),CHOOSE(MONTH(B894),"GENNAIO","FEBBRAIO","MARZO","APRILE","MAGGIO","GIUGNO","LUGLIO","AGOSTO","SETTEMBRE","OTTOBRE","NOVEMBRE","DICEMBRE")&amp;" "&amp;YEAR(B894),"")</f>
        <v/>
      </c>
      <c r="P893" s="12" t="str">
        <f>IF(K893=0.2,"CASA","")</f>
        <v/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" customHeight="1" x14ac:dyDescent="0.2">
      <c r="A894" s="5" t="str">
        <f>IF(AND(B894="",ISNUMBER(B895)),CHOOSE(MONTH(B895),"GENNAIO","FEBBRAIO","MARZO","APRILE","MAGGIO","GIUGNO","LUGLIO","AGOSTO","SETTEMBRE","OTTOBRE","NOVEMBRE","DICEMBRE")&amp;" "&amp;YEAR(B895),"")</f>
        <v/>
      </c>
      <c r="B894" s="11"/>
      <c r="C894" s="12"/>
      <c r="D894" s="12" t="str">
        <f>IF(C894="","",C894-IF(C893&lt;&gt;"",C893,IF(C892&lt;&gt;"",C892,IF(C891&lt;&gt;"",C891,0))))</f>
        <v/>
      </c>
      <c r="E894" s="12"/>
      <c r="F894" s="12"/>
      <c r="G894" s="9" t="str">
        <f>IF(AND(E894="",F894=""),"",IF(OR(E894&gt;1,F894&gt;1),(F894-E894)/100,F894-E894))</f>
        <v/>
      </c>
      <c r="H894" s="12" t="str">
        <f>IF(G894="","",64*G894)</f>
        <v/>
      </c>
      <c r="I894" s="13"/>
      <c r="J894" s="13" t="str">
        <f>IFERROR(IF(OR(D894="",D894=0),"",I894/D894*100),"")</f>
        <v/>
      </c>
      <c r="K894" s="14"/>
      <c r="L894" s="13" t="str">
        <f>IF(I894="","",I894*K894)</f>
        <v/>
      </c>
      <c r="M894" s="13" t="str">
        <f>IF(B894="","",IFERROR(SUMPRODUCT(ISNUMBER(B$3:B894)*(MONTH(IF(ISNUMBER(B$3:B894),B$3:B894,1))=MONTH(B894))*(YEAR(IF(ISNUMBER(B$3:B894),B$3:B894,1))=YEAR(B894))*IF(ISNUMBER(L$3:L894),L$3:L894,0)),""))</f>
        <v/>
      </c>
      <c r="N894" s="6"/>
      <c r="O894" s="7" t="str">
        <f>IF(AND(B894="",ISNUMBER(B895)),CHOOSE(MONTH(B895),"GENNAIO","FEBBRAIO","MARZO","APRILE","MAGGIO","GIUGNO","LUGLIO","AGOSTO","SETTEMBRE","OTTOBRE","NOVEMBRE","DICEMBRE")&amp;" "&amp;YEAR(B895),"")</f>
        <v/>
      </c>
      <c r="P894" s="12" t="str">
        <f>IF(K894=0.2,"CASA","")</f>
        <v/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" customHeight="1" x14ac:dyDescent="0.2">
      <c r="A895" s="5" t="str">
        <f>IF(AND(B895="",ISNUMBER(B896)),CHOOSE(MONTH(B896),"GENNAIO","FEBBRAIO","MARZO","APRILE","MAGGIO","GIUGNO","LUGLIO","AGOSTO","SETTEMBRE","OTTOBRE","NOVEMBRE","DICEMBRE")&amp;" "&amp;YEAR(B896),"")</f>
        <v/>
      </c>
      <c r="B895" s="11"/>
      <c r="C895" s="12"/>
      <c r="D895" s="12" t="str">
        <f>IF(C895="","",C895-IF(C894&lt;&gt;"",C894,IF(C893&lt;&gt;"",C893,IF(C892&lt;&gt;"",C892,0))))</f>
        <v/>
      </c>
      <c r="E895" s="12"/>
      <c r="F895" s="12"/>
      <c r="G895" s="9" t="str">
        <f>IF(AND(E895="",F895=""),"",IF(OR(E895&gt;1,F895&gt;1),(F895-E895)/100,F895-E895))</f>
        <v/>
      </c>
      <c r="H895" s="12" t="str">
        <f>IF(G895="","",64*G895)</f>
        <v/>
      </c>
      <c r="I895" s="13"/>
      <c r="J895" s="13" t="str">
        <f>IFERROR(IF(OR(D895="",D895=0),"",I895/D895*100),"")</f>
        <v/>
      </c>
      <c r="K895" s="14"/>
      <c r="L895" s="13" t="str">
        <f>IF(I895="","",I895*K895)</f>
        <v/>
      </c>
      <c r="M895" s="13" t="str">
        <f>IF(B895="","",IFERROR(SUMPRODUCT(ISNUMBER(B$3:B895)*(MONTH(IF(ISNUMBER(B$3:B895),B$3:B895,1))=MONTH(B895))*(YEAR(IF(ISNUMBER(B$3:B895),B$3:B895,1))=YEAR(B895))*IF(ISNUMBER(L$3:L895),L$3:L895,0)),""))</f>
        <v/>
      </c>
      <c r="N895" s="6"/>
      <c r="O895" s="7" t="str">
        <f>IF(AND(B895="",ISNUMBER(B896)),CHOOSE(MONTH(B896),"GENNAIO","FEBBRAIO","MARZO","APRILE","MAGGIO","GIUGNO","LUGLIO","AGOSTO","SETTEMBRE","OTTOBRE","NOVEMBRE","DICEMBRE")&amp;" "&amp;YEAR(B896),"")</f>
        <v/>
      </c>
      <c r="P895" s="12" t="str">
        <f>IF(K895=0.2,"CASA","")</f>
        <v/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" customHeight="1" x14ac:dyDescent="0.2">
      <c r="A896" s="5" t="str">
        <f>IF(AND(B896="",ISNUMBER(B897)),CHOOSE(MONTH(B897),"GENNAIO","FEBBRAIO","MARZO","APRILE","MAGGIO","GIUGNO","LUGLIO","AGOSTO","SETTEMBRE","OTTOBRE","NOVEMBRE","DICEMBRE")&amp;" "&amp;YEAR(B897),"")</f>
        <v/>
      </c>
      <c r="B896" s="11"/>
      <c r="C896" s="12"/>
      <c r="D896" s="12" t="str">
        <f>IF(C896="","",C896-IF(C895&lt;&gt;"",C895,IF(C894&lt;&gt;"",C894,IF(C893&lt;&gt;"",C893,0))))</f>
        <v/>
      </c>
      <c r="E896" s="12"/>
      <c r="F896" s="12"/>
      <c r="G896" s="9" t="str">
        <f>IF(AND(E896="",F896=""),"",IF(OR(E896&gt;1,F896&gt;1),(F896-E896)/100,F896-E896))</f>
        <v/>
      </c>
      <c r="H896" s="12" t="str">
        <f>IF(G896="","",64*G896)</f>
        <v/>
      </c>
      <c r="I896" s="13"/>
      <c r="J896" s="13" t="str">
        <f>IFERROR(IF(OR(D896="",D896=0),"",I896/D896*100),"")</f>
        <v/>
      </c>
      <c r="K896" s="14"/>
      <c r="L896" s="13" t="str">
        <f>IF(I896="","",I896*K896)</f>
        <v/>
      </c>
      <c r="M896" s="13" t="str">
        <f>IF(B896="","",IFERROR(SUMPRODUCT(ISNUMBER(B$3:B896)*(MONTH(IF(ISNUMBER(B$3:B896),B$3:B896,1))=MONTH(B896))*(YEAR(IF(ISNUMBER(B$3:B896),B$3:B896,1))=YEAR(B896))*IF(ISNUMBER(L$3:L896),L$3:L896,0)),""))</f>
        <v/>
      </c>
      <c r="N896" s="6"/>
      <c r="O896" s="7" t="str">
        <f>IF(AND(B896="",ISNUMBER(B897)),CHOOSE(MONTH(B897),"GENNAIO","FEBBRAIO","MARZO","APRILE","MAGGIO","GIUGNO","LUGLIO","AGOSTO","SETTEMBRE","OTTOBRE","NOVEMBRE","DICEMBRE")&amp;" "&amp;YEAR(B897),"")</f>
        <v/>
      </c>
      <c r="P896" s="12" t="str">
        <f>IF(K896=0.2,"CASA","")</f>
        <v/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" customHeight="1" x14ac:dyDescent="0.2">
      <c r="A897" s="5" t="str">
        <f>IF(AND(B897="",ISNUMBER(B898)),CHOOSE(MONTH(B898),"GENNAIO","FEBBRAIO","MARZO","APRILE","MAGGIO","GIUGNO","LUGLIO","AGOSTO","SETTEMBRE","OTTOBRE","NOVEMBRE","DICEMBRE")&amp;" "&amp;YEAR(B898),"")</f>
        <v/>
      </c>
      <c r="B897" s="11"/>
      <c r="C897" s="12"/>
      <c r="D897" s="12" t="str">
        <f>IF(C897="","",C897-IF(C896&lt;&gt;"",C896,IF(C895&lt;&gt;"",C895,IF(C894&lt;&gt;"",C894,0))))</f>
        <v/>
      </c>
      <c r="E897" s="12"/>
      <c r="F897" s="12"/>
      <c r="G897" s="9" t="str">
        <f>IF(AND(E897="",F897=""),"",IF(OR(E897&gt;1,F897&gt;1),(F897-E897)/100,F897-E897))</f>
        <v/>
      </c>
      <c r="H897" s="12" t="str">
        <f>IF(G897="","",64*G897)</f>
        <v/>
      </c>
      <c r="I897" s="13"/>
      <c r="J897" s="13" t="str">
        <f>IFERROR(IF(OR(D897="",D897=0),"",I897/D897*100),"")</f>
        <v/>
      </c>
      <c r="K897" s="14"/>
      <c r="L897" s="13" t="str">
        <f>IF(I897="","",I897*K897)</f>
        <v/>
      </c>
      <c r="M897" s="13" t="str">
        <f>IF(B897="","",IFERROR(SUMPRODUCT(ISNUMBER(B$3:B897)*(MONTH(IF(ISNUMBER(B$3:B897),B$3:B897,1))=MONTH(B897))*(YEAR(IF(ISNUMBER(B$3:B897),B$3:B897,1))=YEAR(B897))*IF(ISNUMBER(L$3:L897),L$3:L897,0)),""))</f>
        <v/>
      </c>
      <c r="N897" s="6"/>
      <c r="O897" s="7" t="str">
        <f>IF(AND(B897="",ISNUMBER(B898)),CHOOSE(MONTH(B898),"GENNAIO","FEBBRAIO","MARZO","APRILE","MAGGIO","GIUGNO","LUGLIO","AGOSTO","SETTEMBRE","OTTOBRE","NOVEMBRE","DICEMBRE")&amp;" "&amp;YEAR(B898),"")</f>
        <v/>
      </c>
      <c r="P897" s="12" t="str">
        <f>IF(K897=0.2,"CASA","")</f>
        <v/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" customHeight="1" x14ac:dyDescent="0.2">
      <c r="A898" s="5" t="str">
        <f>IF(AND(B898="",ISNUMBER(B899)),CHOOSE(MONTH(B899),"GENNAIO","FEBBRAIO","MARZO","APRILE","MAGGIO","GIUGNO","LUGLIO","AGOSTO","SETTEMBRE","OTTOBRE","NOVEMBRE","DICEMBRE")&amp;" "&amp;YEAR(B899),"")</f>
        <v/>
      </c>
      <c r="B898" s="11"/>
      <c r="C898" s="12"/>
      <c r="D898" s="12" t="str">
        <f>IF(C898="","",C898-IF(C897&lt;&gt;"",C897,IF(C896&lt;&gt;"",C896,IF(C895&lt;&gt;"",C895,0))))</f>
        <v/>
      </c>
      <c r="E898" s="12"/>
      <c r="F898" s="12"/>
      <c r="G898" s="9" t="str">
        <f>IF(AND(E898="",F898=""),"",IF(OR(E898&gt;1,F898&gt;1),(F898-E898)/100,F898-E898))</f>
        <v/>
      </c>
      <c r="H898" s="12" t="str">
        <f>IF(G898="","",64*G898)</f>
        <v/>
      </c>
      <c r="I898" s="13"/>
      <c r="J898" s="13" t="str">
        <f>IFERROR(IF(OR(D898="",D898=0),"",I898/D898*100),"")</f>
        <v/>
      </c>
      <c r="K898" s="14"/>
      <c r="L898" s="13" t="str">
        <f>IF(I898="","",I898*K898)</f>
        <v/>
      </c>
      <c r="M898" s="13" t="str">
        <f>IF(B898="","",IFERROR(SUMPRODUCT(ISNUMBER(B$3:B898)*(MONTH(IF(ISNUMBER(B$3:B898),B$3:B898,1))=MONTH(B898))*(YEAR(IF(ISNUMBER(B$3:B898),B$3:B898,1))=YEAR(B898))*IF(ISNUMBER(L$3:L898),L$3:L898,0)),""))</f>
        <v/>
      </c>
      <c r="N898" s="6"/>
      <c r="O898" s="7" t="str">
        <f>IF(AND(B898="",ISNUMBER(B899)),CHOOSE(MONTH(B899),"GENNAIO","FEBBRAIO","MARZO","APRILE","MAGGIO","GIUGNO","LUGLIO","AGOSTO","SETTEMBRE","OTTOBRE","NOVEMBRE","DICEMBRE")&amp;" "&amp;YEAR(B899),"")</f>
        <v/>
      </c>
      <c r="P898" s="12" t="str">
        <f>IF(K898=0.2,"CASA","")</f>
        <v/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" customHeight="1" x14ac:dyDescent="0.2">
      <c r="A899" s="5" t="str">
        <f>IF(AND(B899="",ISNUMBER(B900)),CHOOSE(MONTH(B900),"GENNAIO","FEBBRAIO","MARZO","APRILE","MAGGIO","GIUGNO","LUGLIO","AGOSTO","SETTEMBRE","OTTOBRE","NOVEMBRE","DICEMBRE")&amp;" "&amp;YEAR(B900),"")</f>
        <v/>
      </c>
      <c r="B899" s="11"/>
      <c r="C899" s="12"/>
      <c r="D899" s="12" t="str">
        <f>IF(C899="","",C899-IF(C898&lt;&gt;"",C898,IF(C897&lt;&gt;"",C897,IF(C896&lt;&gt;"",C896,0))))</f>
        <v/>
      </c>
      <c r="E899" s="12"/>
      <c r="F899" s="12"/>
      <c r="G899" s="9" t="str">
        <f>IF(AND(E899="",F899=""),"",IF(OR(E899&gt;1,F899&gt;1),(F899-E899)/100,F899-E899))</f>
        <v/>
      </c>
      <c r="H899" s="12" t="str">
        <f>IF(G899="","",64*G899)</f>
        <v/>
      </c>
      <c r="I899" s="13"/>
      <c r="J899" s="13" t="str">
        <f>IFERROR(IF(OR(D899="",D899=0),"",I899/D899*100),"")</f>
        <v/>
      </c>
      <c r="K899" s="14"/>
      <c r="L899" s="13" t="str">
        <f>IF(I899="","",I899*K899)</f>
        <v/>
      </c>
      <c r="M899" s="13" t="str">
        <f>IF(B899="","",IFERROR(SUMPRODUCT(ISNUMBER(B$3:B899)*(MONTH(IF(ISNUMBER(B$3:B899),B$3:B899,1))=MONTH(B899))*(YEAR(IF(ISNUMBER(B$3:B899),B$3:B899,1))=YEAR(B899))*IF(ISNUMBER(L$3:L899),L$3:L899,0)),""))</f>
        <v/>
      </c>
      <c r="N899" s="6"/>
      <c r="O899" s="7" t="str">
        <f>IF(AND(B899="",ISNUMBER(B900)),CHOOSE(MONTH(B900),"GENNAIO","FEBBRAIO","MARZO","APRILE","MAGGIO","GIUGNO","LUGLIO","AGOSTO","SETTEMBRE","OTTOBRE","NOVEMBRE","DICEMBRE")&amp;" "&amp;YEAR(B900),"")</f>
        <v/>
      </c>
      <c r="P899" s="12" t="str">
        <f>IF(K899=0.2,"CASA","")</f>
        <v/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" customHeight="1" x14ac:dyDescent="0.2">
      <c r="A900" s="5" t="str">
        <f>IF(AND(B900="",ISNUMBER(B901)),CHOOSE(MONTH(B901),"GENNAIO","FEBBRAIO","MARZO","APRILE","MAGGIO","GIUGNO","LUGLIO","AGOSTO","SETTEMBRE","OTTOBRE","NOVEMBRE","DICEMBRE")&amp;" "&amp;YEAR(B901),"")</f>
        <v/>
      </c>
      <c r="B900" s="11"/>
      <c r="C900" s="12"/>
      <c r="D900" s="12" t="str">
        <f>IF(C900="","",C900-IF(C899&lt;&gt;"",C899,IF(C898&lt;&gt;"",C898,IF(C897&lt;&gt;"",C897,0))))</f>
        <v/>
      </c>
      <c r="E900" s="12"/>
      <c r="F900" s="12"/>
      <c r="G900" s="9" t="str">
        <f>IF(AND(E900="",F900=""),"",IF(OR(E900&gt;1,F900&gt;1),(F900-E900)/100,F900-E900))</f>
        <v/>
      </c>
      <c r="H900" s="12" t="str">
        <f>IF(G900="","",64*G900)</f>
        <v/>
      </c>
      <c r="I900" s="13"/>
      <c r="J900" s="13" t="str">
        <f>IFERROR(IF(OR(D900="",D900=0),"",I900/D900*100),"")</f>
        <v/>
      </c>
      <c r="K900" s="14"/>
      <c r="L900" s="13" t="str">
        <f>IF(I900="","",I900*K900)</f>
        <v/>
      </c>
      <c r="M900" s="13" t="str">
        <f>IF(B900="","",IFERROR(SUMPRODUCT(ISNUMBER(B$3:B900)*(MONTH(IF(ISNUMBER(B$3:B900),B$3:B900,1))=MONTH(B900))*(YEAR(IF(ISNUMBER(B$3:B900),B$3:B900,1))=YEAR(B900))*IF(ISNUMBER(L$3:L900),L$3:L900,0)),""))</f>
        <v/>
      </c>
      <c r="N900" s="6"/>
      <c r="O900" s="7" t="str">
        <f>IF(AND(B900="",ISNUMBER(B901)),CHOOSE(MONTH(B901),"GENNAIO","FEBBRAIO","MARZO","APRILE","MAGGIO","GIUGNO","LUGLIO","AGOSTO","SETTEMBRE","OTTOBRE","NOVEMBRE","DICEMBRE")&amp;" "&amp;YEAR(B901),"")</f>
        <v/>
      </c>
      <c r="P900" s="12" t="str">
        <f>IF(K900=0.2,"CASA","")</f>
        <v/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" customHeight="1" x14ac:dyDescent="0.2">
      <c r="A901" s="5" t="str">
        <f>IF(AND(B901="",ISNUMBER(B902)),CHOOSE(MONTH(B902),"GENNAIO","FEBBRAIO","MARZO","APRILE","MAGGIO","GIUGNO","LUGLIO","AGOSTO","SETTEMBRE","OTTOBRE","NOVEMBRE","DICEMBRE")&amp;" "&amp;YEAR(B902),"")</f>
        <v/>
      </c>
      <c r="B901" s="11"/>
      <c r="C901" s="12"/>
      <c r="D901" s="12" t="str">
        <f>IF(C901="","",C901-IF(C900&lt;&gt;"",C900,IF(C899&lt;&gt;"",C899,IF(C898&lt;&gt;"",C898,0))))</f>
        <v/>
      </c>
      <c r="E901" s="12"/>
      <c r="F901" s="12"/>
      <c r="G901" s="9" t="str">
        <f>IF(AND(E901="",F901=""),"",IF(OR(E901&gt;1,F901&gt;1),(F901-E901)/100,F901-E901))</f>
        <v/>
      </c>
      <c r="H901" s="12" t="str">
        <f>IF(G901="","",64*G901)</f>
        <v/>
      </c>
      <c r="I901" s="13"/>
      <c r="J901" s="13" t="str">
        <f>IFERROR(IF(OR(D901="",D901=0),"",I901/D901*100),"")</f>
        <v/>
      </c>
      <c r="K901" s="14"/>
      <c r="L901" s="13" t="str">
        <f>IF(I901="","",I901*K901)</f>
        <v/>
      </c>
      <c r="M901" s="13" t="str">
        <f>IF(B901="","",IFERROR(SUMPRODUCT(ISNUMBER(B$3:B901)*(MONTH(IF(ISNUMBER(B$3:B901),B$3:B901,1))=MONTH(B901))*(YEAR(IF(ISNUMBER(B$3:B901),B$3:B901,1))=YEAR(B901))*IF(ISNUMBER(L$3:L901),L$3:L901,0)),""))</f>
        <v/>
      </c>
      <c r="N901" s="6"/>
      <c r="O901" s="7" t="str">
        <f>IF(AND(B901="",ISNUMBER(B902)),CHOOSE(MONTH(B902),"GENNAIO","FEBBRAIO","MARZO","APRILE","MAGGIO","GIUGNO","LUGLIO","AGOSTO","SETTEMBRE","OTTOBRE","NOVEMBRE","DICEMBRE")&amp;" "&amp;YEAR(B902),"")</f>
        <v/>
      </c>
      <c r="P901" s="12" t="str">
        <f>IF(K901=0.2,"CASA","")</f>
        <v/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" customHeight="1" x14ac:dyDescent="0.2">
      <c r="A902" s="5" t="str">
        <f>IF(AND(B902="",ISNUMBER(B903)),CHOOSE(MONTH(B903),"GENNAIO","FEBBRAIO","MARZO","APRILE","MAGGIO","GIUGNO","LUGLIO","AGOSTO","SETTEMBRE","OTTOBRE","NOVEMBRE","DICEMBRE")&amp;" "&amp;YEAR(B903),"")</f>
        <v/>
      </c>
      <c r="B902" s="11"/>
      <c r="C902" s="12"/>
      <c r="D902" s="12" t="str">
        <f>IF(C902="","",C902-IF(C901&lt;&gt;"",C901,IF(C900&lt;&gt;"",C900,IF(C899&lt;&gt;"",C899,0))))</f>
        <v/>
      </c>
      <c r="E902" s="12"/>
      <c r="F902" s="12"/>
      <c r="G902" s="9" t="str">
        <f>IF(AND(E902="",F902=""),"",IF(OR(E902&gt;1,F902&gt;1),(F902-E902)/100,F902-E902))</f>
        <v/>
      </c>
      <c r="H902" s="12" t="str">
        <f>IF(G902="","",64*G902)</f>
        <v/>
      </c>
      <c r="I902" s="13"/>
      <c r="J902" s="13" t="str">
        <f>IFERROR(IF(OR(D902="",D902=0),"",I902/D902*100),"")</f>
        <v/>
      </c>
      <c r="K902" s="14"/>
      <c r="L902" s="13" t="str">
        <f>IF(I902="","",I902*K902)</f>
        <v/>
      </c>
      <c r="M902" s="13" t="str">
        <f>IF(B902="","",IFERROR(SUMPRODUCT(ISNUMBER(B$3:B902)*(MONTH(IF(ISNUMBER(B$3:B902),B$3:B902,1))=MONTH(B902))*(YEAR(IF(ISNUMBER(B$3:B902),B$3:B902,1))=YEAR(B902))*IF(ISNUMBER(L$3:L902),L$3:L902,0)),""))</f>
        <v/>
      </c>
      <c r="N902" s="6"/>
      <c r="O902" s="7" t="str">
        <f>IF(AND(B902="",ISNUMBER(B903)),CHOOSE(MONTH(B903),"GENNAIO","FEBBRAIO","MARZO","APRILE","MAGGIO","GIUGNO","LUGLIO","AGOSTO","SETTEMBRE","OTTOBRE","NOVEMBRE","DICEMBRE")&amp;" "&amp;YEAR(B903),"")</f>
        <v/>
      </c>
      <c r="P902" s="12" t="str">
        <f>IF(K902=0.2,"CASA","")</f>
        <v/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" customHeight="1" x14ac:dyDescent="0.2">
      <c r="A903" s="5" t="str">
        <f>IF(AND(B903="",ISNUMBER(B904)),CHOOSE(MONTH(B904),"GENNAIO","FEBBRAIO","MARZO","APRILE","MAGGIO","GIUGNO","LUGLIO","AGOSTO","SETTEMBRE","OTTOBRE","NOVEMBRE","DICEMBRE")&amp;" "&amp;YEAR(B904),"")</f>
        <v/>
      </c>
      <c r="B903" s="11"/>
      <c r="C903" s="12"/>
      <c r="D903" s="12" t="str">
        <f>IF(C903="","",C903-IF(C902&lt;&gt;"",C902,IF(C901&lt;&gt;"",C901,IF(C900&lt;&gt;"",C900,0))))</f>
        <v/>
      </c>
      <c r="E903" s="12"/>
      <c r="F903" s="12"/>
      <c r="G903" s="9" t="str">
        <f>IF(AND(E903="",F903=""),"",IF(OR(E903&gt;1,F903&gt;1),(F903-E903)/100,F903-E903))</f>
        <v/>
      </c>
      <c r="H903" s="12" t="str">
        <f>IF(G903="","",64*G903)</f>
        <v/>
      </c>
      <c r="I903" s="13"/>
      <c r="J903" s="13" t="str">
        <f>IFERROR(IF(OR(D903="",D903=0),"",I903/D903*100),"")</f>
        <v/>
      </c>
      <c r="K903" s="14"/>
      <c r="L903" s="13" t="str">
        <f>IF(I903="","",I903*K903)</f>
        <v/>
      </c>
      <c r="M903" s="13" t="str">
        <f>IF(B903="","",IFERROR(SUMPRODUCT(ISNUMBER(B$3:B903)*(MONTH(IF(ISNUMBER(B$3:B903),B$3:B903,1))=MONTH(B903))*(YEAR(IF(ISNUMBER(B$3:B903),B$3:B903,1))=YEAR(B903))*IF(ISNUMBER(L$3:L903),L$3:L903,0)),""))</f>
        <v/>
      </c>
      <c r="N903" s="6"/>
      <c r="O903" s="7" t="str">
        <f>IF(AND(B903="",ISNUMBER(B904)),CHOOSE(MONTH(B904),"GENNAIO","FEBBRAIO","MARZO","APRILE","MAGGIO","GIUGNO","LUGLIO","AGOSTO","SETTEMBRE","OTTOBRE","NOVEMBRE","DICEMBRE")&amp;" "&amp;YEAR(B904),"")</f>
        <v/>
      </c>
      <c r="P903" s="12" t="str">
        <f>IF(K903=0.2,"CASA","")</f>
        <v/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" customHeight="1" x14ac:dyDescent="0.2">
      <c r="A904" s="5" t="str">
        <f>IF(AND(B904="",ISNUMBER(B905)),CHOOSE(MONTH(B905),"GENNAIO","FEBBRAIO","MARZO","APRILE","MAGGIO","GIUGNO","LUGLIO","AGOSTO","SETTEMBRE","OTTOBRE","NOVEMBRE","DICEMBRE")&amp;" "&amp;YEAR(B905),"")</f>
        <v/>
      </c>
      <c r="B904" s="11"/>
      <c r="C904" s="12"/>
      <c r="D904" s="12" t="str">
        <f>IF(C904="","",C904-IF(C903&lt;&gt;"",C903,IF(C902&lt;&gt;"",C902,IF(C901&lt;&gt;"",C901,0))))</f>
        <v/>
      </c>
      <c r="E904" s="12"/>
      <c r="F904" s="12"/>
      <c r="G904" s="9" t="str">
        <f>IF(AND(E904="",F904=""),"",IF(OR(E904&gt;1,F904&gt;1),(F904-E904)/100,F904-E904))</f>
        <v/>
      </c>
      <c r="H904" s="12" t="str">
        <f>IF(G904="","",64*G904)</f>
        <v/>
      </c>
      <c r="I904" s="13"/>
      <c r="J904" s="13" t="str">
        <f>IFERROR(IF(OR(D904="",D904=0),"",I904/D904*100),"")</f>
        <v/>
      </c>
      <c r="K904" s="14"/>
      <c r="L904" s="13" t="str">
        <f>IF(I904="","",I904*K904)</f>
        <v/>
      </c>
      <c r="M904" s="13" t="str">
        <f>IF(B904="","",IFERROR(SUMPRODUCT(ISNUMBER(B$3:B904)*(MONTH(IF(ISNUMBER(B$3:B904),B$3:B904,1))=MONTH(B904))*(YEAR(IF(ISNUMBER(B$3:B904),B$3:B904,1))=YEAR(B904))*IF(ISNUMBER(L$3:L904),L$3:L904,0)),""))</f>
        <v/>
      </c>
      <c r="N904" s="6"/>
      <c r="O904" s="7" t="str">
        <f>IF(AND(B904="",ISNUMBER(B905)),CHOOSE(MONTH(B905),"GENNAIO","FEBBRAIO","MARZO","APRILE","MAGGIO","GIUGNO","LUGLIO","AGOSTO","SETTEMBRE","OTTOBRE","NOVEMBRE","DICEMBRE")&amp;" "&amp;YEAR(B905),"")</f>
        <v/>
      </c>
      <c r="P904" s="12" t="str">
        <f>IF(K904=0.2,"CASA","")</f>
        <v/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" customHeight="1" x14ac:dyDescent="0.2">
      <c r="A905" s="5" t="str">
        <f>IF(AND(B905="",ISNUMBER(B906)),CHOOSE(MONTH(B906),"GENNAIO","FEBBRAIO","MARZO","APRILE","MAGGIO","GIUGNO","LUGLIO","AGOSTO","SETTEMBRE","OTTOBRE","NOVEMBRE","DICEMBRE")&amp;" "&amp;YEAR(B906),"")</f>
        <v/>
      </c>
      <c r="B905" s="11"/>
      <c r="C905" s="12"/>
      <c r="D905" s="12" t="str">
        <f>IF(C905="","",C905-IF(C904&lt;&gt;"",C904,IF(C903&lt;&gt;"",C903,IF(C902&lt;&gt;"",C902,0))))</f>
        <v/>
      </c>
      <c r="E905" s="12"/>
      <c r="F905" s="12"/>
      <c r="G905" s="9" t="str">
        <f>IF(AND(E905="",F905=""),"",IF(OR(E905&gt;1,F905&gt;1),(F905-E905)/100,F905-E905))</f>
        <v/>
      </c>
      <c r="H905" s="12" t="str">
        <f>IF(G905="","",64*G905)</f>
        <v/>
      </c>
      <c r="I905" s="13"/>
      <c r="J905" s="13" t="str">
        <f>IFERROR(IF(OR(D905="",D905=0),"",I905/D905*100),"")</f>
        <v/>
      </c>
      <c r="K905" s="14"/>
      <c r="L905" s="13" t="str">
        <f>IF(I905="","",I905*K905)</f>
        <v/>
      </c>
      <c r="M905" s="13" t="str">
        <f>IF(B905="","",IFERROR(SUMPRODUCT(ISNUMBER(B$3:B905)*(MONTH(IF(ISNUMBER(B$3:B905),B$3:B905,1))=MONTH(B905))*(YEAR(IF(ISNUMBER(B$3:B905),B$3:B905,1))=YEAR(B905))*IF(ISNUMBER(L$3:L905),L$3:L905,0)),""))</f>
        <v/>
      </c>
      <c r="N905" s="6"/>
      <c r="O905" s="7" t="str">
        <f>IF(AND(B905="",ISNUMBER(B906)),CHOOSE(MONTH(B906),"GENNAIO","FEBBRAIO","MARZO","APRILE","MAGGIO","GIUGNO","LUGLIO","AGOSTO","SETTEMBRE","OTTOBRE","NOVEMBRE","DICEMBRE")&amp;" "&amp;YEAR(B906),"")</f>
        <v/>
      </c>
      <c r="P905" s="12" t="str">
        <f>IF(K905=0.2,"CASA","")</f>
        <v/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" customHeight="1" x14ac:dyDescent="0.2">
      <c r="A906" s="5" t="str">
        <f>IF(AND(B906="",ISNUMBER(B907)),CHOOSE(MONTH(B907),"GENNAIO","FEBBRAIO","MARZO","APRILE","MAGGIO","GIUGNO","LUGLIO","AGOSTO","SETTEMBRE","OTTOBRE","NOVEMBRE","DICEMBRE")&amp;" "&amp;YEAR(B907),"")</f>
        <v/>
      </c>
      <c r="B906" s="11"/>
      <c r="C906" s="12"/>
      <c r="D906" s="12" t="str">
        <f>IF(C906="","",C906-IF(C905&lt;&gt;"",C905,IF(C904&lt;&gt;"",C904,IF(C903&lt;&gt;"",C903,0))))</f>
        <v/>
      </c>
      <c r="E906" s="12"/>
      <c r="F906" s="12"/>
      <c r="G906" s="9" t="str">
        <f>IF(AND(E906="",F906=""),"",IF(OR(E906&gt;1,F906&gt;1),(F906-E906)/100,F906-E906))</f>
        <v/>
      </c>
      <c r="H906" s="12" t="str">
        <f>IF(G906="","",64*G906)</f>
        <v/>
      </c>
      <c r="I906" s="13"/>
      <c r="J906" s="13" t="str">
        <f>IFERROR(IF(OR(D906="",D906=0),"",I906/D906*100),"")</f>
        <v/>
      </c>
      <c r="K906" s="14"/>
      <c r="L906" s="13" t="str">
        <f>IF(I906="","",I906*K906)</f>
        <v/>
      </c>
      <c r="M906" s="13" t="str">
        <f>IF(B906="","",IFERROR(SUMPRODUCT(ISNUMBER(B$3:B906)*(MONTH(IF(ISNUMBER(B$3:B906),B$3:B906,1))=MONTH(B906))*(YEAR(IF(ISNUMBER(B$3:B906),B$3:B906,1))=YEAR(B906))*IF(ISNUMBER(L$3:L906),L$3:L906,0)),""))</f>
        <v/>
      </c>
      <c r="N906" s="6"/>
      <c r="O906" s="7" t="str">
        <f>IF(AND(B906="",ISNUMBER(B907)),CHOOSE(MONTH(B907),"GENNAIO","FEBBRAIO","MARZO","APRILE","MAGGIO","GIUGNO","LUGLIO","AGOSTO","SETTEMBRE","OTTOBRE","NOVEMBRE","DICEMBRE")&amp;" "&amp;YEAR(B907),"")</f>
        <v/>
      </c>
      <c r="P906" s="12" t="str">
        <f>IF(K906=0.2,"CASA","")</f>
        <v/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" customHeight="1" x14ac:dyDescent="0.2">
      <c r="A907" s="5" t="str">
        <f>IF(AND(B907="",ISNUMBER(B908)),CHOOSE(MONTH(B908),"GENNAIO","FEBBRAIO","MARZO","APRILE","MAGGIO","GIUGNO","LUGLIO","AGOSTO","SETTEMBRE","OTTOBRE","NOVEMBRE","DICEMBRE")&amp;" "&amp;YEAR(B908),"")</f>
        <v/>
      </c>
      <c r="B907" s="11"/>
      <c r="C907" s="12"/>
      <c r="D907" s="12" t="str">
        <f>IF(C907="","",C907-IF(C906&lt;&gt;"",C906,IF(C905&lt;&gt;"",C905,IF(C904&lt;&gt;"",C904,0))))</f>
        <v/>
      </c>
      <c r="E907" s="12"/>
      <c r="F907" s="12"/>
      <c r="G907" s="9" t="str">
        <f>IF(AND(E907="",F907=""),"",IF(OR(E907&gt;1,F907&gt;1),(F907-E907)/100,F907-E907))</f>
        <v/>
      </c>
      <c r="H907" s="12" t="str">
        <f>IF(G907="","",64*G907)</f>
        <v/>
      </c>
      <c r="I907" s="13"/>
      <c r="J907" s="13" t="str">
        <f>IFERROR(IF(OR(D907="",D907=0),"",I907/D907*100),"")</f>
        <v/>
      </c>
      <c r="K907" s="14"/>
      <c r="L907" s="13" t="str">
        <f>IF(I907="","",I907*K907)</f>
        <v/>
      </c>
      <c r="M907" s="13" t="str">
        <f>IF(B907="","",IFERROR(SUMPRODUCT(ISNUMBER(B$3:B907)*(MONTH(IF(ISNUMBER(B$3:B907),B$3:B907,1))=MONTH(B907))*(YEAR(IF(ISNUMBER(B$3:B907),B$3:B907,1))=YEAR(B907))*IF(ISNUMBER(L$3:L907),L$3:L907,0)),""))</f>
        <v/>
      </c>
      <c r="N907" s="6"/>
      <c r="O907" s="7" t="str">
        <f>IF(AND(B907="",ISNUMBER(B908)),CHOOSE(MONTH(B908),"GENNAIO","FEBBRAIO","MARZO","APRILE","MAGGIO","GIUGNO","LUGLIO","AGOSTO","SETTEMBRE","OTTOBRE","NOVEMBRE","DICEMBRE")&amp;" "&amp;YEAR(B908),"")</f>
        <v/>
      </c>
      <c r="P907" s="12" t="str">
        <f>IF(K907=0.2,"CASA","")</f>
        <v/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" customHeight="1" x14ac:dyDescent="0.2">
      <c r="A908" s="5" t="str">
        <f>IF(AND(B908="",ISNUMBER(B909)),CHOOSE(MONTH(B909),"GENNAIO","FEBBRAIO","MARZO","APRILE","MAGGIO","GIUGNO","LUGLIO","AGOSTO","SETTEMBRE","OTTOBRE","NOVEMBRE","DICEMBRE")&amp;" "&amp;YEAR(B909),"")</f>
        <v/>
      </c>
      <c r="B908" s="11"/>
      <c r="C908" s="12"/>
      <c r="D908" s="12" t="str">
        <f>IF(C908="","",C908-IF(C907&lt;&gt;"",C907,IF(C906&lt;&gt;"",C906,IF(C905&lt;&gt;"",C905,0))))</f>
        <v/>
      </c>
      <c r="E908" s="12"/>
      <c r="F908" s="12"/>
      <c r="G908" s="9" t="str">
        <f>IF(AND(E908="",F908=""),"",IF(OR(E908&gt;1,F908&gt;1),(F908-E908)/100,F908-E908))</f>
        <v/>
      </c>
      <c r="H908" s="12" t="str">
        <f>IF(G908="","",64*G908)</f>
        <v/>
      </c>
      <c r="I908" s="13"/>
      <c r="J908" s="13" t="str">
        <f>IFERROR(IF(OR(D908="",D908=0),"",I908/D908*100),"")</f>
        <v/>
      </c>
      <c r="K908" s="14"/>
      <c r="L908" s="13" t="str">
        <f>IF(I908="","",I908*K908)</f>
        <v/>
      </c>
      <c r="M908" s="13" t="str">
        <f>IF(B908="","",IFERROR(SUMPRODUCT(ISNUMBER(B$3:B908)*(MONTH(IF(ISNUMBER(B$3:B908),B$3:B908,1))=MONTH(B908))*(YEAR(IF(ISNUMBER(B$3:B908),B$3:B908,1))=YEAR(B908))*IF(ISNUMBER(L$3:L908),L$3:L908,0)),""))</f>
        <v/>
      </c>
      <c r="N908" s="6"/>
      <c r="O908" s="7" t="str">
        <f>IF(AND(B908="",ISNUMBER(B909)),CHOOSE(MONTH(B909),"GENNAIO","FEBBRAIO","MARZO","APRILE","MAGGIO","GIUGNO","LUGLIO","AGOSTO","SETTEMBRE","OTTOBRE","NOVEMBRE","DICEMBRE")&amp;" "&amp;YEAR(B909),"")</f>
        <v/>
      </c>
      <c r="P908" s="12" t="str">
        <f>IF(K908=0.2,"CASA","")</f>
        <v/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" customHeight="1" x14ac:dyDescent="0.2">
      <c r="A909" s="5" t="str">
        <f>IF(AND(B909="",ISNUMBER(B910)),CHOOSE(MONTH(B910),"GENNAIO","FEBBRAIO","MARZO","APRILE","MAGGIO","GIUGNO","LUGLIO","AGOSTO","SETTEMBRE","OTTOBRE","NOVEMBRE","DICEMBRE")&amp;" "&amp;YEAR(B910),"")</f>
        <v/>
      </c>
      <c r="B909" s="11"/>
      <c r="C909" s="12"/>
      <c r="D909" s="12" t="str">
        <f>IF(C909="","",C909-IF(C908&lt;&gt;"",C908,IF(C907&lt;&gt;"",C907,IF(C906&lt;&gt;"",C906,0))))</f>
        <v/>
      </c>
      <c r="E909" s="12"/>
      <c r="F909" s="12"/>
      <c r="G909" s="9" t="str">
        <f>IF(AND(E909="",F909=""),"",IF(OR(E909&gt;1,F909&gt;1),(F909-E909)/100,F909-E909))</f>
        <v/>
      </c>
      <c r="H909" s="12" t="str">
        <f>IF(G909="","",64*G909)</f>
        <v/>
      </c>
      <c r="I909" s="13"/>
      <c r="J909" s="13" t="str">
        <f>IFERROR(IF(OR(D909="",D909=0),"",I909/D909*100),"")</f>
        <v/>
      </c>
      <c r="K909" s="14"/>
      <c r="L909" s="13" t="str">
        <f>IF(I909="","",I909*K909)</f>
        <v/>
      </c>
      <c r="M909" s="13" t="str">
        <f>IF(B909="","",IFERROR(SUMPRODUCT(ISNUMBER(B$3:B909)*(MONTH(IF(ISNUMBER(B$3:B909),B$3:B909,1))=MONTH(B909))*(YEAR(IF(ISNUMBER(B$3:B909),B$3:B909,1))=YEAR(B909))*IF(ISNUMBER(L$3:L909),L$3:L909,0)),""))</f>
        <v/>
      </c>
      <c r="N909" s="6"/>
      <c r="O909" s="7" t="str">
        <f>IF(AND(B909="",ISNUMBER(B910)),CHOOSE(MONTH(B910),"GENNAIO","FEBBRAIO","MARZO","APRILE","MAGGIO","GIUGNO","LUGLIO","AGOSTO","SETTEMBRE","OTTOBRE","NOVEMBRE","DICEMBRE")&amp;" "&amp;YEAR(B910),"")</f>
        <v/>
      </c>
      <c r="P909" s="12" t="str">
        <f>IF(K909=0.2,"CASA","")</f>
        <v/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" customHeight="1" x14ac:dyDescent="0.2">
      <c r="A910" s="5" t="str">
        <f>IF(AND(B910="",ISNUMBER(B911)),CHOOSE(MONTH(B911),"GENNAIO","FEBBRAIO","MARZO","APRILE","MAGGIO","GIUGNO","LUGLIO","AGOSTO","SETTEMBRE","OTTOBRE","NOVEMBRE","DICEMBRE")&amp;" "&amp;YEAR(B911),"")</f>
        <v/>
      </c>
      <c r="B910" s="11"/>
      <c r="C910" s="12"/>
      <c r="D910" s="12" t="str">
        <f>IF(C910="","",C910-IF(C909&lt;&gt;"",C909,IF(C908&lt;&gt;"",C908,IF(C907&lt;&gt;"",C907,0))))</f>
        <v/>
      </c>
      <c r="E910" s="12"/>
      <c r="F910" s="12"/>
      <c r="G910" s="9" t="str">
        <f>IF(AND(E910="",F910=""),"",IF(OR(E910&gt;1,F910&gt;1),(F910-E910)/100,F910-E910))</f>
        <v/>
      </c>
      <c r="H910" s="12" t="str">
        <f>IF(G910="","",64*G910)</f>
        <v/>
      </c>
      <c r="I910" s="13"/>
      <c r="J910" s="13" t="str">
        <f>IFERROR(IF(OR(D910="",D910=0),"",I910/D910*100),"")</f>
        <v/>
      </c>
      <c r="K910" s="14"/>
      <c r="L910" s="13" t="str">
        <f>IF(I910="","",I910*K910)</f>
        <v/>
      </c>
      <c r="M910" s="13" t="str">
        <f>IF(B910="","",IFERROR(SUMPRODUCT(ISNUMBER(B$3:B910)*(MONTH(IF(ISNUMBER(B$3:B910),B$3:B910,1))=MONTH(B910))*(YEAR(IF(ISNUMBER(B$3:B910),B$3:B910,1))=YEAR(B910))*IF(ISNUMBER(L$3:L910),L$3:L910,0)),""))</f>
        <v/>
      </c>
      <c r="N910" s="6"/>
      <c r="O910" s="7" t="str">
        <f>IF(AND(B910="",ISNUMBER(B911)),CHOOSE(MONTH(B911),"GENNAIO","FEBBRAIO","MARZO","APRILE","MAGGIO","GIUGNO","LUGLIO","AGOSTO","SETTEMBRE","OTTOBRE","NOVEMBRE","DICEMBRE")&amp;" "&amp;YEAR(B911),"")</f>
        <v/>
      </c>
      <c r="P910" s="12" t="str">
        <f>IF(K910=0.2,"CASA","")</f>
        <v/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" customHeight="1" x14ac:dyDescent="0.2">
      <c r="A911" s="5" t="str">
        <f>IF(AND(B911="",ISNUMBER(B912)),CHOOSE(MONTH(B912),"GENNAIO","FEBBRAIO","MARZO","APRILE","MAGGIO","GIUGNO","LUGLIO","AGOSTO","SETTEMBRE","OTTOBRE","NOVEMBRE","DICEMBRE")&amp;" "&amp;YEAR(B912),"")</f>
        <v/>
      </c>
      <c r="B911" s="11"/>
      <c r="C911" s="12"/>
      <c r="D911" s="12" t="str">
        <f>IF(C911="","",C911-IF(C910&lt;&gt;"",C910,IF(C909&lt;&gt;"",C909,IF(C908&lt;&gt;"",C908,0))))</f>
        <v/>
      </c>
      <c r="E911" s="12"/>
      <c r="F911" s="12"/>
      <c r="G911" s="9" t="str">
        <f>IF(AND(E911="",F911=""),"",IF(OR(E911&gt;1,F911&gt;1),(F911-E911)/100,F911-E911))</f>
        <v/>
      </c>
      <c r="H911" s="12" t="str">
        <f>IF(G911="","",64*G911)</f>
        <v/>
      </c>
      <c r="I911" s="13"/>
      <c r="J911" s="13" t="str">
        <f>IFERROR(IF(OR(D911="",D911=0),"",I911/D911*100),"")</f>
        <v/>
      </c>
      <c r="K911" s="14"/>
      <c r="L911" s="13" t="str">
        <f>IF(I911="","",I911*K911)</f>
        <v/>
      </c>
      <c r="M911" s="13" t="str">
        <f>IF(B911="","",IFERROR(SUMPRODUCT(ISNUMBER(B$3:B911)*(MONTH(IF(ISNUMBER(B$3:B911),B$3:B911,1))=MONTH(B911))*(YEAR(IF(ISNUMBER(B$3:B911),B$3:B911,1))=YEAR(B911))*IF(ISNUMBER(L$3:L911),L$3:L911,0)),""))</f>
        <v/>
      </c>
      <c r="N911" s="6"/>
      <c r="O911" s="7" t="str">
        <f>IF(AND(B911="",ISNUMBER(B912)),CHOOSE(MONTH(B912),"GENNAIO","FEBBRAIO","MARZO","APRILE","MAGGIO","GIUGNO","LUGLIO","AGOSTO","SETTEMBRE","OTTOBRE","NOVEMBRE","DICEMBRE")&amp;" "&amp;YEAR(B912),"")</f>
        <v/>
      </c>
      <c r="P911" s="12" t="str">
        <f>IF(K911=0.2,"CASA","")</f>
        <v/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" customHeight="1" x14ac:dyDescent="0.2">
      <c r="A912" s="5" t="str">
        <f>IF(AND(B912="",ISNUMBER(B913)),CHOOSE(MONTH(B913),"GENNAIO","FEBBRAIO","MARZO","APRILE","MAGGIO","GIUGNO","LUGLIO","AGOSTO","SETTEMBRE","OTTOBRE","NOVEMBRE","DICEMBRE")&amp;" "&amp;YEAR(B913),"")</f>
        <v/>
      </c>
      <c r="B912" s="11"/>
      <c r="C912" s="12"/>
      <c r="D912" s="12" t="str">
        <f>IF(C912="","",C912-IF(C911&lt;&gt;"",C911,IF(C910&lt;&gt;"",C910,IF(C909&lt;&gt;"",C909,0))))</f>
        <v/>
      </c>
      <c r="E912" s="12"/>
      <c r="F912" s="12"/>
      <c r="G912" s="9" t="str">
        <f>IF(AND(E912="",F912=""),"",IF(OR(E912&gt;1,F912&gt;1),(F912-E912)/100,F912-E912))</f>
        <v/>
      </c>
      <c r="H912" s="12" t="str">
        <f>IF(G912="","",64*G912)</f>
        <v/>
      </c>
      <c r="I912" s="13"/>
      <c r="J912" s="13" t="str">
        <f>IFERROR(IF(OR(D912="",D912=0),"",I912/D912*100),"")</f>
        <v/>
      </c>
      <c r="K912" s="14"/>
      <c r="L912" s="13" t="str">
        <f>IF(I912="","",I912*K912)</f>
        <v/>
      </c>
      <c r="M912" s="13" t="str">
        <f>IF(B912="","",IFERROR(SUMPRODUCT(ISNUMBER(B$3:B912)*(MONTH(IF(ISNUMBER(B$3:B912),B$3:B912,1))=MONTH(B912))*(YEAR(IF(ISNUMBER(B$3:B912),B$3:B912,1))=YEAR(B912))*IF(ISNUMBER(L$3:L912),L$3:L912,0)),""))</f>
        <v/>
      </c>
      <c r="N912" s="6"/>
      <c r="O912" s="7" t="str">
        <f>IF(AND(B912="",ISNUMBER(B913)),CHOOSE(MONTH(B913),"GENNAIO","FEBBRAIO","MARZO","APRILE","MAGGIO","GIUGNO","LUGLIO","AGOSTO","SETTEMBRE","OTTOBRE","NOVEMBRE","DICEMBRE")&amp;" "&amp;YEAR(B913),"")</f>
        <v/>
      </c>
      <c r="P912" s="12" t="str">
        <f>IF(K912=0.2,"CASA","")</f>
        <v/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" customHeight="1" x14ac:dyDescent="0.2">
      <c r="A913" s="5" t="str">
        <f>IF(AND(B913="",ISNUMBER(B914)),CHOOSE(MONTH(B914),"GENNAIO","FEBBRAIO","MARZO","APRILE","MAGGIO","GIUGNO","LUGLIO","AGOSTO","SETTEMBRE","OTTOBRE","NOVEMBRE","DICEMBRE")&amp;" "&amp;YEAR(B914),"")</f>
        <v/>
      </c>
      <c r="B913" s="11"/>
      <c r="C913" s="12"/>
      <c r="D913" s="12" t="str">
        <f>IF(C913="","",C913-IF(C912&lt;&gt;"",C912,IF(C911&lt;&gt;"",C911,IF(C910&lt;&gt;"",C910,0))))</f>
        <v/>
      </c>
      <c r="E913" s="12"/>
      <c r="F913" s="12"/>
      <c r="G913" s="9" t="str">
        <f>IF(AND(E913="",F913=""),"",IF(OR(E913&gt;1,F913&gt;1),(F913-E913)/100,F913-E913))</f>
        <v/>
      </c>
      <c r="H913" s="12" t="str">
        <f>IF(G913="","",64*G913)</f>
        <v/>
      </c>
      <c r="I913" s="13"/>
      <c r="J913" s="13" t="str">
        <f>IFERROR(IF(OR(D913="",D913=0),"",I913/D913*100),"")</f>
        <v/>
      </c>
      <c r="K913" s="14"/>
      <c r="L913" s="13" t="str">
        <f>IF(I913="","",I913*K913)</f>
        <v/>
      </c>
      <c r="M913" s="13" t="str">
        <f>IF(B913="","",IFERROR(SUMPRODUCT(ISNUMBER(B$3:B913)*(MONTH(IF(ISNUMBER(B$3:B913),B$3:B913,1))=MONTH(B913))*(YEAR(IF(ISNUMBER(B$3:B913),B$3:B913,1))=YEAR(B913))*IF(ISNUMBER(L$3:L913),L$3:L913,0)),""))</f>
        <v/>
      </c>
      <c r="N913" s="6"/>
      <c r="O913" s="7" t="str">
        <f>IF(AND(B913="",ISNUMBER(B914)),CHOOSE(MONTH(B914),"GENNAIO","FEBBRAIO","MARZO","APRILE","MAGGIO","GIUGNO","LUGLIO","AGOSTO","SETTEMBRE","OTTOBRE","NOVEMBRE","DICEMBRE")&amp;" "&amp;YEAR(B914),"")</f>
        <v/>
      </c>
      <c r="P913" s="12" t="str">
        <f>IF(K913=0.2,"CASA","")</f>
        <v/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" customHeight="1" x14ac:dyDescent="0.2">
      <c r="A914" s="5" t="str">
        <f>IF(AND(B914="",ISNUMBER(B915)),CHOOSE(MONTH(B915),"GENNAIO","FEBBRAIO","MARZO","APRILE","MAGGIO","GIUGNO","LUGLIO","AGOSTO","SETTEMBRE","OTTOBRE","NOVEMBRE","DICEMBRE")&amp;" "&amp;YEAR(B915),"")</f>
        <v/>
      </c>
      <c r="B914" s="11"/>
      <c r="C914" s="12"/>
      <c r="D914" s="12" t="str">
        <f>IF(C914="","",C914-IF(C913&lt;&gt;"",C913,IF(C912&lt;&gt;"",C912,IF(C911&lt;&gt;"",C911,0))))</f>
        <v/>
      </c>
      <c r="E914" s="12"/>
      <c r="F914" s="12"/>
      <c r="G914" s="9" t="str">
        <f>IF(AND(E914="",F914=""),"",IF(OR(E914&gt;1,F914&gt;1),(F914-E914)/100,F914-E914))</f>
        <v/>
      </c>
      <c r="H914" s="12" t="str">
        <f>IF(G914="","",64*G914)</f>
        <v/>
      </c>
      <c r="I914" s="13"/>
      <c r="J914" s="13" t="str">
        <f>IFERROR(IF(OR(D914="",D914=0),"",I914/D914*100),"")</f>
        <v/>
      </c>
      <c r="K914" s="14"/>
      <c r="L914" s="13" t="str">
        <f>IF(I914="","",I914*K914)</f>
        <v/>
      </c>
      <c r="M914" s="13" t="str">
        <f>IF(B914="","",IFERROR(SUMPRODUCT(ISNUMBER(B$3:B914)*(MONTH(IF(ISNUMBER(B$3:B914),B$3:B914,1))=MONTH(B914))*(YEAR(IF(ISNUMBER(B$3:B914),B$3:B914,1))=YEAR(B914))*IF(ISNUMBER(L$3:L914),L$3:L914,0)),""))</f>
        <v/>
      </c>
      <c r="N914" s="6"/>
      <c r="O914" s="7" t="str">
        <f>IF(AND(B914="",ISNUMBER(B915)),CHOOSE(MONTH(B915),"GENNAIO","FEBBRAIO","MARZO","APRILE","MAGGIO","GIUGNO","LUGLIO","AGOSTO","SETTEMBRE","OTTOBRE","NOVEMBRE","DICEMBRE")&amp;" "&amp;YEAR(B915),"")</f>
        <v/>
      </c>
      <c r="P914" s="12" t="str">
        <f>IF(K914=0.2,"CASA","")</f>
        <v/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" customHeight="1" x14ac:dyDescent="0.2">
      <c r="A915" s="5" t="str">
        <f>IF(AND(B915="",ISNUMBER(B916)),CHOOSE(MONTH(B916),"GENNAIO","FEBBRAIO","MARZO","APRILE","MAGGIO","GIUGNO","LUGLIO","AGOSTO","SETTEMBRE","OTTOBRE","NOVEMBRE","DICEMBRE")&amp;" "&amp;YEAR(B916),"")</f>
        <v/>
      </c>
      <c r="B915" s="11"/>
      <c r="C915" s="12"/>
      <c r="D915" s="12" t="str">
        <f>IF(C915="","",C915-IF(C914&lt;&gt;"",C914,IF(C913&lt;&gt;"",C913,IF(C912&lt;&gt;"",C912,0))))</f>
        <v/>
      </c>
      <c r="E915" s="12"/>
      <c r="F915" s="12"/>
      <c r="G915" s="9" t="str">
        <f>IF(AND(E915="",F915=""),"",IF(OR(E915&gt;1,F915&gt;1),(F915-E915)/100,F915-E915))</f>
        <v/>
      </c>
      <c r="H915" s="12" t="str">
        <f>IF(G915="","",64*G915)</f>
        <v/>
      </c>
      <c r="I915" s="13"/>
      <c r="J915" s="13" t="str">
        <f>IFERROR(IF(OR(D915="",D915=0),"",I915/D915*100),"")</f>
        <v/>
      </c>
      <c r="K915" s="14"/>
      <c r="L915" s="13" t="str">
        <f>IF(I915="","",I915*K915)</f>
        <v/>
      </c>
      <c r="M915" s="13" t="str">
        <f>IF(B915="","",IFERROR(SUMPRODUCT(ISNUMBER(B$3:B915)*(MONTH(IF(ISNUMBER(B$3:B915),B$3:B915,1))=MONTH(B915))*(YEAR(IF(ISNUMBER(B$3:B915),B$3:B915,1))=YEAR(B915))*IF(ISNUMBER(L$3:L915),L$3:L915,0)),""))</f>
        <v/>
      </c>
      <c r="N915" s="6"/>
      <c r="O915" s="7" t="str">
        <f>IF(AND(B915="",ISNUMBER(B916)),CHOOSE(MONTH(B916),"GENNAIO","FEBBRAIO","MARZO","APRILE","MAGGIO","GIUGNO","LUGLIO","AGOSTO","SETTEMBRE","OTTOBRE","NOVEMBRE","DICEMBRE")&amp;" "&amp;YEAR(B916),"")</f>
        <v/>
      </c>
      <c r="P915" s="12" t="str">
        <f>IF(K915=0.2,"CASA","")</f>
        <v/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" customHeight="1" x14ac:dyDescent="0.2">
      <c r="A916" s="5" t="str">
        <f>IF(AND(B916="",ISNUMBER(B917)),CHOOSE(MONTH(B917),"GENNAIO","FEBBRAIO","MARZO","APRILE","MAGGIO","GIUGNO","LUGLIO","AGOSTO","SETTEMBRE","OTTOBRE","NOVEMBRE","DICEMBRE")&amp;" "&amp;YEAR(B917),"")</f>
        <v/>
      </c>
      <c r="B916" s="11"/>
      <c r="C916" s="12"/>
      <c r="D916" s="12" t="str">
        <f>IF(C916="","",C916-IF(C915&lt;&gt;"",C915,IF(C914&lt;&gt;"",C914,IF(C913&lt;&gt;"",C913,0))))</f>
        <v/>
      </c>
      <c r="E916" s="12"/>
      <c r="F916" s="12"/>
      <c r="G916" s="9" t="str">
        <f>IF(AND(E916="",F916=""),"",IF(OR(E916&gt;1,F916&gt;1),(F916-E916)/100,F916-E916))</f>
        <v/>
      </c>
      <c r="H916" s="12" t="str">
        <f>IF(G916="","",64*G916)</f>
        <v/>
      </c>
      <c r="I916" s="13"/>
      <c r="J916" s="13" t="str">
        <f>IFERROR(IF(OR(D916="",D916=0),"",I916/D916*100),"")</f>
        <v/>
      </c>
      <c r="K916" s="14"/>
      <c r="L916" s="13" t="str">
        <f>IF(I916="","",I916*K916)</f>
        <v/>
      </c>
      <c r="M916" s="13" t="str">
        <f>IF(B916="","",IFERROR(SUMPRODUCT(ISNUMBER(B$3:B916)*(MONTH(IF(ISNUMBER(B$3:B916),B$3:B916,1))=MONTH(B916))*(YEAR(IF(ISNUMBER(B$3:B916),B$3:B916,1))=YEAR(B916))*IF(ISNUMBER(L$3:L916),L$3:L916,0)),""))</f>
        <v/>
      </c>
      <c r="N916" s="6"/>
      <c r="O916" s="7" t="str">
        <f>IF(AND(B916="",ISNUMBER(B917)),CHOOSE(MONTH(B917),"GENNAIO","FEBBRAIO","MARZO","APRILE","MAGGIO","GIUGNO","LUGLIO","AGOSTO","SETTEMBRE","OTTOBRE","NOVEMBRE","DICEMBRE")&amp;" "&amp;YEAR(B917),"")</f>
        <v/>
      </c>
      <c r="P916" s="12" t="str">
        <f>IF(K916=0.2,"CASA","")</f>
        <v/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" customHeight="1" x14ac:dyDescent="0.2">
      <c r="A917" s="5" t="str">
        <f>IF(AND(B917="",ISNUMBER(B918)),CHOOSE(MONTH(B918),"GENNAIO","FEBBRAIO","MARZO","APRILE","MAGGIO","GIUGNO","LUGLIO","AGOSTO","SETTEMBRE","OTTOBRE","NOVEMBRE","DICEMBRE")&amp;" "&amp;YEAR(B918),"")</f>
        <v/>
      </c>
      <c r="B917" s="11"/>
      <c r="C917" s="12"/>
      <c r="D917" s="12" t="str">
        <f>IF(C917="","",C917-IF(C916&lt;&gt;"",C916,IF(C915&lt;&gt;"",C915,IF(C914&lt;&gt;"",C914,0))))</f>
        <v/>
      </c>
      <c r="E917" s="12"/>
      <c r="F917" s="12"/>
      <c r="G917" s="9" t="str">
        <f>IF(AND(E917="",F917=""),"",IF(OR(E917&gt;1,F917&gt;1),(F917-E917)/100,F917-E917))</f>
        <v/>
      </c>
      <c r="H917" s="12" t="str">
        <f>IF(G917="","",64*G917)</f>
        <v/>
      </c>
      <c r="I917" s="13"/>
      <c r="J917" s="13" t="str">
        <f>IFERROR(IF(OR(D917="",D917=0),"",I917/D917*100),"")</f>
        <v/>
      </c>
      <c r="K917" s="14"/>
      <c r="L917" s="13" t="str">
        <f>IF(I917="","",I917*K917)</f>
        <v/>
      </c>
      <c r="M917" s="13" t="str">
        <f>IF(B917="","",IFERROR(SUMPRODUCT(ISNUMBER(B$3:B917)*(MONTH(IF(ISNUMBER(B$3:B917),B$3:B917,1))=MONTH(B917))*(YEAR(IF(ISNUMBER(B$3:B917),B$3:B917,1))=YEAR(B917))*IF(ISNUMBER(L$3:L917),L$3:L917,0)),""))</f>
        <v/>
      </c>
      <c r="N917" s="6"/>
      <c r="O917" s="7" t="str">
        <f>IF(AND(B917="",ISNUMBER(B918)),CHOOSE(MONTH(B918),"GENNAIO","FEBBRAIO","MARZO","APRILE","MAGGIO","GIUGNO","LUGLIO","AGOSTO","SETTEMBRE","OTTOBRE","NOVEMBRE","DICEMBRE")&amp;" "&amp;YEAR(B918),"")</f>
        <v/>
      </c>
      <c r="P917" s="12" t="str">
        <f>IF(K917=0.2,"CASA","")</f>
        <v/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" customHeight="1" x14ac:dyDescent="0.2">
      <c r="A918" s="5" t="str">
        <f>IF(AND(B918="",ISNUMBER(B919)),CHOOSE(MONTH(B919),"GENNAIO","FEBBRAIO","MARZO","APRILE","MAGGIO","GIUGNO","LUGLIO","AGOSTO","SETTEMBRE","OTTOBRE","NOVEMBRE","DICEMBRE")&amp;" "&amp;YEAR(B919),"")</f>
        <v/>
      </c>
      <c r="B918" s="11"/>
      <c r="C918" s="12"/>
      <c r="D918" s="12" t="str">
        <f>IF(C918="","",C918-IF(C917&lt;&gt;"",C917,IF(C916&lt;&gt;"",C916,IF(C915&lt;&gt;"",C915,0))))</f>
        <v/>
      </c>
      <c r="E918" s="12"/>
      <c r="F918" s="12"/>
      <c r="G918" s="9" t="str">
        <f>IF(AND(E918="",F918=""),"",IF(OR(E918&gt;1,F918&gt;1),(F918-E918)/100,F918-E918))</f>
        <v/>
      </c>
      <c r="H918" s="12" t="str">
        <f>IF(G918="","",64*G918)</f>
        <v/>
      </c>
      <c r="I918" s="13"/>
      <c r="J918" s="13" t="str">
        <f>IFERROR(IF(OR(D918="",D918=0),"",I918/D918*100),"")</f>
        <v/>
      </c>
      <c r="K918" s="14"/>
      <c r="L918" s="13" t="str">
        <f>IF(I918="","",I918*K918)</f>
        <v/>
      </c>
      <c r="M918" s="13" t="str">
        <f>IF(B918="","",IFERROR(SUMPRODUCT(ISNUMBER(B$3:B918)*(MONTH(IF(ISNUMBER(B$3:B918),B$3:B918,1))=MONTH(B918))*(YEAR(IF(ISNUMBER(B$3:B918),B$3:B918,1))=YEAR(B918))*IF(ISNUMBER(L$3:L918),L$3:L918,0)),""))</f>
        <v/>
      </c>
      <c r="N918" s="6"/>
      <c r="O918" s="7" t="str">
        <f>IF(AND(B918="",ISNUMBER(B919)),CHOOSE(MONTH(B919),"GENNAIO","FEBBRAIO","MARZO","APRILE","MAGGIO","GIUGNO","LUGLIO","AGOSTO","SETTEMBRE","OTTOBRE","NOVEMBRE","DICEMBRE")&amp;" "&amp;YEAR(B919),"")</f>
        <v/>
      </c>
      <c r="P918" s="12" t="str">
        <f>IF(K918=0.2,"CASA","")</f>
        <v/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" customHeight="1" x14ac:dyDescent="0.2">
      <c r="A919" s="5" t="str">
        <f>IF(AND(B919="",ISNUMBER(B920)),CHOOSE(MONTH(B920),"GENNAIO","FEBBRAIO","MARZO","APRILE","MAGGIO","GIUGNO","LUGLIO","AGOSTO","SETTEMBRE","OTTOBRE","NOVEMBRE","DICEMBRE")&amp;" "&amp;YEAR(B920),"")</f>
        <v/>
      </c>
      <c r="B919" s="11"/>
      <c r="C919" s="12"/>
      <c r="D919" s="12" t="str">
        <f>IF(C919="","",C919-IF(C918&lt;&gt;"",C918,IF(C917&lt;&gt;"",C917,IF(C916&lt;&gt;"",C916,0))))</f>
        <v/>
      </c>
      <c r="E919" s="12"/>
      <c r="F919" s="12"/>
      <c r="G919" s="9" t="str">
        <f>IF(AND(E919="",F919=""),"",IF(OR(E919&gt;1,F919&gt;1),(F919-E919)/100,F919-E919))</f>
        <v/>
      </c>
      <c r="H919" s="12" t="str">
        <f>IF(G919="","",64*G919)</f>
        <v/>
      </c>
      <c r="I919" s="13"/>
      <c r="J919" s="13" t="str">
        <f>IFERROR(IF(OR(D919="",D919=0),"",I919/D919*100),"")</f>
        <v/>
      </c>
      <c r="K919" s="14"/>
      <c r="L919" s="13" t="str">
        <f>IF(I919="","",I919*K919)</f>
        <v/>
      </c>
      <c r="M919" s="13" t="str">
        <f>IF(B919="","",IFERROR(SUMPRODUCT(ISNUMBER(B$3:B919)*(MONTH(IF(ISNUMBER(B$3:B919),B$3:B919,1))=MONTH(B919))*(YEAR(IF(ISNUMBER(B$3:B919),B$3:B919,1))=YEAR(B919))*IF(ISNUMBER(L$3:L919),L$3:L919,0)),""))</f>
        <v/>
      </c>
      <c r="N919" s="6"/>
      <c r="O919" s="7" t="str">
        <f>IF(AND(B919="",ISNUMBER(B920)),CHOOSE(MONTH(B920),"GENNAIO","FEBBRAIO","MARZO","APRILE","MAGGIO","GIUGNO","LUGLIO","AGOSTO","SETTEMBRE","OTTOBRE","NOVEMBRE","DICEMBRE")&amp;" "&amp;YEAR(B920),"")</f>
        <v/>
      </c>
      <c r="P919" s="12" t="str">
        <f>IF(K919=0.2,"CASA","")</f>
        <v/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" customHeight="1" x14ac:dyDescent="0.2">
      <c r="A920" s="5" t="str">
        <f>IF(AND(B920="",ISNUMBER(B921)),CHOOSE(MONTH(B921),"GENNAIO","FEBBRAIO","MARZO","APRILE","MAGGIO","GIUGNO","LUGLIO","AGOSTO","SETTEMBRE","OTTOBRE","NOVEMBRE","DICEMBRE")&amp;" "&amp;YEAR(B921),"")</f>
        <v/>
      </c>
      <c r="B920" s="11"/>
      <c r="C920" s="12"/>
      <c r="D920" s="12" t="str">
        <f>IF(C920="","",C920-IF(C919&lt;&gt;"",C919,IF(C918&lt;&gt;"",C918,IF(C917&lt;&gt;"",C917,0))))</f>
        <v/>
      </c>
      <c r="E920" s="12"/>
      <c r="F920" s="12"/>
      <c r="G920" s="9" t="str">
        <f>IF(AND(E920="",F920=""),"",IF(OR(E920&gt;1,F920&gt;1),(F920-E920)/100,F920-E920))</f>
        <v/>
      </c>
      <c r="H920" s="12" t="str">
        <f>IF(G920="","",64*G920)</f>
        <v/>
      </c>
      <c r="I920" s="13"/>
      <c r="J920" s="13" t="str">
        <f>IFERROR(IF(OR(D920="",D920=0),"",I920/D920*100),"")</f>
        <v/>
      </c>
      <c r="K920" s="14"/>
      <c r="L920" s="13" t="str">
        <f>IF(I920="","",I920*K920)</f>
        <v/>
      </c>
      <c r="M920" s="13" t="str">
        <f>IF(B920="","",IFERROR(SUMPRODUCT(ISNUMBER(B$3:B920)*(MONTH(IF(ISNUMBER(B$3:B920),B$3:B920,1))=MONTH(B920))*(YEAR(IF(ISNUMBER(B$3:B920),B$3:B920,1))=YEAR(B920))*IF(ISNUMBER(L$3:L920),L$3:L920,0)),""))</f>
        <v/>
      </c>
      <c r="N920" s="6"/>
      <c r="O920" s="7" t="str">
        <f>IF(AND(B920="",ISNUMBER(B921)),CHOOSE(MONTH(B921),"GENNAIO","FEBBRAIO","MARZO","APRILE","MAGGIO","GIUGNO","LUGLIO","AGOSTO","SETTEMBRE","OTTOBRE","NOVEMBRE","DICEMBRE")&amp;" "&amp;YEAR(B921),"")</f>
        <v/>
      </c>
      <c r="P920" s="12" t="str">
        <f>IF(K920=0.2,"CASA","")</f>
        <v/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" customHeight="1" x14ac:dyDescent="0.2">
      <c r="A921" s="5" t="str">
        <f>IF(AND(B921="",ISNUMBER(B922)),CHOOSE(MONTH(B922),"GENNAIO","FEBBRAIO","MARZO","APRILE","MAGGIO","GIUGNO","LUGLIO","AGOSTO","SETTEMBRE","OTTOBRE","NOVEMBRE","DICEMBRE")&amp;" "&amp;YEAR(B922),"")</f>
        <v/>
      </c>
      <c r="B921" s="11"/>
      <c r="C921" s="12"/>
      <c r="D921" s="12" t="str">
        <f>IF(C921="","",C921-IF(C920&lt;&gt;"",C920,IF(C919&lt;&gt;"",C919,IF(C918&lt;&gt;"",C918,0))))</f>
        <v/>
      </c>
      <c r="E921" s="12"/>
      <c r="F921" s="12"/>
      <c r="G921" s="9" t="str">
        <f>IF(AND(E921="",F921=""),"",IF(OR(E921&gt;1,F921&gt;1),(F921-E921)/100,F921-E921))</f>
        <v/>
      </c>
      <c r="H921" s="12" t="str">
        <f>IF(G921="","",64*G921)</f>
        <v/>
      </c>
      <c r="I921" s="13"/>
      <c r="J921" s="13" t="str">
        <f>IFERROR(IF(OR(D921="",D921=0),"",I921/D921*100),"")</f>
        <v/>
      </c>
      <c r="K921" s="14"/>
      <c r="L921" s="13" t="str">
        <f>IF(I921="","",I921*K921)</f>
        <v/>
      </c>
      <c r="M921" s="13" t="str">
        <f>IF(B921="","",IFERROR(SUMPRODUCT(ISNUMBER(B$3:B921)*(MONTH(IF(ISNUMBER(B$3:B921),B$3:B921,1))=MONTH(B921))*(YEAR(IF(ISNUMBER(B$3:B921),B$3:B921,1))=YEAR(B921))*IF(ISNUMBER(L$3:L921),L$3:L921,0)),""))</f>
        <v/>
      </c>
      <c r="N921" s="6"/>
      <c r="O921" s="7" t="str">
        <f>IF(AND(B921="",ISNUMBER(B922)),CHOOSE(MONTH(B922),"GENNAIO","FEBBRAIO","MARZO","APRILE","MAGGIO","GIUGNO","LUGLIO","AGOSTO","SETTEMBRE","OTTOBRE","NOVEMBRE","DICEMBRE")&amp;" "&amp;YEAR(B922),"")</f>
        <v/>
      </c>
      <c r="P921" s="12" t="str">
        <f>IF(K921=0.2,"CASA","")</f>
        <v/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" customHeight="1" x14ac:dyDescent="0.2">
      <c r="A922" s="5" t="str">
        <f>IF(AND(B922="",ISNUMBER(B923)),CHOOSE(MONTH(B923),"GENNAIO","FEBBRAIO","MARZO","APRILE","MAGGIO","GIUGNO","LUGLIO","AGOSTO","SETTEMBRE","OTTOBRE","NOVEMBRE","DICEMBRE")&amp;" "&amp;YEAR(B923),"")</f>
        <v/>
      </c>
      <c r="B922" s="11"/>
      <c r="C922" s="12"/>
      <c r="D922" s="12" t="str">
        <f>IF(C922="","",C922-IF(C921&lt;&gt;"",C921,IF(C920&lt;&gt;"",C920,IF(C919&lt;&gt;"",C919,0))))</f>
        <v/>
      </c>
      <c r="E922" s="12"/>
      <c r="F922" s="12"/>
      <c r="G922" s="9" t="str">
        <f>IF(AND(E922="",F922=""),"",IF(OR(E922&gt;1,F922&gt;1),(F922-E922)/100,F922-E922))</f>
        <v/>
      </c>
      <c r="H922" s="12" t="str">
        <f>IF(G922="","",64*G922)</f>
        <v/>
      </c>
      <c r="I922" s="13"/>
      <c r="J922" s="13" t="str">
        <f>IFERROR(IF(OR(D922="",D922=0),"",I922/D922*100),"")</f>
        <v/>
      </c>
      <c r="K922" s="14"/>
      <c r="L922" s="13" t="str">
        <f>IF(I922="","",I922*K922)</f>
        <v/>
      </c>
      <c r="M922" s="13" t="str">
        <f>IF(B922="","",IFERROR(SUMPRODUCT(ISNUMBER(B$3:B922)*(MONTH(IF(ISNUMBER(B$3:B922),B$3:B922,1))=MONTH(B922))*(YEAR(IF(ISNUMBER(B$3:B922),B$3:B922,1))=YEAR(B922))*IF(ISNUMBER(L$3:L922),L$3:L922,0)),""))</f>
        <v/>
      </c>
      <c r="N922" s="6"/>
      <c r="O922" s="7" t="str">
        <f>IF(AND(B922="",ISNUMBER(B923)),CHOOSE(MONTH(B923),"GENNAIO","FEBBRAIO","MARZO","APRILE","MAGGIO","GIUGNO","LUGLIO","AGOSTO","SETTEMBRE","OTTOBRE","NOVEMBRE","DICEMBRE")&amp;" "&amp;YEAR(B923),"")</f>
        <v/>
      </c>
      <c r="P922" s="12" t="str">
        <f>IF(K922=0.2,"CASA","")</f>
        <v/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" customHeight="1" x14ac:dyDescent="0.2">
      <c r="A923" s="5" t="str">
        <f>IF(AND(B923="",ISNUMBER(B924)),CHOOSE(MONTH(B924),"GENNAIO","FEBBRAIO","MARZO","APRILE","MAGGIO","GIUGNO","LUGLIO","AGOSTO","SETTEMBRE","OTTOBRE","NOVEMBRE","DICEMBRE")&amp;" "&amp;YEAR(B924),"")</f>
        <v/>
      </c>
      <c r="B923" s="11"/>
      <c r="C923" s="12"/>
      <c r="D923" s="12" t="str">
        <f>IF(C923="","",C923-IF(C922&lt;&gt;"",C922,IF(C921&lt;&gt;"",C921,IF(C920&lt;&gt;"",C920,0))))</f>
        <v/>
      </c>
      <c r="E923" s="12"/>
      <c r="F923" s="12"/>
      <c r="G923" s="9" t="str">
        <f>IF(AND(E923="",F923=""),"",IF(OR(E923&gt;1,F923&gt;1),(F923-E923)/100,F923-E923))</f>
        <v/>
      </c>
      <c r="H923" s="12" t="str">
        <f>IF(G923="","",64*G923)</f>
        <v/>
      </c>
      <c r="I923" s="13"/>
      <c r="J923" s="13" t="str">
        <f>IFERROR(IF(OR(D923="",D923=0),"",I923/D923*100),"")</f>
        <v/>
      </c>
      <c r="K923" s="14"/>
      <c r="L923" s="13" t="str">
        <f>IF(I923="","",I923*K923)</f>
        <v/>
      </c>
      <c r="M923" s="13" t="str">
        <f>IF(B923="","",IFERROR(SUMPRODUCT(ISNUMBER(B$3:B923)*(MONTH(IF(ISNUMBER(B$3:B923),B$3:B923,1))=MONTH(B923))*(YEAR(IF(ISNUMBER(B$3:B923),B$3:B923,1))=YEAR(B923))*IF(ISNUMBER(L$3:L923),L$3:L923,0)),""))</f>
        <v/>
      </c>
      <c r="N923" s="6"/>
      <c r="O923" s="7" t="str">
        <f>IF(AND(B923="",ISNUMBER(B924)),CHOOSE(MONTH(B924),"GENNAIO","FEBBRAIO","MARZO","APRILE","MAGGIO","GIUGNO","LUGLIO","AGOSTO","SETTEMBRE","OTTOBRE","NOVEMBRE","DICEMBRE")&amp;" "&amp;YEAR(B924),"")</f>
        <v/>
      </c>
      <c r="P923" s="12" t="str">
        <f>IF(K923=0.2,"CASA","")</f>
        <v/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" customHeight="1" x14ac:dyDescent="0.2">
      <c r="A924" s="5" t="str">
        <f>IF(AND(B924="",ISNUMBER(B925)),CHOOSE(MONTH(B925),"GENNAIO","FEBBRAIO","MARZO","APRILE","MAGGIO","GIUGNO","LUGLIO","AGOSTO","SETTEMBRE","OTTOBRE","NOVEMBRE","DICEMBRE")&amp;" "&amp;YEAR(B925),"")</f>
        <v/>
      </c>
      <c r="B924" s="11"/>
      <c r="C924" s="12"/>
      <c r="D924" s="12" t="str">
        <f>IF(C924="","",C924-IF(C923&lt;&gt;"",C923,IF(C922&lt;&gt;"",C922,IF(C921&lt;&gt;"",C921,0))))</f>
        <v/>
      </c>
      <c r="E924" s="12"/>
      <c r="F924" s="12"/>
      <c r="G924" s="9" t="str">
        <f>IF(AND(E924="",F924=""),"",IF(OR(E924&gt;1,F924&gt;1),(F924-E924)/100,F924-E924))</f>
        <v/>
      </c>
      <c r="H924" s="12" t="str">
        <f>IF(G924="","",64*G924)</f>
        <v/>
      </c>
      <c r="I924" s="13"/>
      <c r="J924" s="13" t="str">
        <f>IFERROR(IF(OR(D924="",D924=0),"",I924/D924*100),"")</f>
        <v/>
      </c>
      <c r="K924" s="14"/>
      <c r="L924" s="13" t="str">
        <f>IF(I924="","",I924*K924)</f>
        <v/>
      </c>
      <c r="M924" s="13" t="str">
        <f>IF(B924="","",IFERROR(SUMPRODUCT(ISNUMBER(B$3:B924)*(MONTH(IF(ISNUMBER(B$3:B924),B$3:B924,1))=MONTH(B924))*(YEAR(IF(ISNUMBER(B$3:B924),B$3:B924,1))=YEAR(B924))*IF(ISNUMBER(L$3:L924),L$3:L924,0)),""))</f>
        <v/>
      </c>
      <c r="N924" s="6"/>
      <c r="O924" s="7" t="str">
        <f>IF(AND(B924="",ISNUMBER(B925)),CHOOSE(MONTH(B925),"GENNAIO","FEBBRAIO","MARZO","APRILE","MAGGIO","GIUGNO","LUGLIO","AGOSTO","SETTEMBRE","OTTOBRE","NOVEMBRE","DICEMBRE")&amp;" "&amp;YEAR(B925),"")</f>
        <v/>
      </c>
      <c r="P924" s="12" t="str">
        <f>IF(K924=0.2,"CASA","")</f>
        <v/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" customHeight="1" x14ac:dyDescent="0.2">
      <c r="A925" s="5" t="str">
        <f>IF(AND(B925="",ISNUMBER(B926)),CHOOSE(MONTH(B926),"GENNAIO","FEBBRAIO","MARZO","APRILE","MAGGIO","GIUGNO","LUGLIO","AGOSTO","SETTEMBRE","OTTOBRE","NOVEMBRE","DICEMBRE")&amp;" "&amp;YEAR(B926),"")</f>
        <v/>
      </c>
      <c r="B925" s="11"/>
      <c r="C925" s="12"/>
      <c r="D925" s="12" t="str">
        <f>IF(C925="","",C925-IF(C924&lt;&gt;"",C924,IF(C923&lt;&gt;"",C923,IF(C922&lt;&gt;"",C922,0))))</f>
        <v/>
      </c>
      <c r="E925" s="12"/>
      <c r="F925" s="12"/>
      <c r="G925" s="9" t="str">
        <f>IF(AND(E925="",F925=""),"",IF(OR(E925&gt;1,F925&gt;1),(F925-E925)/100,F925-E925))</f>
        <v/>
      </c>
      <c r="H925" s="12" t="str">
        <f>IF(G925="","",64*G925)</f>
        <v/>
      </c>
      <c r="I925" s="13"/>
      <c r="J925" s="13" t="str">
        <f>IFERROR(IF(OR(D925="",D925=0),"",I925/D925*100),"")</f>
        <v/>
      </c>
      <c r="K925" s="14"/>
      <c r="L925" s="13" t="str">
        <f>IF(I925="","",I925*K925)</f>
        <v/>
      </c>
      <c r="M925" s="13" t="str">
        <f>IF(B925="","",IFERROR(SUMPRODUCT(ISNUMBER(B$3:B925)*(MONTH(IF(ISNUMBER(B$3:B925),B$3:B925,1))=MONTH(B925))*(YEAR(IF(ISNUMBER(B$3:B925),B$3:B925,1))=YEAR(B925))*IF(ISNUMBER(L$3:L925),L$3:L925,0)),""))</f>
        <v/>
      </c>
      <c r="N925" s="6"/>
      <c r="O925" s="7" t="str">
        <f>IF(AND(B925="",ISNUMBER(B926)),CHOOSE(MONTH(B926),"GENNAIO","FEBBRAIO","MARZO","APRILE","MAGGIO","GIUGNO","LUGLIO","AGOSTO","SETTEMBRE","OTTOBRE","NOVEMBRE","DICEMBRE")&amp;" "&amp;YEAR(B926),"")</f>
        <v/>
      </c>
      <c r="P925" s="12" t="str">
        <f>IF(K925=0.2,"CASA","")</f>
        <v/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" customHeight="1" x14ac:dyDescent="0.2">
      <c r="A926" s="5" t="str">
        <f>IF(AND(B926="",ISNUMBER(B927)),CHOOSE(MONTH(B927),"GENNAIO","FEBBRAIO","MARZO","APRILE","MAGGIO","GIUGNO","LUGLIO","AGOSTO","SETTEMBRE","OTTOBRE","NOVEMBRE","DICEMBRE")&amp;" "&amp;YEAR(B927),"")</f>
        <v/>
      </c>
      <c r="B926" s="11"/>
      <c r="C926" s="12"/>
      <c r="D926" s="12" t="str">
        <f>IF(C926="","",C926-IF(C925&lt;&gt;"",C925,IF(C924&lt;&gt;"",C924,IF(C923&lt;&gt;"",C923,0))))</f>
        <v/>
      </c>
      <c r="E926" s="12"/>
      <c r="F926" s="12"/>
      <c r="G926" s="9" t="str">
        <f>IF(AND(E926="",F926=""),"",IF(OR(E926&gt;1,F926&gt;1),(F926-E926)/100,F926-E926))</f>
        <v/>
      </c>
      <c r="H926" s="12" t="str">
        <f>IF(G926="","",64*G926)</f>
        <v/>
      </c>
      <c r="I926" s="13"/>
      <c r="J926" s="13" t="str">
        <f>IFERROR(IF(OR(D926="",D926=0),"",I926/D926*100),"")</f>
        <v/>
      </c>
      <c r="K926" s="14"/>
      <c r="L926" s="13" t="str">
        <f>IF(I926="","",I926*K926)</f>
        <v/>
      </c>
      <c r="M926" s="13" t="str">
        <f>IF(B926="","",IFERROR(SUMPRODUCT(ISNUMBER(B$3:B926)*(MONTH(IF(ISNUMBER(B$3:B926),B$3:B926,1))=MONTH(B926))*(YEAR(IF(ISNUMBER(B$3:B926),B$3:B926,1))=YEAR(B926))*IF(ISNUMBER(L$3:L926),L$3:L926,0)),""))</f>
        <v/>
      </c>
      <c r="N926" s="6"/>
      <c r="O926" s="7" t="str">
        <f>IF(AND(B926="",ISNUMBER(B927)),CHOOSE(MONTH(B927),"GENNAIO","FEBBRAIO","MARZO","APRILE","MAGGIO","GIUGNO","LUGLIO","AGOSTO","SETTEMBRE","OTTOBRE","NOVEMBRE","DICEMBRE")&amp;" "&amp;YEAR(B927),"")</f>
        <v/>
      </c>
      <c r="P926" s="12" t="str">
        <f>IF(K926=0.2,"CASA","")</f>
        <v/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" customHeight="1" x14ac:dyDescent="0.2">
      <c r="A927" s="5" t="str">
        <f>IF(AND(B927="",ISNUMBER(B928)),CHOOSE(MONTH(B928),"GENNAIO","FEBBRAIO","MARZO","APRILE","MAGGIO","GIUGNO","LUGLIO","AGOSTO","SETTEMBRE","OTTOBRE","NOVEMBRE","DICEMBRE")&amp;" "&amp;YEAR(B928),"")</f>
        <v/>
      </c>
      <c r="B927" s="11"/>
      <c r="C927" s="12"/>
      <c r="D927" s="12" t="str">
        <f>IF(C927="","",C927-IF(C926&lt;&gt;"",C926,IF(C925&lt;&gt;"",C925,IF(C924&lt;&gt;"",C924,0))))</f>
        <v/>
      </c>
      <c r="E927" s="12"/>
      <c r="F927" s="12"/>
      <c r="G927" s="9" t="str">
        <f>IF(AND(E927="",F927=""),"",IF(OR(E927&gt;1,F927&gt;1),(F927-E927)/100,F927-E927))</f>
        <v/>
      </c>
      <c r="H927" s="12" t="str">
        <f>IF(G927="","",64*G927)</f>
        <v/>
      </c>
      <c r="I927" s="13"/>
      <c r="J927" s="13" t="str">
        <f>IFERROR(IF(OR(D927="",D927=0),"",I927/D927*100),"")</f>
        <v/>
      </c>
      <c r="K927" s="14"/>
      <c r="L927" s="13" t="str">
        <f>IF(I927="","",I927*K927)</f>
        <v/>
      </c>
      <c r="M927" s="13" t="str">
        <f>IF(B927="","",IFERROR(SUMPRODUCT(ISNUMBER(B$3:B927)*(MONTH(IF(ISNUMBER(B$3:B927),B$3:B927,1))=MONTH(B927))*(YEAR(IF(ISNUMBER(B$3:B927),B$3:B927,1))=YEAR(B927))*IF(ISNUMBER(L$3:L927),L$3:L927,0)),""))</f>
        <v/>
      </c>
      <c r="N927" s="6"/>
      <c r="O927" s="7" t="str">
        <f>IF(AND(B927="",ISNUMBER(B928)),CHOOSE(MONTH(B928),"GENNAIO","FEBBRAIO","MARZO","APRILE","MAGGIO","GIUGNO","LUGLIO","AGOSTO","SETTEMBRE","OTTOBRE","NOVEMBRE","DICEMBRE")&amp;" "&amp;YEAR(B928),"")</f>
        <v/>
      </c>
      <c r="P927" s="12" t="str">
        <f>IF(K927=0.2,"CASA","")</f>
        <v/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" customHeight="1" x14ac:dyDescent="0.2">
      <c r="A928" s="5" t="str">
        <f>IF(AND(B928="",ISNUMBER(B929)),CHOOSE(MONTH(B929),"GENNAIO","FEBBRAIO","MARZO","APRILE","MAGGIO","GIUGNO","LUGLIO","AGOSTO","SETTEMBRE","OTTOBRE","NOVEMBRE","DICEMBRE")&amp;" "&amp;YEAR(B929),"")</f>
        <v/>
      </c>
      <c r="B928" s="11"/>
      <c r="C928" s="12"/>
      <c r="D928" s="12" t="str">
        <f>IF(C928="","",C928-IF(C927&lt;&gt;"",C927,IF(C926&lt;&gt;"",C926,IF(C925&lt;&gt;"",C925,0))))</f>
        <v/>
      </c>
      <c r="E928" s="12"/>
      <c r="F928" s="12"/>
      <c r="G928" s="9" t="str">
        <f>IF(AND(E928="",F928=""),"",IF(OR(E928&gt;1,F928&gt;1),(F928-E928)/100,F928-E928))</f>
        <v/>
      </c>
      <c r="H928" s="12" t="str">
        <f>IF(G928="","",64*G928)</f>
        <v/>
      </c>
      <c r="I928" s="13"/>
      <c r="J928" s="13" t="str">
        <f>IFERROR(IF(OR(D928="",D928=0),"",I928/D928*100),"")</f>
        <v/>
      </c>
      <c r="K928" s="14"/>
      <c r="L928" s="13" t="str">
        <f>IF(I928="","",I928*K928)</f>
        <v/>
      </c>
      <c r="M928" s="13" t="str">
        <f>IF(B928="","",IFERROR(SUMPRODUCT(ISNUMBER(B$3:B928)*(MONTH(IF(ISNUMBER(B$3:B928),B$3:B928,1))=MONTH(B928))*(YEAR(IF(ISNUMBER(B$3:B928),B$3:B928,1))=YEAR(B928))*IF(ISNUMBER(L$3:L928),L$3:L928,0)),""))</f>
        <v/>
      </c>
      <c r="N928" s="6"/>
      <c r="O928" s="7" t="str">
        <f>IF(AND(B928="",ISNUMBER(B929)),CHOOSE(MONTH(B929),"GENNAIO","FEBBRAIO","MARZO","APRILE","MAGGIO","GIUGNO","LUGLIO","AGOSTO","SETTEMBRE","OTTOBRE","NOVEMBRE","DICEMBRE")&amp;" "&amp;YEAR(B929),"")</f>
        <v/>
      </c>
      <c r="P928" s="12" t="str">
        <f>IF(K928=0.2,"CASA","")</f>
        <v/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" customHeight="1" x14ac:dyDescent="0.2">
      <c r="A929" s="5" t="str">
        <f>IF(AND(B929="",ISNUMBER(B930)),CHOOSE(MONTH(B930),"GENNAIO","FEBBRAIO","MARZO","APRILE","MAGGIO","GIUGNO","LUGLIO","AGOSTO","SETTEMBRE","OTTOBRE","NOVEMBRE","DICEMBRE")&amp;" "&amp;YEAR(B930),"")</f>
        <v/>
      </c>
      <c r="B929" s="11"/>
      <c r="C929" s="12"/>
      <c r="D929" s="12" t="str">
        <f>IF(C929="","",C929-IF(C928&lt;&gt;"",C928,IF(C927&lt;&gt;"",C927,IF(C926&lt;&gt;"",C926,0))))</f>
        <v/>
      </c>
      <c r="E929" s="12"/>
      <c r="F929" s="12"/>
      <c r="G929" s="9" t="str">
        <f>IF(AND(E929="",F929=""),"",IF(OR(E929&gt;1,F929&gt;1),(F929-E929)/100,F929-E929))</f>
        <v/>
      </c>
      <c r="H929" s="12" t="str">
        <f>IF(G929="","",64*G929)</f>
        <v/>
      </c>
      <c r="I929" s="13"/>
      <c r="J929" s="13" t="str">
        <f>IFERROR(IF(OR(D929="",D929=0),"",I929/D929*100),"")</f>
        <v/>
      </c>
      <c r="K929" s="14"/>
      <c r="L929" s="13" t="str">
        <f>IF(I929="","",I929*K929)</f>
        <v/>
      </c>
      <c r="M929" s="13" t="str">
        <f>IF(B929="","",IFERROR(SUMPRODUCT(ISNUMBER(B$3:B929)*(MONTH(IF(ISNUMBER(B$3:B929),B$3:B929,1))=MONTH(B929))*(YEAR(IF(ISNUMBER(B$3:B929),B$3:B929,1))=YEAR(B929))*IF(ISNUMBER(L$3:L929),L$3:L929,0)),""))</f>
        <v/>
      </c>
      <c r="N929" s="6"/>
      <c r="O929" s="7" t="str">
        <f>IF(AND(B929="",ISNUMBER(B930)),CHOOSE(MONTH(B930),"GENNAIO","FEBBRAIO","MARZO","APRILE","MAGGIO","GIUGNO","LUGLIO","AGOSTO","SETTEMBRE","OTTOBRE","NOVEMBRE","DICEMBRE")&amp;" "&amp;YEAR(B930),"")</f>
        <v/>
      </c>
      <c r="P929" s="12" t="str">
        <f>IF(K929=0.2,"CASA","")</f>
        <v/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" customHeight="1" x14ac:dyDescent="0.2">
      <c r="A930" s="5" t="str">
        <f>IF(AND(B930="",ISNUMBER(B931)),CHOOSE(MONTH(B931),"GENNAIO","FEBBRAIO","MARZO","APRILE","MAGGIO","GIUGNO","LUGLIO","AGOSTO","SETTEMBRE","OTTOBRE","NOVEMBRE","DICEMBRE")&amp;" "&amp;YEAR(B931),"")</f>
        <v/>
      </c>
      <c r="B930" s="11"/>
      <c r="C930" s="12"/>
      <c r="D930" s="12" t="str">
        <f>IF(C930="","",C930-IF(C929&lt;&gt;"",C929,IF(C928&lt;&gt;"",C928,IF(C927&lt;&gt;"",C927,0))))</f>
        <v/>
      </c>
      <c r="E930" s="12"/>
      <c r="F930" s="12"/>
      <c r="G930" s="9" t="str">
        <f>IF(AND(E930="",F930=""),"",IF(OR(E930&gt;1,F930&gt;1),(F930-E930)/100,F930-E930))</f>
        <v/>
      </c>
      <c r="H930" s="12" t="str">
        <f>IF(G930="","",64*G930)</f>
        <v/>
      </c>
      <c r="I930" s="13"/>
      <c r="J930" s="13" t="str">
        <f>IFERROR(IF(OR(D930="",D930=0),"",I930/D930*100),"")</f>
        <v/>
      </c>
      <c r="K930" s="14"/>
      <c r="L930" s="13" t="str">
        <f>IF(I930="","",I930*K930)</f>
        <v/>
      </c>
      <c r="M930" s="13" t="str">
        <f>IF(B930="","",IFERROR(SUMPRODUCT(ISNUMBER(B$3:B930)*(MONTH(IF(ISNUMBER(B$3:B930),B$3:B930,1))=MONTH(B930))*(YEAR(IF(ISNUMBER(B$3:B930),B$3:B930,1))=YEAR(B930))*IF(ISNUMBER(L$3:L930),L$3:L930,0)),""))</f>
        <v/>
      </c>
      <c r="N930" s="6"/>
      <c r="O930" s="7" t="str">
        <f>IF(AND(B930="",ISNUMBER(B931)),CHOOSE(MONTH(B931),"GENNAIO","FEBBRAIO","MARZO","APRILE","MAGGIO","GIUGNO","LUGLIO","AGOSTO","SETTEMBRE","OTTOBRE","NOVEMBRE","DICEMBRE")&amp;" "&amp;YEAR(B931),"")</f>
        <v/>
      </c>
      <c r="P930" s="12" t="str">
        <f>IF(K930=0.2,"CASA","")</f>
        <v/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" customHeight="1" x14ac:dyDescent="0.2">
      <c r="A931" s="5" t="str">
        <f>IF(AND(B931="",ISNUMBER(B932)),CHOOSE(MONTH(B932),"GENNAIO","FEBBRAIO","MARZO","APRILE","MAGGIO","GIUGNO","LUGLIO","AGOSTO","SETTEMBRE","OTTOBRE","NOVEMBRE","DICEMBRE")&amp;" "&amp;YEAR(B932),"")</f>
        <v/>
      </c>
      <c r="B931" s="11"/>
      <c r="C931" s="12"/>
      <c r="D931" s="12" t="str">
        <f>IF(C931="","",C931-IF(C930&lt;&gt;"",C930,IF(C929&lt;&gt;"",C929,IF(C928&lt;&gt;"",C928,0))))</f>
        <v/>
      </c>
      <c r="E931" s="12"/>
      <c r="F931" s="12"/>
      <c r="G931" s="9" t="str">
        <f>IF(AND(E931="",F931=""),"",IF(OR(E931&gt;1,F931&gt;1),(F931-E931)/100,F931-E931))</f>
        <v/>
      </c>
      <c r="H931" s="12" t="str">
        <f>IF(G931="","",64*G931)</f>
        <v/>
      </c>
      <c r="I931" s="13"/>
      <c r="J931" s="13" t="str">
        <f>IFERROR(IF(OR(D931="",D931=0),"",I931/D931*100),"")</f>
        <v/>
      </c>
      <c r="K931" s="14"/>
      <c r="L931" s="13" t="str">
        <f>IF(I931="","",I931*K931)</f>
        <v/>
      </c>
      <c r="M931" s="13" t="str">
        <f>IF(B931="","",IFERROR(SUMPRODUCT(ISNUMBER(B$3:B931)*(MONTH(IF(ISNUMBER(B$3:B931),B$3:B931,1))=MONTH(B931))*(YEAR(IF(ISNUMBER(B$3:B931),B$3:B931,1))=YEAR(B931))*IF(ISNUMBER(L$3:L931),L$3:L931,0)),""))</f>
        <v/>
      </c>
      <c r="N931" s="6"/>
      <c r="O931" s="7" t="str">
        <f>IF(AND(B931="",ISNUMBER(B932)),CHOOSE(MONTH(B932),"GENNAIO","FEBBRAIO","MARZO","APRILE","MAGGIO","GIUGNO","LUGLIO","AGOSTO","SETTEMBRE","OTTOBRE","NOVEMBRE","DICEMBRE")&amp;" "&amp;YEAR(B932),"")</f>
        <v/>
      </c>
      <c r="P931" s="12" t="str">
        <f>IF(K931=0.2,"CASA","")</f>
        <v/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" customHeight="1" x14ac:dyDescent="0.2">
      <c r="A932" s="5" t="str">
        <f>IF(AND(B932="",ISNUMBER(B933)),CHOOSE(MONTH(B933),"GENNAIO","FEBBRAIO","MARZO","APRILE","MAGGIO","GIUGNO","LUGLIO","AGOSTO","SETTEMBRE","OTTOBRE","NOVEMBRE","DICEMBRE")&amp;" "&amp;YEAR(B933),"")</f>
        <v/>
      </c>
      <c r="B932" s="11"/>
      <c r="C932" s="12"/>
      <c r="D932" s="12" t="str">
        <f>IF(C932="","",C932-IF(C931&lt;&gt;"",C931,IF(C930&lt;&gt;"",C930,IF(C929&lt;&gt;"",C929,0))))</f>
        <v/>
      </c>
      <c r="E932" s="12"/>
      <c r="F932" s="12"/>
      <c r="G932" s="9" t="str">
        <f>IF(AND(E932="",F932=""),"",IF(OR(E932&gt;1,F932&gt;1),(F932-E932)/100,F932-E932))</f>
        <v/>
      </c>
      <c r="H932" s="12" t="str">
        <f>IF(G932="","",64*G932)</f>
        <v/>
      </c>
      <c r="I932" s="13"/>
      <c r="J932" s="13" t="str">
        <f>IFERROR(IF(OR(D932="",D932=0),"",I932/D932*100),"")</f>
        <v/>
      </c>
      <c r="K932" s="14"/>
      <c r="L932" s="13" t="str">
        <f>IF(I932="","",I932*K932)</f>
        <v/>
      </c>
      <c r="M932" s="13" t="str">
        <f>IF(B932="","",IFERROR(SUMPRODUCT(ISNUMBER(B$3:B932)*(MONTH(IF(ISNUMBER(B$3:B932),B$3:B932,1))=MONTH(B932))*(YEAR(IF(ISNUMBER(B$3:B932),B$3:B932,1))=YEAR(B932))*IF(ISNUMBER(L$3:L932),L$3:L932,0)),""))</f>
        <v/>
      </c>
      <c r="N932" s="6"/>
      <c r="O932" s="7" t="str">
        <f>IF(AND(B932="",ISNUMBER(B933)),CHOOSE(MONTH(B933),"GENNAIO","FEBBRAIO","MARZO","APRILE","MAGGIO","GIUGNO","LUGLIO","AGOSTO","SETTEMBRE","OTTOBRE","NOVEMBRE","DICEMBRE")&amp;" "&amp;YEAR(B933),"")</f>
        <v/>
      </c>
      <c r="P932" s="12" t="str">
        <f>IF(K932=0.2,"CASA","")</f>
        <v/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" customHeight="1" x14ac:dyDescent="0.2">
      <c r="A933" s="5" t="str">
        <f>IF(AND(B933="",ISNUMBER(B934)),CHOOSE(MONTH(B934),"GENNAIO","FEBBRAIO","MARZO","APRILE","MAGGIO","GIUGNO","LUGLIO","AGOSTO","SETTEMBRE","OTTOBRE","NOVEMBRE","DICEMBRE")&amp;" "&amp;YEAR(B934),"")</f>
        <v/>
      </c>
      <c r="B933" s="11"/>
      <c r="C933" s="12"/>
      <c r="D933" s="12" t="str">
        <f>IF(C933="","",C933-IF(C932&lt;&gt;"",C932,IF(C931&lt;&gt;"",C931,IF(C930&lt;&gt;"",C930,0))))</f>
        <v/>
      </c>
      <c r="E933" s="12"/>
      <c r="F933" s="12"/>
      <c r="G933" s="9" t="str">
        <f>IF(AND(E933="",F933=""),"",IF(OR(E933&gt;1,F933&gt;1),(F933-E933)/100,F933-E933))</f>
        <v/>
      </c>
      <c r="H933" s="12" t="str">
        <f>IF(G933="","",64*G933)</f>
        <v/>
      </c>
      <c r="I933" s="13"/>
      <c r="J933" s="13" t="str">
        <f>IFERROR(IF(OR(D933="",D933=0),"",I933/D933*100),"")</f>
        <v/>
      </c>
      <c r="K933" s="14"/>
      <c r="L933" s="13" t="str">
        <f>IF(I933="","",I933*K933)</f>
        <v/>
      </c>
      <c r="M933" s="13" t="str">
        <f>IF(B933="","",IFERROR(SUMPRODUCT(ISNUMBER(B$3:B933)*(MONTH(IF(ISNUMBER(B$3:B933),B$3:B933,1))=MONTH(B933))*(YEAR(IF(ISNUMBER(B$3:B933),B$3:B933,1))=YEAR(B933))*IF(ISNUMBER(L$3:L933),L$3:L933,0)),""))</f>
        <v/>
      </c>
      <c r="N933" s="6"/>
      <c r="O933" s="7" t="str">
        <f>IF(AND(B933="",ISNUMBER(B934)),CHOOSE(MONTH(B934),"GENNAIO","FEBBRAIO","MARZO","APRILE","MAGGIO","GIUGNO","LUGLIO","AGOSTO","SETTEMBRE","OTTOBRE","NOVEMBRE","DICEMBRE")&amp;" "&amp;YEAR(B934),"")</f>
        <v/>
      </c>
      <c r="P933" s="12" t="str">
        <f>IF(K933=0.2,"CASA","")</f>
        <v/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" customHeight="1" x14ac:dyDescent="0.2">
      <c r="A934" s="5" t="str">
        <f>IF(AND(B934="",ISNUMBER(B935)),CHOOSE(MONTH(B935),"GENNAIO","FEBBRAIO","MARZO","APRILE","MAGGIO","GIUGNO","LUGLIO","AGOSTO","SETTEMBRE","OTTOBRE","NOVEMBRE","DICEMBRE")&amp;" "&amp;YEAR(B935),"")</f>
        <v/>
      </c>
      <c r="B934" s="11"/>
      <c r="C934" s="12"/>
      <c r="D934" s="12" t="str">
        <f>IF(C934="","",C934-IF(C933&lt;&gt;"",C933,IF(C932&lt;&gt;"",C932,IF(C931&lt;&gt;"",C931,0))))</f>
        <v/>
      </c>
      <c r="E934" s="12"/>
      <c r="F934" s="12"/>
      <c r="G934" s="9" t="str">
        <f>IF(AND(E934="",F934=""),"",IF(OR(E934&gt;1,F934&gt;1),(F934-E934)/100,F934-E934))</f>
        <v/>
      </c>
      <c r="H934" s="12" t="str">
        <f>IF(G934="","",64*G934)</f>
        <v/>
      </c>
      <c r="I934" s="13"/>
      <c r="J934" s="13" t="str">
        <f>IFERROR(IF(OR(D934="",D934=0),"",I934/D934*100),"")</f>
        <v/>
      </c>
      <c r="K934" s="14"/>
      <c r="L934" s="13" t="str">
        <f>IF(I934="","",I934*K934)</f>
        <v/>
      </c>
      <c r="M934" s="13" t="str">
        <f>IF(B934="","",IFERROR(SUMPRODUCT(ISNUMBER(B$3:B934)*(MONTH(IF(ISNUMBER(B$3:B934),B$3:B934,1))=MONTH(B934))*(YEAR(IF(ISNUMBER(B$3:B934),B$3:B934,1))=YEAR(B934))*IF(ISNUMBER(L$3:L934),L$3:L934,0)),""))</f>
        <v/>
      </c>
      <c r="N934" s="6"/>
      <c r="O934" s="7" t="str">
        <f>IF(AND(B934="",ISNUMBER(B935)),CHOOSE(MONTH(B935),"GENNAIO","FEBBRAIO","MARZO","APRILE","MAGGIO","GIUGNO","LUGLIO","AGOSTO","SETTEMBRE","OTTOBRE","NOVEMBRE","DICEMBRE")&amp;" "&amp;YEAR(B935),"")</f>
        <v/>
      </c>
      <c r="P934" s="12" t="str">
        <f>IF(K934=0.2,"CASA","")</f>
        <v/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" customHeight="1" x14ac:dyDescent="0.2">
      <c r="A935" s="5" t="str">
        <f>IF(AND(B935="",ISNUMBER(B936)),CHOOSE(MONTH(B936),"GENNAIO","FEBBRAIO","MARZO","APRILE","MAGGIO","GIUGNO","LUGLIO","AGOSTO","SETTEMBRE","OTTOBRE","NOVEMBRE","DICEMBRE")&amp;" "&amp;YEAR(B936),"")</f>
        <v/>
      </c>
      <c r="B935" s="11"/>
      <c r="C935" s="12"/>
      <c r="D935" s="12" t="str">
        <f>IF(C935="","",C935-IF(C934&lt;&gt;"",C934,IF(C933&lt;&gt;"",C933,IF(C932&lt;&gt;"",C932,0))))</f>
        <v/>
      </c>
      <c r="E935" s="12"/>
      <c r="F935" s="12"/>
      <c r="G935" s="9" t="str">
        <f>IF(AND(E935="",F935=""),"",IF(OR(E935&gt;1,F935&gt;1),(F935-E935)/100,F935-E935))</f>
        <v/>
      </c>
      <c r="H935" s="12" t="str">
        <f>IF(G935="","",64*G935)</f>
        <v/>
      </c>
      <c r="I935" s="13"/>
      <c r="J935" s="13" t="str">
        <f>IFERROR(IF(OR(D935="",D935=0),"",I935/D935*100),"")</f>
        <v/>
      </c>
      <c r="K935" s="14"/>
      <c r="L935" s="13" t="str">
        <f>IF(I935="","",I935*K935)</f>
        <v/>
      </c>
      <c r="M935" s="13" t="str">
        <f>IF(B935="","",IFERROR(SUMPRODUCT(ISNUMBER(B$3:B935)*(MONTH(IF(ISNUMBER(B$3:B935),B$3:B935,1))=MONTH(B935))*(YEAR(IF(ISNUMBER(B$3:B935),B$3:B935,1))=YEAR(B935))*IF(ISNUMBER(L$3:L935),L$3:L935,0)),""))</f>
        <v/>
      </c>
      <c r="N935" s="6"/>
      <c r="O935" s="7" t="str">
        <f>IF(AND(B935="",ISNUMBER(B936)),CHOOSE(MONTH(B936),"GENNAIO","FEBBRAIO","MARZO","APRILE","MAGGIO","GIUGNO","LUGLIO","AGOSTO","SETTEMBRE","OTTOBRE","NOVEMBRE","DICEMBRE")&amp;" "&amp;YEAR(B936),"")</f>
        <v/>
      </c>
      <c r="P935" s="12" t="str">
        <f>IF(K935=0.2,"CASA","")</f>
        <v/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" customHeight="1" x14ac:dyDescent="0.2">
      <c r="A936" s="5" t="str">
        <f>IF(AND(B936="",ISNUMBER(B937)),CHOOSE(MONTH(B937),"GENNAIO","FEBBRAIO","MARZO","APRILE","MAGGIO","GIUGNO","LUGLIO","AGOSTO","SETTEMBRE","OTTOBRE","NOVEMBRE","DICEMBRE")&amp;" "&amp;YEAR(B937),"")</f>
        <v/>
      </c>
      <c r="B936" s="11"/>
      <c r="C936" s="12"/>
      <c r="D936" s="12" t="str">
        <f>IF(C936="","",C936-IF(C935&lt;&gt;"",C935,IF(C934&lt;&gt;"",C934,IF(C933&lt;&gt;"",C933,0))))</f>
        <v/>
      </c>
      <c r="E936" s="12"/>
      <c r="F936" s="12"/>
      <c r="G936" s="9" t="str">
        <f>IF(AND(E936="",F936=""),"",IF(OR(E936&gt;1,F936&gt;1),(F936-E936)/100,F936-E936))</f>
        <v/>
      </c>
      <c r="H936" s="12" t="str">
        <f>IF(G936="","",64*G936)</f>
        <v/>
      </c>
      <c r="I936" s="13"/>
      <c r="J936" s="13" t="str">
        <f>IFERROR(IF(OR(D936="",D936=0),"",I936/D936*100),"")</f>
        <v/>
      </c>
      <c r="K936" s="14"/>
      <c r="L936" s="13" t="str">
        <f>IF(I936="","",I936*K936)</f>
        <v/>
      </c>
      <c r="M936" s="13" t="str">
        <f>IF(B936="","",IFERROR(SUMPRODUCT(ISNUMBER(B$3:B936)*(MONTH(IF(ISNUMBER(B$3:B936),B$3:B936,1))=MONTH(B936))*(YEAR(IF(ISNUMBER(B$3:B936),B$3:B936,1))=YEAR(B936))*IF(ISNUMBER(L$3:L936),L$3:L936,0)),""))</f>
        <v/>
      </c>
      <c r="N936" s="6"/>
      <c r="O936" s="7" t="str">
        <f>IF(AND(B936="",ISNUMBER(B937)),CHOOSE(MONTH(B937),"GENNAIO","FEBBRAIO","MARZO","APRILE","MAGGIO","GIUGNO","LUGLIO","AGOSTO","SETTEMBRE","OTTOBRE","NOVEMBRE","DICEMBRE")&amp;" "&amp;YEAR(B937),"")</f>
        <v/>
      </c>
      <c r="P936" s="12" t="str">
        <f>IF(K936=0.2,"CASA","")</f>
        <v/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" customHeight="1" x14ac:dyDescent="0.2">
      <c r="A937" s="5" t="str">
        <f>IF(AND(B937="",ISNUMBER(B938)),CHOOSE(MONTH(B938),"GENNAIO","FEBBRAIO","MARZO","APRILE","MAGGIO","GIUGNO","LUGLIO","AGOSTO","SETTEMBRE","OTTOBRE","NOVEMBRE","DICEMBRE")&amp;" "&amp;YEAR(B938),"")</f>
        <v/>
      </c>
      <c r="B937" s="11"/>
      <c r="C937" s="12"/>
      <c r="D937" s="12" t="str">
        <f>IF(C937="","",C937-IF(C936&lt;&gt;"",C936,IF(C935&lt;&gt;"",C935,IF(C934&lt;&gt;"",C934,0))))</f>
        <v/>
      </c>
      <c r="E937" s="12"/>
      <c r="F937" s="12"/>
      <c r="G937" s="9" t="str">
        <f>IF(AND(E937="",F937=""),"",IF(OR(E937&gt;1,F937&gt;1),(F937-E937)/100,F937-E937))</f>
        <v/>
      </c>
      <c r="H937" s="12" t="str">
        <f>IF(G937="","",64*G937)</f>
        <v/>
      </c>
      <c r="I937" s="13"/>
      <c r="J937" s="13" t="str">
        <f>IFERROR(IF(OR(D937="",D937=0),"",I937/D937*100),"")</f>
        <v/>
      </c>
      <c r="K937" s="14"/>
      <c r="L937" s="13" t="str">
        <f>IF(I937="","",I937*K937)</f>
        <v/>
      </c>
      <c r="M937" s="13" t="str">
        <f>IF(B937="","",IFERROR(SUMPRODUCT(ISNUMBER(B$3:B937)*(MONTH(IF(ISNUMBER(B$3:B937),B$3:B937,1))=MONTH(B937))*(YEAR(IF(ISNUMBER(B$3:B937),B$3:B937,1))=YEAR(B937))*IF(ISNUMBER(L$3:L937),L$3:L937,0)),""))</f>
        <v/>
      </c>
      <c r="N937" s="6"/>
      <c r="O937" s="7" t="str">
        <f>IF(AND(B937="",ISNUMBER(B938)),CHOOSE(MONTH(B938),"GENNAIO","FEBBRAIO","MARZO","APRILE","MAGGIO","GIUGNO","LUGLIO","AGOSTO","SETTEMBRE","OTTOBRE","NOVEMBRE","DICEMBRE")&amp;" "&amp;YEAR(B938),"")</f>
        <v/>
      </c>
      <c r="P937" s="12" t="str">
        <f>IF(K937=0.2,"CASA","")</f>
        <v/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" customHeight="1" x14ac:dyDescent="0.2">
      <c r="A938" s="5" t="str">
        <f>IF(AND(B938="",ISNUMBER(B939)),CHOOSE(MONTH(B939),"GENNAIO","FEBBRAIO","MARZO","APRILE","MAGGIO","GIUGNO","LUGLIO","AGOSTO","SETTEMBRE","OTTOBRE","NOVEMBRE","DICEMBRE")&amp;" "&amp;YEAR(B939),"")</f>
        <v/>
      </c>
      <c r="B938" s="11"/>
      <c r="C938" s="12"/>
      <c r="D938" s="12" t="str">
        <f>IF(C938="","",C938-IF(C937&lt;&gt;"",C937,IF(C936&lt;&gt;"",C936,IF(C935&lt;&gt;"",C935,0))))</f>
        <v/>
      </c>
      <c r="E938" s="12"/>
      <c r="F938" s="12"/>
      <c r="G938" s="9" t="str">
        <f>IF(AND(E938="",F938=""),"",IF(OR(E938&gt;1,F938&gt;1),(F938-E938)/100,F938-E938))</f>
        <v/>
      </c>
      <c r="H938" s="12" t="str">
        <f>IF(G938="","",64*G938)</f>
        <v/>
      </c>
      <c r="I938" s="13"/>
      <c r="J938" s="13" t="str">
        <f>IFERROR(IF(OR(D938="",D938=0),"",I938/D938*100),"")</f>
        <v/>
      </c>
      <c r="K938" s="14"/>
      <c r="L938" s="13" t="str">
        <f>IF(I938="","",I938*K938)</f>
        <v/>
      </c>
      <c r="M938" s="13" t="str">
        <f>IF(B938="","",IFERROR(SUMPRODUCT(ISNUMBER(B$3:B938)*(MONTH(IF(ISNUMBER(B$3:B938),B$3:B938,1))=MONTH(B938))*(YEAR(IF(ISNUMBER(B$3:B938),B$3:B938,1))=YEAR(B938))*IF(ISNUMBER(L$3:L938),L$3:L938,0)),""))</f>
        <v/>
      </c>
      <c r="N938" s="6"/>
      <c r="O938" s="7" t="str">
        <f>IF(AND(B938="",ISNUMBER(B939)),CHOOSE(MONTH(B939),"GENNAIO","FEBBRAIO","MARZO","APRILE","MAGGIO","GIUGNO","LUGLIO","AGOSTO","SETTEMBRE","OTTOBRE","NOVEMBRE","DICEMBRE")&amp;" "&amp;YEAR(B939),"")</f>
        <v/>
      </c>
      <c r="P938" s="12" t="str">
        <f>IF(K938=0.2,"CASA","")</f>
        <v/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" customHeight="1" x14ac:dyDescent="0.2">
      <c r="A939" s="5" t="str">
        <f>IF(AND(B939="",ISNUMBER(B940)),CHOOSE(MONTH(B940),"GENNAIO","FEBBRAIO","MARZO","APRILE","MAGGIO","GIUGNO","LUGLIO","AGOSTO","SETTEMBRE","OTTOBRE","NOVEMBRE","DICEMBRE")&amp;" "&amp;YEAR(B940),"")</f>
        <v/>
      </c>
      <c r="B939" s="11"/>
      <c r="C939" s="12"/>
      <c r="D939" s="12" t="str">
        <f>IF(C939="","",C939-IF(C938&lt;&gt;"",C938,IF(C937&lt;&gt;"",C937,IF(C936&lt;&gt;"",C936,0))))</f>
        <v/>
      </c>
      <c r="E939" s="12"/>
      <c r="F939" s="12"/>
      <c r="G939" s="9" t="str">
        <f>IF(AND(E939="",F939=""),"",IF(OR(E939&gt;1,F939&gt;1),(F939-E939)/100,F939-E939))</f>
        <v/>
      </c>
      <c r="H939" s="12" t="str">
        <f>IF(G939="","",64*G939)</f>
        <v/>
      </c>
      <c r="I939" s="13"/>
      <c r="J939" s="13" t="str">
        <f>IFERROR(IF(OR(D939="",D939=0),"",I939/D939*100),"")</f>
        <v/>
      </c>
      <c r="K939" s="14"/>
      <c r="L939" s="13" t="str">
        <f>IF(I939="","",I939*K939)</f>
        <v/>
      </c>
      <c r="M939" s="13" t="str">
        <f>IF(B939="","",IFERROR(SUMPRODUCT(ISNUMBER(B$3:B939)*(MONTH(IF(ISNUMBER(B$3:B939),B$3:B939,1))=MONTH(B939))*(YEAR(IF(ISNUMBER(B$3:B939),B$3:B939,1))=YEAR(B939))*IF(ISNUMBER(L$3:L939),L$3:L939,0)),""))</f>
        <v/>
      </c>
      <c r="N939" s="6"/>
      <c r="O939" s="7" t="str">
        <f>IF(AND(B939="",ISNUMBER(B940)),CHOOSE(MONTH(B940),"GENNAIO","FEBBRAIO","MARZO","APRILE","MAGGIO","GIUGNO","LUGLIO","AGOSTO","SETTEMBRE","OTTOBRE","NOVEMBRE","DICEMBRE")&amp;" "&amp;YEAR(B940),"")</f>
        <v/>
      </c>
      <c r="P939" s="12" t="str">
        <f>IF(K939=0.2,"CASA","")</f>
        <v/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" customHeight="1" x14ac:dyDescent="0.2">
      <c r="A940" s="5" t="str">
        <f>IF(AND(B940="",ISNUMBER(B941)),CHOOSE(MONTH(B941),"GENNAIO","FEBBRAIO","MARZO","APRILE","MAGGIO","GIUGNO","LUGLIO","AGOSTO","SETTEMBRE","OTTOBRE","NOVEMBRE","DICEMBRE")&amp;" "&amp;YEAR(B941),"")</f>
        <v/>
      </c>
      <c r="B940" s="11"/>
      <c r="C940" s="12"/>
      <c r="D940" s="12" t="str">
        <f>IF(C940="","",C940-IF(C939&lt;&gt;"",C939,IF(C938&lt;&gt;"",C938,IF(C937&lt;&gt;"",C937,0))))</f>
        <v/>
      </c>
      <c r="E940" s="12"/>
      <c r="F940" s="12"/>
      <c r="G940" s="9" t="str">
        <f>IF(AND(E940="",F940=""),"",IF(OR(E940&gt;1,F940&gt;1),(F940-E940)/100,F940-E940))</f>
        <v/>
      </c>
      <c r="H940" s="12" t="str">
        <f>IF(G940="","",64*G940)</f>
        <v/>
      </c>
      <c r="I940" s="13"/>
      <c r="J940" s="13" t="str">
        <f>IFERROR(IF(OR(D940="",D940=0),"",I940/D940*100),"")</f>
        <v/>
      </c>
      <c r="K940" s="14"/>
      <c r="L940" s="13" t="str">
        <f>IF(I940="","",I940*K940)</f>
        <v/>
      </c>
      <c r="M940" s="13" t="str">
        <f>IF(B940="","",IFERROR(SUMPRODUCT(ISNUMBER(B$3:B940)*(MONTH(IF(ISNUMBER(B$3:B940),B$3:B940,1))=MONTH(B940))*(YEAR(IF(ISNUMBER(B$3:B940),B$3:B940,1))=YEAR(B940))*IF(ISNUMBER(L$3:L940),L$3:L940,0)),""))</f>
        <v/>
      </c>
      <c r="N940" s="6"/>
      <c r="O940" s="7" t="str">
        <f>IF(AND(B940="",ISNUMBER(B941)),CHOOSE(MONTH(B941),"GENNAIO","FEBBRAIO","MARZO","APRILE","MAGGIO","GIUGNO","LUGLIO","AGOSTO","SETTEMBRE","OTTOBRE","NOVEMBRE","DICEMBRE")&amp;" "&amp;YEAR(B941),"")</f>
        <v/>
      </c>
      <c r="P940" s="12" t="str">
        <f>IF(K940=0.2,"CASA","")</f>
        <v/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" customHeight="1" x14ac:dyDescent="0.2">
      <c r="A941" s="5" t="str">
        <f>IF(AND(B941="",ISNUMBER(B942)),CHOOSE(MONTH(B942),"GENNAIO","FEBBRAIO","MARZO","APRILE","MAGGIO","GIUGNO","LUGLIO","AGOSTO","SETTEMBRE","OTTOBRE","NOVEMBRE","DICEMBRE")&amp;" "&amp;YEAR(B942),"")</f>
        <v/>
      </c>
      <c r="B941" s="11"/>
      <c r="C941" s="12"/>
      <c r="D941" s="12" t="str">
        <f>IF(C941="","",C941-IF(C940&lt;&gt;"",C940,IF(C939&lt;&gt;"",C939,IF(C938&lt;&gt;"",C938,0))))</f>
        <v/>
      </c>
      <c r="E941" s="12"/>
      <c r="F941" s="12"/>
      <c r="G941" s="9" t="str">
        <f>IF(AND(E941="",F941=""),"",IF(OR(E941&gt;1,F941&gt;1),(F941-E941)/100,F941-E941))</f>
        <v/>
      </c>
      <c r="H941" s="12" t="str">
        <f>IF(G941="","",64*G941)</f>
        <v/>
      </c>
      <c r="I941" s="13"/>
      <c r="J941" s="13" t="str">
        <f>IFERROR(IF(OR(D941="",D941=0),"",I941/D941*100),"")</f>
        <v/>
      </c>
      <c r="K941" s="14"/>
      <c r="L941" s="13" t="str">
        <f>IF(I941="","",I941*K941)</f>
        <v/>
      </c>
      <c r="M941" s="13" t="str">
        <f>IF(B941="","",IFERROR(SUMPRODUCT(ISNUMBER(B$3:B941)*(MONTH(IF(ISNUMBER(B$3:B941),B$3:B941,1))=MONTH(B941))*(YEAR(IF(ISNUMBER(B$3:B941),B$3:B941,1))=YEAR(B941))*IF(ISNUMBER(L$3:L941),L$3:L941,0)),""))</f>
        <v/>
      </c>
      <c r="N941" s="6"/>
      <c r="O941" s="7" t="str">
        <f>IF(AND(B941="",ISNUMBER(B942)),CHOOSE(MONTH(B942),"GENNAIO","FEBBRAIO","MARZO","APRILE","MAGGIO","GIUGNO","LUGLIO","AGOSTO","SETTEMBRE","OTTOBRE","NOVEMBRE","DICEMBRE")&amp;" "&amp;YEAR(B942),"")</f>
        <v/>
      </c>
      <c r="P941" s="12" t="str">
        <f>IF(K941=0.2,"CASA","")</f>
        <v/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" customHeight="1" x14ac:dyDescent="0.2">
      <c r="A942" s="5" t="str">
        <f>IF(AND(B942="",ISNUMBER(B943)),CHOOSE(MONTH(B943),"GENNAIO","FEBBRAIO","MARZO","APRILE","MAGGIO","GIUGNO","LUGLIO","AGOSTO","SETTEMBRE","OTTOBRE","NOVEMBRE","DICEMBRE")&amp;" "&amp;YEAR(B943),"")</f>
        <v/>
      </c>
      <c r="B942" s="11"/>
      <c r="C942" s="12"/>
      <c r="D942" s="12" t="str">
        <f>IF(C942="","",C942-IF(C941&lt;&gt;"",C941,IF(C940&lt;&gt;"",C940,IF(C939&lt;&gt;"",C939,0))))</f>
        <v/>
      </c>
      <c r="E942" s="12"/>
      <c r="F942" s="12"/>
      <c r="G942" s="9" t="str">
        <f>IF(AND(E942="",F942=""),"",IF(OR(E942&gt;1,F942&gt;1),(F942-E942)/100,F942-E942))</f>
        <v/>
      </c>
      <c r="H942" s="12" t="str">
        <f>IF(G942="","",64*G942)</f>
        <v/>
      </c>
      <c r="I942" s="13"/>
      <c r="J942" s="13" t="str">
        <f>IFERROR(IF(OR(D942="",D942=0),"",I942/D942*100),"")</f>
        <v/>
      </c>
      <c r="K942" s="14"/>
      <c r="L942" s="13" t="str">
        <f>IF(I942="","",I942*K942)</f>
        <v/>
      </c>
      <c r="M942" s="13" t="str">
        <f>IF(B942="","",IFERROR(SUMPRODUCT(ISNUMBER(B$3:B942)*(MONTH(IF(ISNUMBER(B$3:B942),B$3:B942,1))=MONTH(B942))*(YEAR(IF(ISNUMBER(B$3:B942),B$3:B942,1))=YEAR(B942))*IF(ISNUMBER(L$3:L942),L$3:L942,0)),""))</f>
        <v/>
      </c>
      <c r="N942" s="6"/>
      <c r="O942" s="7" t="str">
        <f>IF(AND(B942="",ISNUMBER(B943)),CHOOSE(MONTH(B943),"GENNAIO","FEBBRAIO","MARZO","APRILE","MAGGIO","GIUGNO","LUGLIO","AGOSTO","SETTEMBRE","OTTOBRE","NOVEMBRE","DICEMBRE")&amp;" "&amp;YEAR(B943),"")</f>
        <v/>
      </c>
      <c r="P942" s="12" t="str">
        <f>IF(K942=0.2,"CASA","")</f>
        <v/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" customHeight="1" x14ac:dyDescent="0.2">
      <c r="A943" s="5" t="str">
        <f>IF(AND(B943="",ISNUMBER(B944)),CHOOSE(MONTH(B944),"GENNAIO","FEBBRAIO","MARZO","APRILE","MAGGIO","GIUGNO","LUGLIO","AGOSTO","SETTEMBRE","OTTOBRE","NOVEMBRE","DICEMBRE")&amp;" "&amp;YEAR(B944),"")</f>
        <v/>
      </c>
      <c r="B943" s="11"/>
      <c r="C943" s="12"/>
      <c r="D943" s="12" t="str">
        <f>IF(C943="","",C943-IF(C942&lt;&gt;"",C942,IF(C941&lt;&gt;"",C941,IF(C940&lt;&gt;"",C940,0))))</f>
        <v/>
      </c>
      <c r="E943" s="12"/>
      <c r="F943" s="12"/>
      <c r="G943" s="9" t="str">
        <f>IF(AND(E943="",F943=""),"",IF(OR(E943&gt;1,F943&gt;1),(F943-E943)/100,F943-E943))</f>
        <v/>
      </c>
      <c r="H943" s="12" t="str">
        <f>IF(G943="","",64*G943)</f>
        <v/>
      </c>
      <c r="I943" s="13"/>
      <c r="J943" s="13" t="str">
        <f>IFERROR(IF(OR(D943="",D943=0),"",I943/D943*100),"")</f>
        <v/>
      </c>
      <c r="K943" s="14"/>
      <c r="L943" s="13" t="str">
        <f>IF(I943="","",I943*K943)</f>
        <v/>
      </c>
      <c r="M943" s="13" t="str">
        <f>IF(B943="","",IFERROR(SUMPRODUCT(ISNUMBER(B$3:B943)*(MONTH(IF(ISNUMBER(B$3:B943),B$3:B943,1))=MONTH(B943))*(YEAR(IF(ISNUMBER(B$3:B943),B$3:B943,1))=YEAR(B943))*IF(ISNUMBER(L$3:L943),L$3:L943,0)),""))</f>
        <v/>
      </c>
      <c r="N943" s="6"/>
      <c r="O943" s="7" t="str">
        <f>IF(AND(B943="",ISNUMBER(B944)),CHOOSE(MONTH(B944),"GENNAIO","FEBBRAIO","MARZO","APRILE","MAGGIO","GIUGNO","LUGLIO","AGOSTO","SETTEMBRE","OTTOBRE","NOVEMBRE","DICEMBRE")&amp;" "&amp;YEAR(B944),"")</f>
        <v/>
      </c>
      <c r="P943" s="12" t="str">
        <f>IF(K943=0.2,"CASA","")</f>
        <v/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" customHeight="1" x14ac:dyDescent="0.2">
      <c r="A944" s="5" t="str">
        <f>IF(AND(B944="",ISNUMBER(B945)),CHOOSE(MONTH(B945),"GENNAIO","FEBBRAIO","MARZO","APRILE","MAGGIO","GIUGNO","LUGLIO","AGOSTO","SETTEMBRE","OTTOBRE","NOVEMBRE","DICEMBRE")&amp;" "&amp;YEAR(B945),"")</f>
        <v/>
      </c>
      <c r="B944" s="11"/>
      <c r="C944" s="12"/>
      <c r="D944" s="12" t="str">
        <f>IF(C944="","",C944-IF(C943&lt;&gt;"",C943,IF(C942&lt;&gt;"",C942,IF(C941&lt;&gt;"",C941,0))))</f>
        <v/>
      </c>
      <c r="E944" s="12"/>
      <c r="F944" s="12"/>
      <c r="G944" s="9" t="str">
        <f>IF(AND(E944="",F944=""),"",IF(OR(E944&gt;1,F944&gt;1),(F944-E944)/100,F944-E944))</f>
        <v/>
      </c>
      <c r="H944" s="12" t="str">
        <f>IF(G944="","",64*G944)</f>
        <v/>
      </c>
      <c r="I944" s="13"/>
      <c r="J944" s="13" t="str">
        <f>IFERROR(IF(OR(D944="",D944=0),"",I944/D944*100),"")</f>
        <v/>
      </c>
      <c r="K944" s="14"/>
      <c r="L944" s="13" t="str">
        <f>IF(I944="","",I944*K944)</f>
        <v/>
      </c>
      <c r="M944" s="13" t="str">
        <f>IF(B944="","",IFERROR(SUMPRODUCT(ISNUMBER(B$3:B944)*(MONTH(IF(ISNUMBER(B$3:B944),B$3:B944,1))=MONTH(B944))*(YEAR(IF(ISNUMBER(B$3:B944),B$3:B944,1))=YEAR(B944))*IF(ISNUMBER(L$3:L944),L$3:L944,0)),""))</f>
        <v/>
      </c>
      <c r="N944" s="6"/>
      <c r="O944" s="7" t="str">
        <f>IF(AND(B944="",ISNUMBER(B945)),CHOOSE(MONTH(B945),"GENNAIO","FEBBRAIO","MARZO","APRILE","MAGGIO","GIUGNO","LUGLIO","AGOSTO","SETTEMBRE","OTTOBRE","NOVEMBRE","DICEMBRE")&amp;" "&amp;YEAR(B945),"")</f>
        <v/>
      </c>
      <c r="P944" s="12" t="str">
        <f>IF(K944=0.2,"CASA","")</f>
        <v/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" customHeight="1" x14ac:dyDescent="0.2">
      <c r="A945" s="5" t="str">
        <f>IF(AND(B945="",ISNUMBER(B946)),CHOOSE(MONTH(B946),"GENNAIO","FEBBRAIO","MARZO","APRILE","MAGGIO","GIUGNO","LUGLIO","AGOSTO","SETTEMBRE","OTTOBRE","NOVEMBRE","DICEMBRE")&amp;" "&amp;YEAR(B946),"")</f>
        <v/>
      </c>
      <c r="B945" s="11"/>
      <c r="C945" s="12"/>
      <c r="D945" s="12" t="str">
        <f>IF(C945="","",C945-IF(C944&lt;&gt;"",C944,IF(C943&lt;&gt;"",C943,IF(C942&lt;&gt;"",C942,0))))</f>
        <v/>
      </c>
      <c r="E945" s="12"/>
      <c r="F945" s="12"/>
      <c r="G945" s="9" t="str">
        <f>IF(AND(E945="",F945=""),"",IF(OR(E945&gt;1,F945&gt;1),(F945-E945)/100,F945-E945))</f>
        <v/>
      </c>
      <c r="H945" s="12" t="str">
        <f>IF(G945="","",64*G945)</f>
        <v/>
      </c>
      <c r="I945" s="13"/>
      <c r="J945" s="13" t="str">
        <f>IFERROR(IF(OR(D945="",D945=0),"",I945/D945*100),"")</f>
        <v/>
      </c>
      <c r="K945" s="14"/>
      <c r="L945" s="13" t="str">
        <f>IF(I945="","",I945*K945)</f>
        <v/>
      </c>
      <c r="M945" s="13" t="str">
        <f>IF(B945="","",IFERROR(SUMPRODUCT(ISNUMBER(B$3:B945)*(MONTH(IF(ISNUMBER(B$3:B945),B$3:B945,1))=MONTH(B945))*(YEAR(IF(ISNUMBER(B$3:B945),B$3:B945,1))=YEAR(B945))*IF(ISNUMBER(L$3:L945),L$3:L945,0)),""))</f>
        <v/>
      </c>
      <c r="N945" s="6"/>
      <c r="O945" s="7" t="str">
        <f>IF(AND(B945="",ISNUMBER(B946)),CHOOSE(MONTH(B946),"GENNAIO","FEBBRAIO","MARZO","APRILE","MAGGIO","GIUGNO","LUGLIO","AGOSTO","SETTEMBRE","OTTOBRE","NOVEMBRE","DICEMBRE")&amp;" "&amp;YEAR(B946),"")</f>
        <v/>
      </c>
      <c r="P945" s="12" t="str">
        <f>IF(K945=0.2,"CASA","")</f>
        <v/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" customHeight="1" x14ac:dyDescent="0.2">
      <c r="A946" s="5" t="str">
        <f>IF(AND(B946="",ISNUMBER(B947)),CHOOSE(MONTH(B947),"GENNAIO","FEBBRAIO","MARZO","APRILE","MAGGIO","GIUGNO","LUGLIO","AGOSTO","SETTEMBRE","OTTOBRE","NOVEMBRE","DICEMBRE")&amp;" "&amp;YEAR(B947),"")</f>
        <v/>
      </c>
      <c r="B946" s="11"/>
      <c r="C946" s="12"/>
      <c r="D946" s="12" t="str">
        <f>IF(C946="","",C946-IF(C945&lt;&gt;"",C945,IF(C944&lt;&gt;"",C944,IF(C943&lt;&gt;"",C943,0))))</f>
        <v/>
      </c>
      <c r="E946" s="12"/>
      <c r="F946" s="12"/>
      <c r="G946" s="9" t="str">
        <f>IF(AND(E946="",F946=""),"",IF(OR(E946&gt;1,F946&gt;1),(F946-E946)/100,F946-E946))</f>
        <v/>
      </c>
      <c r="H946" s="12" t="str">
        <f>IF(G946="","",64*G946)</f>
        <v/>
      </c>
      <c r="I946" s="13"/>
      <c r="J946" s="13" t="str">
        <f>IFERROR(IF(OR(D946="",D946=0),"",I946/D946*100),"")</f>
        <v/>
      </c>
      <c r="K946" s="14"/>
      <c r="L946" s="13" t="str">
        <f>IF(I946="","",I946*K946)</f>
        <v/>
      </c>
      <c r="M946" s="13" t="str">
        <f>IF(B946="","",IFERROR(SUMPRODUCT(ISNUMBER(B$3:B946)*(MONTH(IF(ISNUMBER(B$3:B946),B$3:B946,1))=MONTH(B946))*(YEAR(IF(ISNUMBER(B$3:B946),B$3:B946,1))=YEAR(B946))*IF(ISNUMBER(L$3:L946),L$3:L946,0)),""))</f>
        <v/>
      </c>
      <c r="N946" s="6"/>
      <c r="O946" s="7" t="str">
        <f>IF(AND(B946="",ISNUMBER(B947)),CHOOSE(MONTH(B947),"GENNAIO","FEBBRAIO","MARZO","APRILE","MAGGIO","GIUGNO","LUGLIO","AGOSTO","SETTEMBRE","OTTOBRE","NOVEMBRE","DICEMBRE")&amp;" "&amp;YEAR(B947),"")</f>
        <v/>
      </c>
      <c r="P946" s="12" t="str">
        <f>IF(K946=0.2,"CASA","")</f>
        <v/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" customHeight="1" x14ac:dyDescent="0.2">
      <c r="A947" s="5" t="str">
        <f>IF(AND(B947="",ISNUMBER(B948)),CHOOSE(MONTH(B948),"GENNAIO","FEBBRAIO","MARZO","APRILE","MAGGIO","GIUGNO","LUGLIO","AGOSTO","SETTEMBRE","OTTOBRE","NOVEMBRE","DICEMBRE")&amp;" "&amp;YEAR(B948),"")</f>
        <v/>
      </c>
      <c r="B947" s="11"/>
      <c r="C947" s="12"/>
      <c r="D947" s="12" t="str">
        <f>IF(C947="","",C947-IF(C946&lt;&gt;"",C946,IF(C945&lt;&gt;"",C945,IF(C944&lt;&gt;"",C944,0))))</f>
        <v/>
      </c>
      <c r="E947" s="12"/>
      <c r="F947" s="12"/>
      <c r="G947" s="9" t="str">
        <f>IF(AND(E947="",F947=""),"",IF(OR(E947&gt;1,F947&gt;1),(F947-E947)/100,F947-E947))</f>
        <v/>
      </c>
      <c r="H947" s="12" t="str">
        <f>IF(G947="","",64*G947)</f>
        <v/>
      </c>
      <c r="I947" s="13"/>
      <c r="J947" s="13" t="str">
        <f>IFERROR(IF(OR(D947="",D947=0),"",I947/D947*100),"")</f>
        <v/>
      </c>
      <c r="K947" s="14"/>
      <c r="L947" s="13" t="str">
        <f>IF(I947="","",I947*K947)</f>
        <v/>
      </c>
      <c r="M947" s="13" t="str">
        <f>IF(B947="","",IFERROR(SUMPRODUCT(ISNUMBER(B$3:B947)*(MONTH(IF(ISNUMBER(B$3:B947),B$3:B947,1))=MONTH(B947))*(YEAR(IF(ISNUMBER(B$3:B947),B$3:B947,1))=YEAR(B947))*IF(ISNUMBER(L$3:L947),L$3:L947,0)),""))</f>
        <v/>
      </c>
      <c r="N947" s="6"/>
      <c r="O947" s="7" t="str">
        <f>IF(AND(B947="",ISNUMBER(B948)),CHOOSE(MONTH(B948),"GENNAIO","FEBBRAIO","MARZO","APRILE","MAGGIO","GIUGNO","LUGLIO","AGOSTO","SETTEMBRE","OTTOBRE","NOVEMBRE","DICEMBRE")&amp;" "&amp;YEAR(B948),"")</f>
        <v/>
      </c>
      <c r="P947" s="12" t="str">
        <f>IF(K947=0.2,"CASA","")</f>
        <v/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" customHeight="1" x14ac:dyDescent="0.2">
      <c r="A948" s="5" t="str">
        <f>IF(AND(B948="",ISNUMBER(B949)),CHOOSE(MONTH(B949),"GENNAIO","FEBBRAIO","MARZO","APRILE","MAGGIO","GIUGNO","LUGLIO","AGOSTO","SETTEMBRE","OTTOBRE","NOVEMBRE","DICEMBRE")&amp;" "&amp;YEAR(B949),"")</f>
        <v/>
      </c>
      <c r="B948" s="11"/>
      <c r="C948" s="12"/>
      <c r="D948" s="12" t="str">
        <f>IF(C948="","",C948-IF(C947&lt;&gt;"",C947,IF(C946&lt;&gt;"",C946,IF(C945&lt;&gt;"",C945,0))))</f>
        <v/>
      </c>
      <c r="E948" s="12"/>
      <c r="F948" s="12"/>
      <c r="G948" s="9" t="str">
        <f>IF(AND(E948="",F948=""),"",IF(OR(E948&gt;1,F948&gt;1),(F948-E948)/100,F948-E948))</f>
        <v/>
      </c>
      <c r="H948" s="12" t="str">
        <f>IF(G948="","",64*G948)</f>
        <v/>
      </c>
      <c r="I948" s="13"/>
      <c r="J948" s="13" t="str">
        <f>IFERROR(IF(OR(D948="",D948=0),"",I948/D948*100),"")</f>
        <v/>
      </c>
      <c r="K948" s="14"/>
      <c r="L948" s="13" t="str">
        <f>IF(I948="","",I948*K948)</f>
        <v/>
      </c>
      <c r="M948" s="13" t="str">
        <f>IF(B948="","",IFERROR(SUMPRODUCT(ISNUMBER(B$3:B948)*(MONTH(IF(ISNUMBER(B$3:B948),B$3:B948,1))=MONTH(B948))*(YEAR(IF(ISNUMBER(B$3:B948),B$3:B948,1))=YEAR(B948))*IF(ISNUMBER(L$3:L948),L$3:L948,0)),""))</f>
        <v/>
      </c>
      <c r="N948" s="6"/>
      <c r="O948" s="7" t="str">
        <f>IF(AND(B948="",ISNUMBER(B949)),CHOOSE(MONTH(B949),"GENNAIO","FEBBRAIO","MARZO","APRILE","MAGGIO","GIUGNO","LUGLIO","AGOSTO","SETTEMBRE","OTTOBRE","NOVEMBRE","DICEMBRE")&amp;" "&amp;YEAR(B949),"")</f>
        <v/>
      </c>
      <c r="P948" s="12" t="str">
        <f>IF(K948=0.2,"CASA","")</f>
        <v/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" customHeight="1" x14ac:dyDescent="0.2">
      <c r="A949" s="5" t="str">
        <f>IF(AND(B949="",ISNUMBER(B950)),CHOOSE(MONTH(B950),"GENNAIO","FEBBRAIO","MARZO","APRILE","MAGGIO","GIUGNO","LUGLIO","AGOSTO","SETTEMBRE","OTTOBRE","NOVEMBRE","DICEMBRE")&amp;" "&amp;YEAR(B950),"")</f>
        <v/>
      </c>
      <c r="B949" s="11"/>
      <c r="C949" s="12"/>
      <c r="D949" s="12" t="str">
        <f>IF(C949="","",C949-IF(C948&lt;&gt;"",C948,IF(C947&lt;&gt;"",C947,IF(C946&lt;&gt;"",C946,0))))</f>
        <v/>
      </c>
      <c r="E949" s="12"/>
      <c r="F949" s="12"/>
      <c r="G949" s="9" t="str">
        <f>IF(AND(E949="",F949=""),"",IF(OR(E949&gt;1,F949&gt;1),(F949-E949)/100,F949-E949))</f>
        <v/>
      </c>
      <c r="H949" s="12" t="str">
        <f>IF(G949="","",64*G949)</f>
        <v/>
      </c>
      <c r="I949" s="13"/>
      <c r="J949" s="13" t="str">
        <f>IFERROR(IF(OR(D949="",D949=0),"",I949/D949*100),"")</f>
        <v/>
      </c>
      <c r="K949" s="14"/>
      <c r="L949" s="13" t="str">
        <f>IF(I949="","",I949*K949)</f>
        <v/>
      </c>
      <c r="M949" s="13" t="str">
        <f>IF(B949="","",IFERROR(SUMPRODUCT(ISNUMBER(B$3:B949)*(MONTH(IF(ISNUMBER(B$3:B949),B$3:B949,1))=MONTH(B949))*(YEAR(IF(ISNUMBER(B$3:B949),B$3:B949,1))=YEAR(B949))*IF(ISNUMBER(L$3:L949),L$3:L949,0)),""))</f>
        <v/>
      </c>
      <c r="N949" s="6"/>
      <c r="O949" s="7" t="str">
        <f>IF(AND(B949="",ISNUMBER(B950)),CHOOSE(MONTH(B950),"GENNAIO","FEBBRAIO","MARZO","APRILE","MAGGIO","GIUGNO","LUGLIO","AGOSTO","SETTEMBRE","OTTOBRE","NOVEMBRE","DICEMBRE")&amp;" "&amp;YEAR(B950),"")</f>
        <v/>
      </c>
      <c r="P949" s="12" t="str">
        <f>IF(K949=0.2,"CASA","")</f>
        <v/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" customHeight="1" x14ac:dyDescent="0.2">
      <c r="A950" s="5" t="str">
        <f>IF(AND(B950="",ISNUMBER(B951)),CHOOSE(MONTH(B951),"GENNAIO","FEBBRAIO","MARZO","APRILE","MAGGIO","GIUGNO","LUGLIO","AGOSTO","SETTEMBRE","OTTOBRE","NOVEMBRE","DICEMBRE")&amp;" "&amp;YEAR(B951),"")</f>
        <v/>
      </c>
      <c r="B950" s="11"/>
      <c r="C950" s="12"/>
      <c r="D950" s="12" t="str">
        <f>IF(C950="","",C950-IF(C949&lt;&gt;"",C949,IF(C948&lt;&gt;"",C948,IF(C947&lt;&gt;"",C947,0))))</f>
        <v/>
      </c>
      <c r="E950" s="12"/>
      <c r="F950" s="12"/>
      <c r="G950" s="9" t="str">
        <f>IF(AND(E950="",F950=""),"",IF(OR(E950&gt;1,F950&gt;1),(F950-E950)/100,F950-E950))</f>
        <v/>
      </c>
      <c r="H950" s="12" t="str">
        <f>IF(G950="","",64*G950)</f>
        <v/>
      </c>
      <c r="I950" s="13"/>
      <c r="J950" s="13" t="str">
        <f>IFERROR(IF(OR(D950="",D950=0),"",I950/D950*100),"")</f>
        <v/>
      </c>
      <c r="K950" s="14"/>
      <c r="L950" s="13" t="str">
        <f>IF(I950="","",I950*K950)</f>
        <v/>
      </c>
      <c r="M950" s="13" t="str">
        <f>IF(B950="","",IFERROR(SUMPRODUCT(ISNUMBER(B$3:B950)*(MONTH(IF(ISNUMBER(B$3:B950),B$3:B950,1))=MONTH(B950))*(YEAR(IF(ISNUMBER(B$3:B950),B$3:B950,1))=YEAR(B950))*IF(ISNUMBER(L$3:L950),L$3:L950,0)),""))</f>
        <v/>
      </c>
      <c r="N950" s="6"/>
      <c r="O950" s="7" t="str">
        <f>IF(AND(B950="",ISNUMBER(B951)),CHOOSE(MONTH(B951),"GENNAIO","FEBBRAIO","MARZO","APRILE","MAGGIO","GIUGNO","LUGLIO","AGOSTO","SETTEMBRE","OTTOBRE","NOVEMBRE","DICEMBRE")&amp;" "&amp;YEAR(B951),"")</f>
        <v/>
      </c>
      <c r="P950" s="12" t="str">
        <f>IF(K950=0.2,"CASA","")</f>
        <v/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" customHeight="1" x14ac:dyDescent="0.2">
      <c r="A951" s="5" t="str">
        <f>IF(AND(B951="",ISNUMBER(B952)),CHOOSE(MONTH(B952),"GENNAIO","FEBBRAIO","MARZO","APRILE","MAGGIO","GIUGNO","LUGLIO","AGOSTO","SETTEMBRE","OTTOBRE","NOVEMBRE","DICEMBRE")&amp;" "&amp;YEAR(B952),"")</f>
        <v/>
      </c>
      <c r="B951" s="11"/>
      <c r="C951" s="12"/>
      <c r="D951" s="12" t="str">
        <f>IF(C951="","",C951-IF(C950&lt;&gt;"",C950,IF(C949&lt;&gt;"",C949,IF(C948&lt;&gt;"",C948,0))))</f>
        <v/>
      </c>
      <c r="E951" s="12"/>
      <c r="F951" s="12"/>
      <c r="G951" s="9" t="str">
        <f>IF(AND(E951="",F951=""),"",IF(OR(E951&gt;1,F951&gt;1),(F951-E951)/100,F951-E951))</f>
        <v/>
      </c>
      <c r="H951" s="12" t="str">
        <f>IF(G951="","",64*G951)</f>
        <v/>
      </c>
      <c r="I951" s="13"/>
      <c r="J951" s="13" t="str">
        <f>IFERROR(IF(OR(D951="",D951=0),"",I951/D951*100),"")</f>
        <v/>
      </c>
      <c r="K951" s="14"/>
      <c r="L951" s="13" t="str">
        <f>IF(I951="","",I951*K951)</f>
        <v/>
      </c>
      <c r="M951" s="13" t="str">
        <f>IF(B951="","",IFERROR(SUMPRODUCT(ISNUMBER(B$3:B951)*(MONTH(IF(ISNUMBER(B$3:B951),B$3:B951,1))=MONTH(B951))*(YEAR(IF(ISNUMBER(B$3:B951),B$3:B951,1))=YEAR(B951))*IF(ISNUMBER(L$3:L951),L$3:L951,0)),""))</f>
        <v/>
      </c>
      <c r="N951" s="6"/>
      <c r="O951" s="7" t="str">
        <f>IF(AND(B951="",ISNUMBER(B952)),CHOOSE(MONTH(B952),"GENNAIO","FEBBRAIO","MARZO","APRILE","MAGGIO","GIUGNO","LUGLIO","AGOSTO","SETTEMBRE","OTTOBRE","NOVEMBRE","DICEMBRE")&amp;" "&amp;YEAR(B952),"")</f>
        <v/>
      </c>
      <c r="P951" s="12" t="str">
        <f>IF(K951=0.2,"CASA","")</f>
        <v/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" customHeight="1" x14ac:dyDescent="0.2">
      <c r="A952" s="5" t="str">
        <f>IF(AND(B952="",ISNUMBER(B953)),CHOOSE(MONTH(B953),"GENNAIO","FEBBRAIO","MARZO","APRILE","MAGGIO","GIUGNO","LUGLIO","AGOSTO","SETTEMBRE","OTTOBRE","NOVEMBRE","DICEMBRE")&amp;" "&amp;YEAR(B953),"")</f>
        <v/>
      </c>
      <c r="B952" s="11"/>
      <c r="C952" s="12"/>
      <c r="D952" s="12" t="str">
        <f>IF(C952="","",C952-IF(C951&lt;&gt;"",C951,IF(C950&lt;&gt;"",C950,IF(C949&lt;&gt;"",C949,0))))</f>
        <v/>
      </c>
      <c r="E952" s="12"/>
      <c r="F952" s="12"/>
      <c r="G952" s="9" t="str">
        <f>IF(AND(E952="",F952=""),"",IF(OR(E952&gt;1,F952&gt;1),(F952-E952)/100,F952-E952))</f>
        <v/>
      </c>
      <c r="H952" s="12" t="str">
        <f>IF(G952="","",64*G952)</f>
        <v/>
      </c>
      <c r="I952" s="13"/>
      <c r="J952" s="13" t="str">
        <f>IFERROR(IF(OR(D952="",D952=0),"",I952/D952*100),"")</f>
        <v/>
      </c>
      <c r="K952" s="14"/>
      <c r="L952" s="13" t="str">
        <f>IF(I952="","",I952*K952)</f>
        <v/>
      </c>
      <c r="M952" s="13" t="str">
        <f>IF(B952="","",IFERROR(SUMPRODUCT(ISNUMBER(B$3:B952)*(MONTH(IF(ISNUMBER(B$3:B952),B$3:B952,1))=MONTH(B952))*(YEAR(IF(ISNUMBER(B$3:B952),B$3:B952,1))=YEAR(B952))*IF(ISNUMBER(L$3:L952),L$3:L952,0)),""))</f>
        <v/>
      </c>
      <c r="N952" s="6"/>
      <c r="O952" s="7" t="str">
        <f>IF(AND(B952="",ISNUMBER(B953)),CHOOSE(MONTH(B953),"GENNAIO","FEBBRAIO","MARZO","APRILE","MAGGIO","GIUGNO","LUGLIO","AGOSTO","SETTEMBRE","OTTOBRE","NOVEMBRE","DICEMBRE")&amp;" "&amp;YEAR(B953),"")</f>
        <v/>
      </c>
      <c r="P952" s="12" t="str">
        <f>IF(K952=0.2,"CASA","")</f>
        <v/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" customHeight="1" x14ac:dyDescent="0.2">
      <c r="A953" s="5" t="str">
        <f>IF(AND(B953="",ISNUMBER(B954)),CHOOSE(MONTH(B954),"GENNAIO","FEBBRAIO","MARZO","APRILE","MAGGIO","GIUGNO","LUGLIO","AGOSTO","SETTEMBRE","OTTOBRE","NOVEMBRE","DICEMBRE")&amp;" "&amp;YEAR(B954),"")</f>
        <v/>
      </c>
      <c r="B953" s="11"/>
      <c r="C953" s="12"/>
      <c r="D953" s="12" t="str">
        <f>IF(C953="","",C953-IF(C952&lt;&gt;"",C952,IF(C951&lt;&gt;"",C951,IF(C950&lt;&gt;"",C950,0))))</f>
        <v/>
      </c>
      <c r="E953" s="12"/>
      <c r="F953" s="12"/>
      <c r="G953" s="9" t="str">
        <f>IF(AND(E953="",F953=""),"",IF(OR(E953&gt;1,F953&gt;1),(F953-E953)/100,F953-E953))</f>
        <v/>
      </c>
      <c r="H953" s="12" t="str">
        <f>IF(G953="","",64*G953)</f>
        <v/>
      </c>
      <c r="I953" s="13"/>
      <c r="J953" s="13" t="str">
        <f>IFERROR(IF(OR(D953="",D953=0),"",I953/D953*100),"")</f>
        <v/>
      </c>
      <c r="K953" s="14"/>
      <c r="L953" s="13" t="str">
        <f>IF(I953="","",I953*K953)</f>
        <v/>
      </c>
      <c r="M953" s="13" t="str">
        <f>IF(B953="","",IFERROR(SUMPRODUCT(ISNUMBER(B$3:B953)*(MONTH(IF(ISNUMBER(B$3:B953),B$3:B953,1))=MONTH(B953))*(YEAR(IF(ISNUMBER(B$3:B953),B$3:B953,1))=YEAR(B953))*IF(ISNUMBER(L$3:L953),L$3:L953,0)),""))</f>
        <v/>
      </c>
      <c r="N953" s="6"/>
      <c r="O953" s="7" t="str">
        <f>IF(AND(B953="",ISNUMBER(B954)),CHOOSE(MONTH(B954),"GENNAIO","FEBBRAIO","MARZO","APRILE","MAGGIO","GIUGNO","LUGLIO","AGOSTO","SETTEMBRE","OTTOBRE","NOVEMBRE","DICEMBRE")&amp;" "&amp;YEAR(B954),"")</f>
        <v/>
      </c>
      <c r="P953" s="12" t="str">
        <f>IF(K953=0.2,"CASA","")</f>
        <v/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" customHeight="1" x14ac:dyDescent="0.2">
      <c r="A954" s="5" t="str">
        <f>IF(AND(B954="",ISNUMBER(B955)),CHOOSE(MONTH(B955),"GENNAIO","FEBBRAIO","MARZO","APRILE","MAGGIO","GIUGNO","LUGLIO","AGOSTO","SETTEMBRE","OTTOBRE","NOVEMBRE","DICEMBRE")&amp;" "&amp;YEAR(B955),"")</f>
        <v/>
      </c>
      <c r="B954" s="11"/>
      <c r="C954" s="12"/>
      <c r="D954" s="12" t="str">
        <f>IF(C954="","",C954-IF(C953&lt;&gt;"",C953,IF(C952&lt;&gt;"",C952,IF(C951&lt;&gt;"",C951,0))))</f>
        <v/>
      </c>
      <c r="E954" s="12"/>
      <c r="F954" s="12"/>
      <c r="G954" s="9" t="str">
        <f>IF(AND(E954="",F954=""),"",IF(OR(E954&gt;1,F954&gt;1),(F954-E954)/100,F954-E954))</f>
        <v/>
      </c>
      <c r="H954" s="12" t="str">
        <f>IF(G954="","",64*G954)</f>
        <v/>
      </c>
      <c r="I954" s="13"/>
      <c r="J954" s="13" t="str">
        <f>IFERROR(IF(OR(D954="",D954=0),"",I954/D954*100),"")</f>
        <v/>
      </c>
      <c r="K954" s="14"/>
      <c r="L954" s="13" t="str">
        <f>IF(I954="","",I954*K954)</f>
        <v/>
      </c>
      <c r="M954" s="13" t="str">
        <f>IF(B954="","",IFERROR(SUMPRODUCT(ISNUMBER(B$3:B954)*(MONTH(IF(ISNUMBER(B$3:B954),B$3:B954,1))=MONTH(B954))*(YEAR(IF(ISNUMBER(B$3:B954),B$3:B954,1))=YEAR(B954))*IF(ISNUMBER(L$3:L954),L$3:L954,0)),""))</f>
        <v/>
      </c>
      <c r="N954" s="6"/>
      <c r="O954" s="7" t="str">
        <f>IF(AND(B954="",ISNUMBER(B955)),CHOOSE(MONTH(B955),"GENNAIO","FEBBRAIO","MARZO","APRILE","MAGGIO","GIUGNO","LUGLIO","AGOSTO","SETTEMBRE","OTTOBRE","NOVEMBRE","DICEMBRE")&amp;" "&amp;YEAR(B955),"")</f>
        <v/>
      </c>
      <c r="P954" s="12" t="str">
        <f>IF(K954=0.2,"CASA","")</f>
        <v/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" customHeight="1" x14ac:dyDescent="0.2">
      <c r="A955" s="5" t="str">
        <f>IF(AND(B955="",ISNUMBER(B956)),CHOOSE(MONTH(B956),"GENNAIO","FEBBRAIO","MARZO","APRILE","MAGGIO","GIUGNO","LUGLIO","AGOSTO","SETTEMBRE","OTTOBRE","NOVEMBRE","DICEMBRE")&amp;" "&amp;YEAR(B956),"")</f>
        <v/>
      </c>
      <c r="B955" s="11"/>
      <c r="C955" s="12"/>
      <c r="D955" s="12" t="str">
        <f>IF(C955="","",C955-IF(C954&lt;&gt;"",C954,IF(C953&lt;&gt;"",C953,IF(C952&lt;&gt;"",C952,0))))</f>
        <v/>
      </c>
      <c r="E955" s="12"/>
      <c r="F955" s="12"/>
      <c r="G955" s="9" t="str">
        <f>IF(AND(E955="",F955=""),"",IF(OR(E955&gt;1,F955&gt;1),(F955-E955)/100,F955-E955))</f>
        <v/>
      </c>
      <c r="H955" s="12" t="str">
        <f>IF(G955="","",64*G955)</f>
        <v/>
      </c>
      <c r="I955" s="13"/>
      <c r="J955" s="13" t="str">
        <f>IFERROR(IF(OR(D955="",D955=0),"",I955/D955*100),"")</f>
        <v/>
      </c>
      <c r="K955" s="14"/>
      <c r="L955" s="13" t="str">
        <f>IF(I955="","",I955*K955)</f>
        <v/>
      </c>
      <c r="M955" s="13" t="str">
        <f>IF(B955="","",IFERROR(SUMPRODUCT(ISNUMBER(B$3:B955)*(MONTH(IF(ISNUMBER(B$3:B955),B$3:B955,1))=MONTH(B955))*(YEAR(IF(ISNUMBER(B$3:B955),B$3:B955,1))=YEAR(B955))*IF(ISNUMBER(L$3:L955),L$3:L955,0)),""))</f>
        <v/>
      </c>
      <c r="N955" s="6"/>
      <c r="O955" s="7" t="str">
        <f>IF(AND(B955="",ISNUMBER(B956)),CHOOSE(MONTH(B956),"GENNAIO","FEBBRAIO","MARZO","APRILE","MAGGIO","GIUGNO","LUGLIO","AGOSTO","SETTEMBRE","OTTOBRE","NOVEMBRE","DICEMBRE")&amp;" "&amp;YEAR(B956),"")</f>
        <v/>
      </c>
      <c r="P955" s="12" t="str">
        <f>IF(K955=0.2,"CASA","")</f>
        <v/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" customHeight="1" x14ac:dyDescent="0.2">
      <c r="A956" s="5" t="str">
        <f>IF(AND(B956="",ISNUMBER(B957)),CHOOSE(MONTH(B957),"GENNAIO","FEBBRAIO","MARZO","APRILE","MAGGIO","GIUGNO","LUGLIO","AGOSTO","SETTEMBRE","OTTOBRE","NOVEMBRE","DICEMBRE")&amp;" "&amp;YEAR(B957),"")</f>
        <v/>
      </c>
      <c r="B956" s="11"/>
      <c r="C956" s="12"/>
      <c r="D956" s="12" t="str">
        <f>IF(C956="","",C956-IF(C955&lt;&gt;"",C955,IF(C954&lt;&gt;"",C954,IF(C953&lt;&gt;"",C953,0))))</f>
        <v/>
      </c>
      <c r="E956" s="12"/>
      <c r="F956" s="12"/>
      <c r="G956" s="9" t="str">
        <f>IF(AND(E956="",F956=""),"",IF(OR(E956&gt;1,F956&gt;1),(F956-E956)/100,F956-E956))</f>
        <v/>
      </c>
      <c r="H956" s="12" t="str">
        <f>IF(G956="","",64*G956)</f>
        <v/>
      </c>
      <c r="I956" s="13"/>
      <c r="J956" s="13" t="str">
        <f>IFERROR(IF(OR(D956="",D956=0),"",I956/D956*100),"")</f>
        <v/>
      </c>
      <c r="K956" s="14"/>
      <c r="L956" s="13" t="str">
        <f>IF(I956="","",I956*K956)</f>
        <v/>
      </c>
      <c r="M956" s="13" t="str">
        <f>IF(B956="","",IFERROR(SUMPRODUCT(ISNUMBER(B$3:B956)*(MONTH(IF(ISNUMBER(B$3:B956),B$3:B956,1))=MONTH(B956))*(YEAR(IF(ISNUMBER(B$3:B956),B$3:B956,1))=YEAR(B956))*IF(ISNUMBER(L$3:L956),L$3:L956,0)),""))</f>
        <v/>
      </c>
      <c r="N956" s="6"/>
      <c r="O956" s="7" t="str">
        <f>IF(AND(B956="",ISNUMBER(B957)),CHOOSE(MONTH(B957),"GENNAIO","FEBBRAIO","MARZO","APRILE","MAGGIO","GIUGNO","LUGLIO","AGOSTO","SETTEMBRE","OTTOBRE","NOVEMBRE","DICEMBRE")&amp;" "&amp;YEAR(B957),"")</f>
        <v/>
      </c>
      <c r="P956" s="12" t="str">
        <f>IF(K956=0.2,"CASA","")</f>
        <v/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" customHeight="1" x14ac:dyDescent="0.2">
      <c r="A957" s="5" t="str">
        <f>IF(AND(B957="",ISNUMBER(B958)),CHOOSE(MONTH(B958),"GENNAIO","FEBBRAIO","MARZO","APRILE","MAGGIO","GIUGNO","LUGLIO","AGOSTO","SETTEMBRE","OTTOBRE","NOVEMBRE","DICEMBRE")&amp;" "&amp;YEAR(B958),"")</f>
        <v/>
      </c>
      <c r="B957" s="11"/>
      <c r="C957" s="12"/>
      <c r="D957" s="12" t="str">
        <f>IF(C957="","",C957-IF(C956&lt;&gt;"",C956,IF(C955&lt;&gt;"",C955,IF(C954&lt;&gt;"",C954,0))))</f>
        <v/>
      </c>
      <c r="E957" s="12"/>
      <c r="F957" s="12"/>
      <c r="G957" s="9" t="str">
        <f>IF(AND(E957="",F957=""),"",IF(OR(E957&gt;1,F957&gt;1),(F957-E957)/100,F957-E957))</f>
        <v/>
      </c>
      <c r="H957" s="12" t="str">
        <f>IF(G957="","",64*G957)</f>
        <v/>
      </c>
      <c r="I957" s="13"/>
      <c r="J957" s="13" t="str">
        <f>IFERROR(IF(OR(D957="",D957=0),"",I957/D957*100),"")</f>
        <v/>
      </c>
      <c r="K957" s="14"/>
      <c r="L957" s="13" t="str">
        <f>IF(I957="","",I957*K957)</f>
        <v/>
      </c>
      <c r="M957" s="13" t="str">
        <f>IF(B957="","",IFERROR(SUMPRODUCT(ISNUMBER(B$3:B957)*(MONTH(IF(ISNUMBER(B$3:B957),B$3:B957,1))=MONTH(B957))*(YEAR(IF(ISNUMBER(B$3:B957),B$3:B957,1))=YEAR(B957))*IF(ISNUMBER(L$3:L957),L$3:L957,0)),""))</f>
        <v/>
      </c>
      <c r="N957" s="6"/>
      <c r="O957" s="7" t="str">
        <f>IF(AND(B957="",ISNUMBER(B958)),CHOOSE(MONTH(B958),"GENNAIO","FEBBRAIO","MARZO","APRILE","MAGGIO","GIUGNO","LUGLIO","AGOSTO","SETTEMBRE","OTTOBRE","NOVEMBRE","DICEMBRE")&amp;" "&amp;YEAR(B958),"")</f>
        <v/>
      </c>
      <c r="P957" s="12" t="str">
        <f>IF(K957=0.2,"CASA","")</f>
        <v/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" customHeight="1" x14ac:dyDescent="0.2">
      <c r="A958" s="5" t="str">
        <f>IF(AND(B958="",ISNUMBER(B959)),CHOOSE(MONTH(B959),"GENNAIO","FEBBRAIO","MARZO","APRILE","MAGGIO","GIUGNO","LUGLIO","AGOSTO","SETTEMBRE","OTTOBRE","NOVEMBRE","DICEMBRE")&amp;" "&amp;YEAR(B959),"")</f>
        <v/>
      </c>
      <c r="B958" s="11"/>
      <c r="C958" s="12"/>
      <c r="D958" s="12" t="str">
        <f>IF(C958="","",C958-IF(C957&lt;&gt;"",C957,IF(C956&lt;&gt;"",C956,IF(C955&lt;&gt;"",C955,0))))</f>
        <v/>
      </c>
      <c r="E958" s="12"/>
      <c r="F958" s="12"/>
      <c r="G958" s="9" t="str">
        <f>IF(AND(E958="",F958=""),"",IF(OR(E958&gt;1,F958&gt;1),(F958-E958)/100,F958-E958))</f>
        <v/>
      </c>
      <c r="H958" s="12" t="str">
        <f>IF(G958="","",64*G958)</f>
        <v/>
      </c>
      <c r="I958" s="13"/>
      <c r="J958" s="13" t="str">
        <f>IFERROR(IF(OR(D958="",D958=0),"",I958/D958*100),"")</f>
        <v/>
      </c>
      <c r="K958" s="14"/>
      <c r="L958" s="13" t="str">
        <f>IF(I958="","",I958*K958)</f>
        <v/>
      </c>
      <c r="M958" s="13" t="str">
        <f>IF(B958="","",IFERROR(SUMPRODUCT(ISNUMBER(B$3:B958)*(MONTH(IF(ISNUMBER(B$3:B958),B$3:B958,1))=MONTH(B958))*(YEAR(IF(ISNUMBER(B$3:B958),B$3:B958,1))=YEAR(B958))*IF(ISNUMBER(L$3:L958),L$3:L958,0)),""))</f>
        <v/>
      </c>
      <c r="N958" s="6"/>
      <c r="O958" s="7" t="str">
        <f>IF(AND(B958="",ISNUMBER(B959)),CHOOSE(MONTH(B959),"GENNAIO","FEBBRAIO","MARZO","APRILE","MAGGIO","GIUGNO","LUGLIO","AGOSTO","SETTEMBRE","OTTOBRE","NOVEMBRE","DICEMBRE")&amp;" "&amp;YEAR(B959),"")</f>
        <v/>
      </c>
      <c r="P958" s="12" t="str">
        <f>IF(K958=0.2,"CASA","")</f>
        <v/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" customHeight="1" x14ac:dyDescent="0.2">
      <c r="A959" s="5" t="str">
        <f>IF(AND(B959="",ISNUMBER(B960)),CHOOSE(MONTH(B960),"GENNAIO","FEBBRAIO","MARZO","APRILE","MAGGIO","GIUGNO","LUGLIO","AGOSTO","SETTEMBRE","OTTOBRE","NOVEMBRE","DICEMBRE")&amp;" "&amp;YEAR(B960),"")</f>
        <v/>
      </c>
      <c r="B959" s="11"/>
      <c r="C959" s="12"/>
      <c r="D959" s="12" t="str">
        <f>IF(C959="","",C959-IF(C958&lt;&gt;"",C958,IF(C957&lt;&gt;"",C957,IF(C956&lt;&gt;"",C956,0))))</f>
        <v/>
      </c>
      <c r="E959" s="12"/>
      <c r="F959" s="12"/>
      <c r="G959" s="9" t="str">
        <f>IF(AND(E959="",F959=""),"",IF(OR(E959&gt;1,F959&gt;1),(F959-E959)/100,F959-E959))</f>
        <v/>
      </c>
      <c r="H959" s="12" t="str">
        <f>IF(G959="","",64*G959)</f>
        <v/>
      </c>
      <c r="I959" s="13"/>
      <c r="J959" s="13" t="str">
        <f>IFERROR(IF(OR(D959="",D959=0),"",I959/D959*100),"")</f>
        <v/>
      </c>
      <c r="K959" s="14"/>
      <c r="L959" s="13" t="str">
        <f>IF(I959="","",I959*K959)</f>
        <v/>
      </c>
      <c r="M959" s="13" t="str">
        <f>IF(B959="","",IFERROR(SUMPRODUCT(ISNUMBER(B$3:B959)*(MONTH(IF(ISNUMBER(B$3:B959),B$3:B959,1))=MONTH(B959))*(YEAR(IF(ISNUMBER(B$3:B959),B$3:B959,1))=YEAR(B959))*IF(ISNUMBER(L$3:L959),L$3:L959,0)),""))</f>
        <v/>
      </c>
      <c r="N959" s="6"/>
      <c r="O959" s="7" t="str">
        <f>IF(AND(B959="",ISNUMBER(B960)),CHOOSE(MONTH(B960),"GENNAIO","FEBBRAIO","MARZO","APRILE","MAGGIO","GIUGNO","LUGLIO","AGOSTO","SETTEMBRE","OTTOBRE","NOVEMBRE","DICEMBRE")&amp;" "&amp;YEAR(B960),"")</f>
        <v/>
      </c>
      <c r="P959" s="12" t="str">
        <f>IF(K959=0.2,"CASA","")</f>
        <v/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" customHeight="1" x14ac:dyDescent="0.2">
      <c r="A960" s="5" t="str">
        <f>IF(AND(B960="",ISNUMBER(B961)),CHOOSE(MONTH(B961),"GENNAIO","FEBBRAIO","MARZO","APRILE","MAGGIO","GIUGNO","LUGLIO","AGOSTO","SETTEMBRE","OTTOBRE","NOVEMBRE","DICEMBRE")&amp;" "&amp;YEAR(B961),"")</f>
        <v/>
      </c>
      <c r="B960" s="11"/>
      <c r="C960" s="12"/>
      <c r="D960" s="12" t="str">
        <f>IF(C960="","",C960-IF(C959&lt;&gt;"",C959,IF(C958&lt;&gt;"",C958,IF(C957&lt;&gt;"",C957,0))))</f>
        <v/>
      </c>
      <c r="E960" s="12"/>
      <c r="F960" s="12"/>
      <c r="G960" s="9" t="str">
        <f>IF(AND(E960="",F960=""),"",IF(OR(E960&gt;1,F960&gt;1),(F960-E960)/100,F960-E960))</f>
        <v/>
      </c>
      <c r="H960" s="12" t="str">
        <f>IF(G960="","",64*G960)</f>
        <v/>
      </c>
      <c r="I960" s="13"/>
      <c r="J960" s="13" t="str">
        <f>IFERROR(IF(OR(D960="",D960=0),"",I960/D960*100),"")</f>
        <v/>
      </c>
      <c r="K960" s="14"/>
      <c r="L960" s="13" t="str">
        <f>IF(I960="","",I960*K960)</f>
        <v/>
      </c>
      <c r="M960" s="13" t="str">
        <f>IF(B960="","",IFERROR(SUMPRODUCT(ISNUMBER(B$3:B960)*(MONTH(IF(ISNUMBER(B$3:B960),B$3:B960,1))=MONTH(B960))*(YEAR(IF(ISNUMBER(B$3:B960),B$3:B960,1))=YEAR(B960))*IF(ISNUMBER(L$3:L960),L$3:L960,0)),""))</f>
        <v/>
      </c>
      <c r="N960" s="6"/>
      <c r="O960" s="7" t="str">
        <f>IF(AND(B960="",ISNUMBER(B961)),CHOOSE(MONTH(B961),"GENNAIO","FEBBRAIO","MARZO","APRILE","MAGGIO","GIUGNO","LUGLIO","AGOSTO","SETTEMBRE","OTTOBRE","NOVEMBRE","DICEMBRE")&amp;" "&amp;YEAR(B961),"")</f>
        <v/>
      </c>
      <c r="P960" s="12" t="str">
        <f>IF(K960=0.2,"CASA","")</f>
        <v/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" customHeight="1" x14ac:dyDescent="0.2">
      <c r="A961" s="5" t="str">
        <f>IF(AND(B961="",ISNUMBER(B962)),CHOOSE(MONTH(B962),"GENNAIO","FEBBRAIO","MARZO","APRILE","MAGGIO","GIUGNO","LUGLIO","AGOSTO","SETTEMBRE","OTTOBRE","NOVEMBRE","DICEMBRE")&amp;" "&amp;YEAR(B962),"")</f>
        <v/>
      </c>
      <c r="B961" s="11"/>
      <c r="C961" s="12"/>
      <c r="D961" s="12" t="str">
        <f>IF(C961="","",C961-IF(C960&lt;&gt;"",C960,IF(C959&lt;&gt;"",C959,IF(C958&lt;&gt;"",C958,0))))</f>
        <v/>
      </c>
      <c r="E961" s="12"/>
      <c r="F961" s="12"/>
      <c r="G961" s="9" t="str">
        <f>IF(AND(E961="",F961=""),"",IF(OR(E961&gt;1,F961&gt;1),(F961-E961)/100,F961-E961))</f>
        <v/>
      </c>
      <c r="H961" s="12" t="str">
        <f>IF(G961="","",64*G961)</f>
        <v/>
      </c>
      <c r="I961" s="13"/>
      <c r="J961" s="13" t="str">
        <f>IFERROR(IF(OR(D961="",D961=0),"",I961/D961*100),"")</f>
        <v/>
      </c>
      <c r="K961" s="14"/>
      <c r="L961" s="13" t="str">
        <f>IF(I961="","",I961*K961)</f>
        <v/>
      </c>
      <c r="M961" s="13" t="str">
        <f>IF(B961="","",IFERROR(SUMPRODUCT(ISNUMBER(B$3:B961)*(MONTH(IF(ISNUMBER(B$3:B961),B$3:B961,1))=MONTH(B961))*(YEAR(IF(ISNUMBER(B$3:B961),B$3:B961,1))=YEAR(B961))*IF(ISNUMBER(L$3:L961),L$3:L961,0)),""))</f>
        <v/>
      </c>
      <c r="N961" s="6"/>
      <c r="O961" s="7" t="str">
        <f>IF(AND(B961="",ISNUMBER(B962)),CHOOSE(MONTH(B962),"GENNAIO","FEBBRAIO","MARZO","APRILE","MAGGIO","GIUGNO","LUGLIO","AGOSTO","SETTEMBRE","OTTOBRE","NOVEMBRE","DICEMBRE")&amp;" "&amp;YEAR(B962),"")</f>
        <v/>
      </c>
      <c r="P961" s="12" t="str">
        <f>IF(K961=0.2,"CASA","")</f>
        <v/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" customHeight="1" x14ac:dyDescent="0.2">
      <c r="A962" s="5" t="str">
        <f>IF(AND(B962="",ISNUMBER(B963)),CHOOSE(MONTH(B963),"GENNAIO","FEBBRAIO","MARZO","APRILE","MAGGIO","GIUGNO","LUGLIO","AGOSTO","SETTEMBRE","OTTOBRE","NOVEMBRE","DICEMBRE")&amp;" "&amp;YEAR(B963),"")</f>
        <v/>
      </c>
      <c r="B962" s="11"/>
      <c r="C962" s="12"/>
      <c r="D962" s="12" t="str">
        <f>IF(C962="","",C962-IF(C961&lt;&gt;"",C961,IF(C960&lt;&gt;"",C960,IF(C959&lt;&gt;"",C959,0))))</f>
        <v/>
      </c>
      <c r="E962" s="12"/>
      <c r="F962" s="12"/>
      <c r="G962" s="9" t="str">
        <f>IF(AND(E962="",F962=""),"",IF(OR(E962&gt;1,F962&gt;1),(F962-E962)/100,F962-E962))</f>
        <v/>
      </c>
      <c r="H962" s="12" t="str">
        <f>IF(G962="","",64*G962)</f>
        <v/>
      </c>
      <c r="I962" s="13"/>
      <c r="J962" s="13" t="str">
        <f>IFERROR(IF(OR(D962="",D962=0),"",I962/D962*100),"")</f>
        <v/>
      </c>
      <c r="K962" s="14"/>
      <c r="L962" s="13" t="str">
        <f>IF(I962="","",I962*K962)</f>
        <v/>
      </c>
      <c r="M962" s="13" t="str">
        <f>IF(B962="","",IFERROR(SUMPRODUCT(ISNUMBER(B$3:B962)*(MONTH(IF(ISNUMBER(B$3:B962),B$3:B962,1))=MONTH(B962))*(YEAR(IF(ISNUMBER(B$3:B962),B$3:B962,1))=YEAR(B962))*IF(ISNUMBER(L$3:L962),L$3:L962,0)),""))</f>
        <v/>
      </c>
      <c r="N962" s="6"/>
      <c r="O962" s="7" t="str">
        <f>IF(AND(B962="",ISNUMBER(B963)),CHOOSE(MONTH(B963),"GENNAIO","FEBBRAIO","MARZO","APRILE","MAGGIO","GIUGNO","LUGLIO","AGOSTO","SETTEMBRE","OTTOBRE","NOVEMBRE","DICEMBRE")&amp;" "&amp;YEAR(B963),"")</f>
        <v/>
      </c>
      <c r="P962" s="12" t="str">
        <f>IF(K962=0.2,"CASA","")</f>
        <v/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" customHeight="1" x14ac:dyDescent="0.2">
      <c r="A963" s="5" t="str">
        <f>IF(AND(B963="",ISNUMBER(B964)),CHOOSE(MONTH(B964),"GENNAIO","FEBBRAIO","MARZO","APRILE","MAGGIO","GIUGNO","LUGLIO","AGOSTO","SETTEMBRE","OTTOBRE","NOVEMBRE","DICEMBRE")&amp;" "&amp;YEAR(B964),"")</f>
        <v/>
      </c>
      <c r="B963" s="11"/>
      <c r="C963" s="12"/>
      <c r="D963" s="12" t="str">
        <f>IF(C963="","",C963-IF(C962&lt;&gt;"",C962,IF(C961&lt;&gt;"",C961,IF(C960&lt;&gt;"",C960,0))))</f>
        <v/>
      </c>
      <c r="E963" s="12"/>
      <c r="F963" s="12"/>
      <c r="G963" s="9" t="str">
        <f>IF(AND(E963="",F963=""),"",IF(OR(E963&gt;1,F963&gt;1),(F963-E963)/100,F963-E963))</f>
        <v/>
      </c>
      <c r="H963" s="12" t="str">
        <f>IF(G963="","",64*G963)</f>
        <v/>
      </c>
      <c r="I963" s="13"/>
      <c r="J963" s="13" t="str">
        <f>IFERROR(IF(OR(D963="",D963=0),"",I963/D963*100),"")</f>
        <v/>
      </c>
      <c r="K963" s="14"/>
      <c r="L963" s="13" t="str">
        <f>IF(I963="","",I963*K963)</f>
        <v/>
      </c>
      <c r="M963" s="13" t="str">
        <f>IF(B963="","",IFERROR(SUMPRODUCT(ISNUMBER(B$3:B963)*(MONTH(IF(ISNUMBER(B$3:B963),B$3:B963,1))=MONTH(B963))*(YEAR(IF(ISNUMBER(B$3:B963),B$3:B963,1))=YEAR(B963))*IF(ISNUMBER(L$3:L963),L$3:L963,0)),""))</f>
        <v/>
      </c>
      <c r="N963" s="6"/>
      <c r="O963" s="7" t="str">
        <f>IF(AND(B963="",ISNUMBER(B964)),CHOOSE(MONTH(B964),"GENNAIO","FEBBRAIO","MARZO","APRILE","MAGGIO","GIUGNO","LUGLIO","AGOSTO","SETTEMBRE","OTTOBRE","NOVEMBRE","DICEMBRE")&amp;" "&amp;YEAR(B964),"")</f>
        <v/>
      </c>
      <c r="P963" s="12" t="str">
        <f>IF(K963=0.2,"CASA","")</f>
        <v/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" customHeight="1" x14ac:dyDescent="0.2">
      <c r="A964" s="5" t="str">
        <f>IF(AND(B964="",ISNUMBER(B965)),CHOOSE(MONTH(B965),"GENNAIO","FEBBRAIO","MARZO","APRILE","MAGGIO","GIUGNO","LUGLIO","AGOSTO","SETTEMBRE","OTTOBRE","NOVEMBRE","DICEMBRE")&amp;" "&amp;YEAR(B965),"")</f>
        <v/>
      </c>
      <c r="B964" s="11"/>
      <c r="C964" s="12"/>
      <c r="D964" s="12" t="str">
        <f>IF(C964="","",C964-IF(C963&lt;&gt;"",C963,IF(C962&lt;&gt;"",C962,IF(C961&lt;&gt;"",C961,0))))</f>
        <v/>
      </c>
      <c r="E964" s="12"/>
      <c r="F964" s="12"/>
      <c r="G964" s="9" t="str">
        <f>IF(AND(E964="",F964=""),"",IF(OR(E964&gt;1,F964&gt;1),(F964-E964)/100,F964-E964))</f>
        <v/>
      </c>
      <c r="H964" s="12" t="str">
        <f>IF(G964="","",64*G964)</f>
        <v/>
      </c>
      <c r="I964" s="13"/>
      <c r="J964" s="13" t="str">
        <f>IFERROR(IF(OR(D964="",D964=0),"",I964/D964*100),"")</f>
        <v/>
      </c>
      <c r="K964" s="14"/>
      <c r="L964" s="13" t="str">
        <f>IF(I964="","",I964*K964)</f>
        <v/>
      </c>
      <c r="M964" s="13" t="str">
        <f>IF(B964="","",IFERROR(SUMPRODUCT(ISNUMBER(B$3:B964)*(MONTH(IF(ISNUMBER(B$3:B964),B$3:B964,1))=MONTH(B964))*(YEAR(IF(ISNUMBER(B$3:B964),B$3:B964,1))=YEAR(B964))*IF(ISNUMBER(L$3:L964),L$3:L964,0)),""))</f>
        <v/>
      </c>
      <c r="N964" s="6"/>
      <c r="O964" s="7" t="str">
        <f>IF(AND(B964="",ISNUMBER(B965)),CHOOSE(MONTH(B965),"GENNAIO","FEBBRAIO","MARZO","APRILE","MAGGIO","GIUGNO","LUGLIO","AGOSTO","SETTEMBRE","OTTOBRE","NOVEMBRE","DICEMBRE")&amp;" "&amp;YEAR(B965),"")</f>
        <v/>
      </c>
      <c r="P964" s="12" t="str">
        <f>IF(K964=0.2,"CASA","")</f>
        <v/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" customHeight="1" x14ac:dyDescent="0.2">
      <c r="A965" s="5" t="str">
        <f>IF(AND(B965="",ISNUMBER(B966)),CHOOSE(MONTH(B966),"GENNAIO","FEBBRAIO","MARZO","APRILE","MAGGIO","GIUGNO","LUGLIO","AGOSTO","SETTEMBRE","OTTOBRE","NOVEMBRE","DICEMBRE")&amp;" "&amp;YEAR(B966),"")</f>
        <v/>
      </c>
      <c r="B965" s="11"/>
      <c r="C965" s="12"/>
      <c r="D965" s="12" t="str">
        <f>IF(C965="","",C965-IF(C964&lt;&gt;"",C964,IF(C963&lt;&gt;"",C963,IF(C962&lt;&gt;"",C962,0))))</f>
        <v/>
      </c>
      <c r="E965" s="12"/>
      <c r="F965" s="12"/>
      <c r="G965" s="9" t="str">
        <f>IF(AND(E965="",F965=""),"",IF(OR(E965&gt;1,F965&gt;1),(F965-E965)/100,F965-E965))</f>
        <v/>
      </c>
      <c r="H965" s="12" t="str">
        <f>IF(G965="","",64*G965)</f>
        <v/>
      </c>
      <c r="I965" s="13"/>
      <c r="J965" s="13" t="str">
        <f>IFERROR(IF(OR(D965="",D965=0),"",I965/D965*100),"")</f>
        <v/>
      </c>
      <c r="K965" s="14"/>
      <c r="L965" s="13" t="str">
        <f>IF(I965="","",I965*K965)</f>
        <v/>
      </c>
      <c r="M965" s="13" t="str">
        <f>IF(B965="","",IFERROR(SUMPRODUCT(ISNUMBER(B$3:B965)*(MONTH(IF(ISNUMBER(B$3:B965),B$3:B965,1))=MONTH(B965))*(YEAR(IF(ISNUMBER(B$3:B965),B$3:B965,1))=YEAR(B965))*IF(ISNUMBER(L$3:L965),L$3:L965,0)),""))</f>
        <v/>
      </c>
      <c r="N965" s="6"/>
      <c r="O965" s="7" t="str">
        <f>IF(AND(B965="",ISNUMBER(B966)),CHOOSE(MONTH(B966),"GENNAIO","FEBBRAIO","MARZO","APRILE","MAGGIO","GIUGNO","LUGLIO","AGOSTO","SETTEMBRE","OTTOBRE","NOVEMBRE","DICEMBRE")&amp;" "&amp;YEAR(B966),"")</f>
        <v/>
      </c>
      <c r="P965" s="12" t="str">
        <f>IF(K965=0.2,"CASA","")</f>
        <v/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" customHeight="1" x14ac:dyDescent="0.2">
      <c r="A966" s="5" t="str">
        <f>IF(AND(B966="",ISNUMBER(B967)),CHOOSE(MONTH(B967),"GENNAIO","FEBBRAIO","MARZO","APRILE","MAGGIO","GIUGNO","LUGLIO","AGOSTO","SETTEMBRE","OTTOBRE","NOVEMBRE","DICEMBRE")&amp;" "&amp;YEAR(B967),"")</f>
        <v/>
      </c>
      <c r="B966" s="11"/>
      <c r="C966" s="12"/>
      <c r="D966" s="12" t="str">
        <f>IF(C966="","",C966-IF(C965&lt;&gt;"",C965,IF(C964&lt;&gt;"",C964,IF(C963&lt;&gt;"",C963,0))))</f>
        <v/>
      </c>
      <c r="E966" s="12"/>
      <c r="F966" s="12"/>
      <c r="G966" s="9" t="str">
        <f>IF(AND(E966="",F966=""),"",IF(OR(E966&gt;1,F966&gt;1),(F966-E966)/100,F966-E966))</f>
        <v/>
      </c>
      <c r="H966" s="12" t="str">
        <f>IF(G966="","",64*G966)</f>
        <v/>
      </c>
      <c r="I966" s="13"/>
      <c r="J966" s="13" t="str">
        <f>IFERROR(IF(OR(D966="",D966=0),"",I966/D966*100),"")</f>
        <v/>
      </c>
      <c r="K966" s="14"/>
      <c r="L966" s="13" t="str">
        <f>IF(I966="","",I966*K966)</f>
        <v/>
      </c>
      <c r="M966" s="13" t="str">
        <f>IF(B966="","",IFERROR(SUMPRODUCT(ISNUMBER(B$3:B966)*(MONTH(IF(ISNUMBER(B$3:B966),B$3:B966,1))=MONTH(B966))*(YEAR(IF(ISNUMBER(B$3:B966),B$3:B966,1))=YEAR(B966))*IF(ISNUMBER(L$3:L966),L$3:L966,0)),""))</f>
        <v/>
      </c>
      <c r="N966" s="6"/>
      <c r="O966" s="7" t="str">
        <f>IF(AND(B966="",ISNUMBER(B967)),CHOOSE(MONTH(B967),"GENNAIO","FEBBRAIO","MARZO","APRILE","MAGGIO","GIUGNO","LUGLIO","AGOSTO","SETTEMBRE","OTTOBRE","NOVEMBRE","DICEMBRE")&amp;" "&amp;YEAR(B967),"")</f>
        <v/>
      </c>
      <c r="P966" s="12" t="str">
        <f>IF(K966=0.2,"CASA","")</f>
        <v/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" customHeight="1" x14ac:dyDescent="0.2">
      <c r="A967" s="5" t="str">
        <f>IF(AND(B967="",ISNUMBER(B968)),CHOOSE(MONTH(B968),"GENNAIO","FEBBRAIO","MARZO","APRILE","MAGGIO","GIUGNO","LUGLIO","AGOSTO","SETTEMBRE","OTTOBRE","NOVEMBRE","DICEMBRE")&amp;" "&amp;YEAR(B968),"")</f>
        <v/>
      </c>
      <c r="B967" s="11"/>
      <c r="C967" s="12"/>
      <c r="D967" s="12" t="str">
        <f>IF(C967="","",C967-IF(C966&lt;&gt;"",C966,IF(C965&lt;&gt;"",C965,IF(C964&lt;&gt;"",C964,0))))</f>
        <v/>
      </c>
      <c r="E967" s="12"/>
      <c r="F967" s="12"/>
      <c r="G967" s="9" t="str">
        <f>IF(AND(E967="",F967=""),"",IF(OR(E967&gt;1,F967&gt;1),(F967-E967)/100,F967-E967))</f>
        <v/>
      </c>
      <c r="H967" s="12" t="str">
        <f>IF(G967="","",64*G967)</f>
        <v/>
      </c>
      <c r="I967" s="13"/>
      <c r="J967" s="13" t="str">
        <f>IFERROR(IF(OR(D967="",D967=0),"",I967/D967*100),"")</f>
        <v/>
      </c>
      <c r="K967" s="14"/>
      <c r="L967" s="13" t="str">
        <f>IF(I967="","",I967*K967)</f>
        <v/>
      </c>
      <c r="M967" s="13" t="str">
        <f>IF(B967="","",IFERROR(SUMPRODUCT(ISNUMBER(B$3:B967)*(MONTH(IF(ISNUMBER(B$3:B967),B$3:B967,1))=MONTH(B967))*(YEAR(IF(ISNUMBER(B$3:B967),B$3:B967,1))=YEAR(B967))*IF(ISNUMBER(L$3:L967),L$3:L967,0)),""))</f>
        <v/>
      </c>
      <c r="N967" s="6"/>
      <c r="O967" s="7" t="str">
        <f>IF(AND(B967="",ISNUMBER(B968)),CHOOSE(MONTH(B968),"GENNAIO","FEBBRAIO","MARZO","APRILE","MAGGIO","GIUGNO","LUGLIO","AGOSTO","SETTEMBRE","OTTOBRE","NOVEMBRE","DICEMBRE")&amp;" "&amp;YEAR(B968),"")</f>
        <v/>
      </c>
      <c r="P967" s="12" t="str">
        <f>IF(K967=0.2,"CASA","")</f>
        <v/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" customHeight="1" x14ac:dyDescent="0.2">
      <c r="A968" s="5" t="str">
        <f>IF(AND(B968="",ISNUMBER(B969)),CHOOSE(MONTH(B969),"GENNAIO","FEBBRAIO","MARZO","APRILE","MAGGIO","GIUGNO","LUGLIO","AGOSTO","SETTEMBRE","OTTOBRE","NOVEMBRE","DICEMBRE")&amp;" "&amp;YEAR(B969),"")</f>
        <v/>
      </c>
      <c r="B968" s="11"/>
      <c r="C968" s="12"/>
      <c r="D968" s="12" t="str">
        <f>IF(C968="","",C968-IF(C967&lt;&gt;"",C967,IF(C966&lt;&gt;"",C966,IF(C965&lt;&gt;"",C965,0))))</f>
        <v/>
      </c>
      <c r="E968" s="12"/>
      <c r="F968" s="12"/>
      <c r="G968" s="9" t="str">
        <f>IF(AND(E968="",F968=""),"",IF(OR(E968&gt;1,F968&gt;1),(F968-E968)/100,F968-E968))</f>
        <v/>
      </c>
      <c r="H968" s="12" t="str">
        <f>IF(G968="","",64*G968)</f>
        <v/>
      </c>
      <c r="I968" s="13"/>
      <c r="J968" s="13" t="str">
        <f>IFERROR(IF(OR(D968="",D968=0),"",I968/D968*100),"")</f>
        <v/>
      </c>
      <c r="K968" s="14"/>
      <c r="L968" s="13" t="str">
        <f>IF(I968="","",I968*K968)</f>
        <v/>
      </c>
      <c r="M968" s="13" t="str">
        <f>IF(B968="","",IFERROR(SUMPRODUCT(ISNUMBER(B$3:B968)*(MONTH(IF(ISNUMBER(B$3:B968),B$3:B968,1))=MONTH(B968))*(YEAR(IF(ISNUMBER(B$3:B968),B$3:B968,1))=YEAR(B968))*IF(ISNUMBER(L$3:L968),L$3:L968,0)),""))</f>
        <v/>
      </c>
      <c r="N968" s="6"/>
      <c r="O968" s="7" t="str">
        <f>IF(AND(B968="",ISNUMBER(B969)),CHOOSE(MONTH(B969),"GENNAIO","FEBBRAIO","MARZO","APRILE","MAGGIO","GIUGNO","LUGLIO","AGOSTO","SETTEMBRE","OTTOBRE","NOVEMBRE","DICEMBRE")&amp;" "&amp;YEAR(B969),"")</f>
        <v/>
      </c>
      <c r="P968" s="12" t="str">
        <f>IF(K968=0.2,"CASA","")</f>
        <v/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" customHeight="1" x14ac:dyDescent="0.2">
      <c r="A969" s="5" t="str">
        <f>IF(AND(B969="",ISNUMBER(B970)),CHOOSE(MONTH(B970),"GENNAIO","FEBBRAIO","MARZO","APRILE","MAGGIO","GIUGNO","LUGLIO","AGOSTO","SETTEMBRE","OTTOBRE","NOVEMBRE","DICEMBRE")&amp;" "&amp;YEAR(B970),"")</f>
        <v/>
      </c>
      <c r="B969" s="11"/>
      <c r="C969" s="12"/>
      <c r="D969" s="12" t="str">
        <f>IF(C969="","",C969-IF(C968&lt;&gt;"",C968,IF(C967&lt;&gt;"",C967,IF(C966&lt;&gt;"",C966,0))))</f>
        <v/>
      </c>
      <c r="E969" s="12"/>
      <c r="F969" s="12"/>
      <c r="G969" s="9" t="str">
        <f>IF(AND(E969="",F969=""),"",IF(OR(E969&gt;1,F969&gt;1),(F969-E969)/100,F969-E969))</f>
        <v/>
      </c>
      <c r="H969" s="12" t="str">
        <f>IF(G969="","",64*G969)</f>
        <v/>
      </c>
      <c r="I969" s="13"/>
      <c r="J969" s="13" t="str">
        <f>IFERROR(IF(OR(D969="",D969=0),"",I969/D969*100),"")</f>
        <v/>
      </c>
      <c r="K969" s="14"/>
      <c r="L969" s="13" t="str">
        <f>IF(I969="","",I969*K969)</f>
        <v/>
      </c>
      <c r="M969" s="13" t="str">
        <f>IF(B969="","",IFERROR(SUMPRODUCT(ISNUMBER(B$3:B969)*(MONTH(IF(ISNUMBER(B$3:B969),B$3:B969,1))=MONTH(B969))*(YEAR(IF(ISNUMBER(B$3:B969),B$3:B969,1))=YEAR(B969))*IF(ISNUMBER(L$3:L969),L$3:L969,0)),""))</f>
        <v/>
      </c>
      <c r="N969" s="6"/>
      <c r="O969" s="7" t="str">
        <f>IF(AND(B969="",ISNUMBER(B970)),CHOOSE(MONTH(B970),"GENNAIO","FEBBRAIO","MARZO","APRILE","MAGGIO","GIUGNO","LUGLIO","AGOSTO","SETTEMBRE","OTTOBRE","NOVEMBRE","DICEMBRE")&amp;" "&amp;YEAR(B970),"")</f>
        <v/>
      </c>
      <c r="P969" s="12" t="str">
        <f>IF(K969=0.2,"CASA","")</f>
        <v/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" customHeight="1" x14ac:dyDescent="0.2">
      <c r="A970" s="5" t="str">
        <f>IF(AND(B970="",ISNUMBER(B971)),CHOOSE(MONTH(B971),"GENNAIO","FEBBRAIO","MARZO","APRILE","MAGGIO","GIUGNO","LUGLIO","AGOSTO","SETTEMBRE","OTTOBRE","NOVEMBRE","DICEMBRE")&amp;" "&amp;YEAR(B971),"")</f>
        <v/>
      </c>
      <c r="B970" s="11"/>
      <c r="C970" s="12"/>
      <c r="D970" s="12" t="str">
        <f>IF(C970="","",C970-IF(C969&lt;&gt;"",C969,IF(C968&lt;&gt;"",C968,IF(C967&lt;&gt;"",C967,0))))</f>
        <v/>
      </c>
      <c r="E970" s="12"/>
      <c r="F970" s="12"/>
      <c r="G970" s="9" t="str">
        <f>IF(AND(E970="",F970=""),"",IF(OR(E970&gt;1,F970&gt;1),(F970-E970)/100,F970-E970))</f>
        <v/>
      </c>
      <c r="H970" s="12" t="str">
        <f>IF(G970="","",64*G970)</f>
        <v/>
      </c>
      <c r="I970" s="13"/>
      <c r="J970" s="13" t="str">
        <f>IFERROR(IF(OR(D970="",D970=0),"",I970/D970*100),"")</f>
        <v/>
      </c>
      <c r="K970" s="14"/>
      <c r="L970" s="13" t="str">
        <f>IF(I970="","",I970*K970)</f>
        <v/>
      </c>
      <c r="M970" s="13" t="str">
        <f>IF(B970="","",IFERROR(SUMPRODUCT(ISNUMBER(B$3:B970)*(MONTH(IF(ISNUMBER(B$3:B970),B$3:B970,1))=MONTH(B970))*(YEAR(IF(ISNUMBER(B$3:B970),B$3:B970,1))=YEAR(B970))*IF(ISNUMBER(L$3:L970),L$3:L970,0)),""))</f>
        <v/>
      </c>
      <c r="N970" s="6"/>
      <c r="O970" s="7" t="str">
        <f>IF(AND(B970="",ISNUMBER(B971)),CHOOSE(MONTH(B971),"GENNAIO","FEBBRAIO","MARZO","APRILE","MAGGIO","GIUGNO","LUGLIO","AGOSTO","SETTEMBRE","OTTOBRE","NOVEMBRE","DICEMBRE")&amp;" "&amp;YEAR(B971),"")</f>
        <v/>
      </c>
      <c r="P970" s="12" t="str">
        <f>IF(K970=0.2,"CASA","")</f>
        <v/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" customHeight="1" x14ac:dyDescent="0.2">
      <c r="A971" s="5" t="str">
        <f>IF(AND(B971="",ISNUMBER(B972)),CHOOSE(MONTH(B972),"GENNAIO","FEBBRAIO","MARZO","APRILE","MAGGIO","GIUGNO","LUGLIO","AGOSTO","SETTEMBRE","OTTOBRE","NOVEMBRE","DICEMBRE")&amp;" "&amp;YEAR(B972),"")</f>
        <v/>
      </c>
      <c r="B971" s="11"/>
      <c r="C971" s="12"/>
      <c r="D971" s="12" t="str">
        <f>IF(C971="","",C971-IF(C970&lt;&gt;"",C970,IF(C969&lt;&gt;"",C969,IF(C968&lt;&gt;"",C968,0))))</f>
        <v/>
      </c>
      <c r="E971" s="12"/>
      <c r="F971" s="12"/>
      <c r="G971" s="9" t="str">
        <f>IF(AND(E971="",F971=""),"",IF(OR(E971&gt;1,F971&gt;1),(F971-E971)/100,F971-E971))</f>
        <v/>
      </c>
      <c r="H971" s="12" t="str">
        <f>IF(G971="","",64*G971)</f>
        <v/>
      </c>
      <c r="I971" s="13"/>
      <c r="J971" s="13" t="str">
        <f>IFERROR(IF(OR(D971="",D971=0),"",I971/D971*100),"")</f>
        <v/>
      </c>
      <c r="K971" s="14"/>
      <c r="L971" s="13" t="str">
        <f>IF(I971="","",I971*K971)</f>
        <v/>
      </c>
      <c r="M971" s="13" t="str">
        <f>IF(B971="","",IFERROR(SUMPRODUCT(ISNUMBER(B$3:B971)*(MONTH(IF(ISNUMBER(B$3:B971),B$3:B971,1))=MONTH(B971))*(YEAR(IF(ISNUMBER(B$3:B971),B$3:B971,1))=YEAR(B971))*IF(ISNUMBER(L$3:L971),L$3:L971,0)),""))</f>
        <v/>
      </c>
      <c r="N971" s="6"/>
      <c r="O971" s="7" t="str">
        <f>IF(AND(B971="",ISNUMBER(B972)),CHOOSE(MONTH(B972),"GENNAIO","FEBBRAIO","MARZO","APRILE","MAGGIO","GIUGNO","LUGLIO","AGOSTO","SETTEMBRE","OTTOBRE","NOVEMBRE","DICEMBRE")&amp;" "&amp;YEAR(B972),"")</f>
        <v/>
      </c>
      <c r="P971" s="12" t="str">
        <f>IF(K971=0.2,"CASA","")</f>
        <v/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" customHeight="1" x14ac:dyDescent="0.2">
      <c r="A972" s="5" t="str">
        <f>IF(AND(B972="",ISNUMBER(B973)),CHOOSE(MONTH(B973),"GENNAIO","FEBBRAIO","MARZO","APRILE","MAGGIO","GIUGNO","LUGLIO","AGOSTO","SETTEMBRE","OTTOBRE","NOVEMBRE","DICEMBRE")&amp;" "&amp;YEAR(B973),"")</f>
        <v/>
      </c>
      <c r="B972" s="11"/>
      <c r="C972" s="12"/>
      <c r="D972" s="12" t="str">
        <f>IF(C972="","",C972-IF(C971&lt;&gt;"",C971,IF(C970&lt;&gt;"",C970,IF(C969&lt;&gt;"",C969,0))))</f>
        <v/>
      </c>
      <c r="E972" s="12"/>
      <c r="F972" s="12"/>
      <c r="G972" s="9" t="str">
        <f>IF(AND(E972="",F972=""),"",IF(OR(E972&gt;1,F972&gt;1),(F972-E972)/100,F972-E972))</f>
        <v/>
      </c>
      <c r="H972" s="12" t="str">
        <f>IF(G972="","",64*G972)</f>
        <v/>
      </c>
      <c r="I972" s="13"/>
      <c r="J972" s="13" t="str">
        <f>IFERROR(IF(OR(D972="",D972=0),"",I972/D972*100),"")</f>
        <v/>
      </c>
      <c r="K972" s="14"/>
      <c r="L972" s="13" t="str">
        <f>IF(I972="","",I972*K972)</f>
        <v/>
      </c>
      <c r="M972" s="13" t="str">
        <f>IF(B972="","",IFERROR(SUMPRODUCT(ISNUMBER(B$3:B972)*(MONTH(IF(ISNUMBER(B$3:B972),B$3:B972,1))=MONTH(B972))*(YEAR(IF(ISNUMBER(B$3:B972),B$3:B972,1))=YEAR(B972))*IF(ISNUMBER(L$3:L972),L$3:L972,0)),""))</f>
        <v/>
      </c>
      <c r="N972" s="6"/>
      <c r="O972" s="7" t="str">
        <f>IF(AND(B972="",ISNUMBER(B973)),CHOOSE(MONTH(B973),"GENNAIO","FEBBRAIO","MARZO","APRILE","MAGGIO","GIUGNO","LUGLIO","AGOSTO","SETTEMBRE","OTTOBRE","NOVEMBRE","DICEMBRE")&amp;" "&amp;YEAR(B973),"")</f>
        <v/>
      </c>
      <c r="P972" s="12" t="str">
        <f>IF(K972=0.2,"CASA","")</f>
        <v/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" customHeight="1" x14ac:dyDescent="0.2">
      <c r="A973" s="5" t="str">
        <f>IF(AND(B973="",ISNUMBER(B974)),CHOOSE(MONTH(B974),"GENNAIO","FEBBRAIO","MARZO","APRILE","MAGGIO","GIUGNO","LUGLIO","AGOSTO","SETTEMBRE","OTTOBRE","NOVEMBRE","DICEMBRE")&amp;" "&amp;YEAR(B974),"")</f>
        <v/>
      </c>
      <c r="B973" s="11"/>
      <c r="C973" s="12"/>
      <c r="D973" s="12" t="str">
        <f>IF(C973="","",C973-IF(C972&lt;&gt;"",C972,IF(C971&lt;&gt;"",C971,IF(C970&lt;&gt;"",C970,0))))</f>
        <v/>
      </c>
      <c r="E973" s="12"/>
      <c r="F973" s="12"/>
      <c r="G973" s="9" t="str">
        <f>IF(AND(E973="",F973=""),"",IF(OR(E973&gt;1,F973&gt;1),(F973-E973)/100,F973-E973))</f>
        <v/>
      </c>
      <c r="H973" s="12" t="str">
        <f>IF(G973="","",64*G973)</f>
        <v/>
      </c>
      <c r="I973" s="13"/>
      <c r="J973" s="13" t="str">
        <f>IFERROR(IF(OR(D973="",D973=0),"",I973/D973*100),"")</f>
        <v/>
      </c>
      <c r="K973" s="14"/>
      <c r="L973" s="13" t="str">
        <f>IF(I973="","",I973*K973)</f>
        <v/>
      </c>
      <c r="M973" s="13" t="str">
        <f>IF(B973="","",IFERROR(SUMPRODUCT(ISNUMBER(B$3:B973)*(MONTH(IF(ISNUMBER(B$3:B973),B$3:B973,1))=MONTH(B973))*(YEAR(IF(ISNUMBER(B$3:B973),B$3:B973,1))=YEAR(B973))*IF(ISNUMBER(L$3:L973),L$3:L973,0)),""))</f>
        <v/>
      </c>
      <c r="N973" s="6"/>
      <c r="O973" s="7" t="str">
        <f>IF(AND(B973="",ISNUMBER(B974)),CHOOSE(MONTH(B974),"GENNAIO","FEBBRAIO","MARZO","APRILE","MAGGIO","GIUGNO","LUGLIO","AGOSTO","SETTEMBRE","OTTOBRE","NOVEMBRE","DICEMBRE")&amp;" "&amp;YEAR(B974),"")</f>
        <v/>
      </c>
      <c r="P973" s="12" t="str">
        <f>IF(K973=0.2,"CASA","")</f>
        <v/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" customHeight="1" x14ac:dyDescent="0.2">
      <c r="A974" s="5" t="str">
        <f>IF(AND(B974="",ISNUMBER(B975)),CHOOSE(MONTH(B975),"GENNAIO","FEBBRAIO","MARZO","APRILE","MAGGIO","GIUGNO","LUGLIO","AGOSTO","SETTEMBRE","OTTOBRE","NOVEMBRE","DICEMBRE")&amp;" "&amp;YEAR(B975),"")</f>
        <v/>
      </c>
      <c r="B974" s="11"/>
      <c r="C974" s="12"/>
      <c r="D974" s="12" t="str">
        <f>IF(C974="","",C974-IF(C973&lt;&gt;"",C973,IF(C972&lt;&gt;"",C972,IF(C971&lt;&gt;"",C971,0))))</f>
        <v/>
      </c>
      <c r="E974" s="12"/>
      <c r="F974" s="12"/>
      <c r="G974" s="9" t="str">
        <f>IF(AND(E974="",F974=""),"",IF(OR(E974&gt;1,F974&gt;1),(F974-E974)/100,F974-E974))</f>
        <v/>
      </c>
      <c r="H974" s="12" t="str">
        <f>IF(G974="","",64*G974)</f>
        <v/>
      </c>
      <c r="I974" s="13"/>
      <c r="J974" s="13" t="str">
        <f>IFERROR(IF(OR(D974="",D974=0),"",I974/D974*100),"")</f>
        <v/>
      </c>
      <c r="K974" s="14"/>
      <c r="L974" s="13" t="str">
        <f>IF(I974="","",I974*K974)</f>
        <v/>
      </c>
      <c r="M974" s="13" t="str">
        <f>IF(B974="","",IFERROR(SUMPRODUCT(ISNUMBER(B$3:B974)*(MONTH(IF(ISNUMBER(B$3:B974),B$3:B974,1))=MONTH(B974))*(YEAR(IF(ISNUMBER(B$3:B974),B$3:B974,1))=YEAR(B974))*IF(ISNUMBER(L$3:L974),L$3:L974,0)),""))</f>
        <v/>
      </c>
      <c r="N974" s="6"/>
      <c r="O974" s="7" t="str">
        <f>IF(AND(B974="",ISNUMBER(B975)),CHOOSE(MONTH(B975),"GENNAIO","FEBBRAIO","MARZO","APRILE","MAGGIO","GIUGNO","LUGLIO","AGOSTO","SETTEMBRE","OTTOBRE","NOVEMBRE","DICEMBRE")&amp;" "&amp;YEAR(B975),"")</f>
        <v/>
      </c>
      <c r="P974" s="12" t="str">
        <f>IF(K974=0.2,"CASA","")</f>
        <v/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" customHeight="1" x14ac:dyDescent="0.2">
      <c r="A975" s="5" t="str">
        <f>IF(AND(B975="",ISNUMBER(B976)),CHOOSE(MONTH(B976),"GENNAIO","FEBBRAIO","MARZO","APRILE","MAGGIO","GIUGNO","LUGLIO","AGOSTO","SETTEMBRE","OTTOBRE","NOVEMBRE","DICEMBRE")&amp;" "&amp;YEAR(B976),"")</f>
        <v/>
      </c>
      <c r="B975" s="11"/>
      <c r="C975" s="12"/>
      <c r="D975" s="12" t="str">
        <f>IF(C975="","",C975-IF(C974&lt;&gt;"",C974,IF(C973&lt;&gt;"",C973,IF(C972&lt;&gt;"",C972,0))))</f>
        <v/>
      </c>
      <c r="E975" s="12"/>
      <c r="F975" s="12"/>
      <c r="G975" s="9" t="str">
        <f>IF(AND(E975="",F975=""),"",IF(OR(E975&gt;1,F975&gt;1),(F975-E975)/100,F975-E975))</f>
        <v/>
      </c>
      <c r="H975" s="12" t="str">
        <f>IF(G975="","",64*G975)</f>
        <v/>
      </c>
      <c r="I975" s="13"/>
      <c r="J975" s="13" t="str">
        <f>IFERROR(IF(OR(D975="",D975=0),"",I975/D975*100),"")</f>
        <v/>
      </c>
      <c r="K975" s="14"/>
      <c r="L975" s="13" t="str">
        <f>IF(I975="","",I975*K975)</f>
        <v/>
      </c>
      <c r="M975" s="13" t="str">
        <f>IF(B975="","",IFERROR(SUMPRODUCT(ISNUMBER(B$3:B975)*(MONTH(IF(ISNUMBER(B$3:B975),B$3:B975,1))=MONTH(B975))*(YEAR(IF(ISNUMBER(B$3:B975),B$3:B975,1))=YEAR(B975))*IF(ISNUMBER(L$3:L975),L$3:L975,0)),""))</f>
        <v/>
      </c>
      <c r="N975" s="6"/>
      <c r="O975" s="7" t="str">
        <f>IF(AND(B975="",ISNUMBER(B976)),CHOOSE(MONTH(B976),"GENNAIO","FEBBRAIO","MARZO","APRILE","MAGGIO","GIUGNO","LUGLIO","AGOSTO","SETTEMBRE","OTTOBRE","NOVEMBRE","DICEMBRE")&amp;" "&amp;YEAR(B976),"")</f>
        <v/>
      </c>
      <c r="P975" s="12" t="str">
        <f>IF(K975=0.2,"CASA","")</f>
        <v/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" customHeight="1" x14ac:dyDescent="0.2">
      <c r="A976" s="5" t="str">
        <f>IF(AND(B976="",ISNUMBER(B977)),CHOOSE(MONTH(B977),"GENNAIO","FEBBRAIO","MARZO","APRILE","MAGGIO","GIUGNO","LUGLIO","AGOSTO","SETTEMBRE","OTTOBRE","NOVEMBRE","DICEMBRE")&amp;" "&amp;YEAR(B977),"")</f>
        <v/>
      </c>
      <c r="B976" s="11"/>
      <c r="C976" s="12"/>
      <c r="D976" s="12" t="str">
        <f>IF(C976="","",C976-IF(C975&lt;&gt;"",C975,IF(C974&lt;&gt;"",C974,IF(C973&lt;&gt;"",C973,0))))</f>
        <v/>
      </c>
      <c r="E976" s="12"/>
      <c r="F976" s="12"/>
      <c r="G976" s="9" t="str">
        <f>IF(AND(E976="",F976=""),"",IF(OR(E976&gt;1,F976&gt;1),(F976-E976)/100,F976-E976))</f>
        <v/>
      </c>
      <c r="H976" s="12" t="str">
        <f>IF(G976="","",64*G976)</f>
        <v/>
      </c>
      <c r="I976" s="13"/>
      <c r="J976" s="13" t="str">
        <f>IFERROR(IF(OR(D976="",D976=0),"",I976/D976*100),"")</f>
        <v/>
      </c>
      <c r="K976" s="14"/>
      <c r="L976" s="13" t="str">
        <f>IF(I976="","",I976*K976)</f>
        <v/>
      </c>
      <c r="M976" s="13" t="str">
        <f>IF(B976="","",IFERROR(SUMPRODUCT(ISNUMBER(B$3:B976)*(MONTH(IF(ISNUMBER(B$3:B976),B$3:B976,1))=MONTH(B976))*(YEAR(IF(ISNUMBER(B$3:B976),B$3:B976,1))=YEAR(B976))*IF(ISNUMBER(L$3:L976),L$3:L976,0)),""))</f>
        <v/>
      </c>
      <c r="N976" s="6"/>
      <c r="O976" s="7" t="str">
        <f>IF(AND(B976="",ISNUMBER(B977)),CHOOSE(MONTH(B977),"GENNAIO","FEBBRAIO","MARZO","APRILE","MAGGIO","GIUGNO","LUGLIO","AGOSTO","SETTEMBRE","OTTOBRE","NOVEMBRE","DICEMBRE")&amp;" "&amp;YEAR(B977),"")</f>
        <v/>
      </c>
      <c r="P976" s="12" t="str">
        <f>IF(K976=0.2,"CASA","")</f>
        <v/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" customHeight="1" x14ac:dyDescent="0.2">
      <c r="A977" s="5" t="str">
        <f>IF(AND(B977="",ISNUMBER(B978)),CHOOSE(MONTH(B978),"GENNAIO","FEBBRAIO","MARZO","APRILE","MAGGIO","GIUGNO","LUGLIO","AGOSTO","SETTEMBRE","OTTOBRE","NOVEMBRE","DICEMBRE")&amp;" "&amp;YEAR(B978),"")</f>
        <v/>
      </c>
      <c r="B977" s="11"/>
      <c r="C977" s="12"/>
      <c r="D977" s="12" t="str">
        <f>IF(C977="","",C977-IF(C976&lt;&gt;"",C976,IF(C975&lt;&gt;"",C975,IF(C974&lt;&gt;"",C974,0))))</f>
        <v/>
      </c>
      <c r="E977" s="12"/>
      <c r="F977" s="12"/>
      <c r="G977" s="9" t="str">
        <f>IF(AND(E977="",F977=""),"",IF(OR(E977&gt;1,F977&gt;1),(F977-E977)/100,F977-E977))</f>
        <v/>
      </c>
      <c r="H977" s="12" t="str">
        <f>IF(G977="","",64*G977)</f>
        <v/>
      </c>
      <c r="I977" s="13"/>
      <c r="J977" s="13" t="str">
        <f>IFERROR(IF(OR(D977="",D977=0),"",I977/D977*100),"")</f>
        <v/>
      </c>
      <c r="K977" s="14"/>
      <c r="L977" s="13" t="str">
        <f>IF(I977="","",I977*K977)</f>
        <v/>
      </c>
      <c r="M977" s="13" t="str">
        <f>IF(B977="","",IFERROR(SUMPRODUCT(ISNUMBER(B$3:B977)*(MONTH(IF(ISNUMBER(B$3:B977),B$3:B977,1))=MONTH(B977))*(YEAR(IF(ISNUMBER(B$3:B977),B$3:B977,1))=YEAR(B977))*IF(ISNUMBER(L$3:L977),L$3:L977,0)),""))</f>
        <v/>
      </c>
      <c r="N977" s="6"/>
      <c r="O977" s="7" t="str">
        <f>IF(AND(B977="",ISNUMBER(B978)),CHOOSE(MONTH(B978),"GENNAIO","FEBBRAIO","MARZO","APRILE","MAGGIO","GIUGNO","LUGLIO","AGOSTO","SETTEMBRE","OTTOBRE","NOVEMBRE","DICEMBRE")&amp;" "&amp;YEAR(B978),"")</f>
        <v/>
      </c>
      <c r="P977" s="12" t="str">
        <f>IF(K977=0.2,"CASA","")</f>
        <v/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" customHeight="1" x14ac:dyDescent="0.2">
      <c r="A978" s="5" t="str">
        <f>IF(AND(B978="",ISNUMBER(B979)),CHOOSE(MONTH(B979),"GENNAIO","FEBBRAIO","MARZO","APRILE","MAGGIO","GIUGNO","LUGLIO","AGOSTO","SETTEMBRE","OTTOBRE","NOVEMBRE","DICEMBRE")&amp;" "&amp;YEAR(B979),"")</f>
        <v/>
      </c>
      <c r="B978" s="11"/>
      <c r="C978" s="12"/>
      <c r="D978" s="12" t="str">
        <f>IF(C978="","",C978-IF(C977&lt;&gt;"",C977,IF(C976&lt;&gt;"",C976,IF(C975&lt;&gt;"",C975,0))))</f>
        <v/>
      </c>
      <c r="E978" s="12"/>
      <c r="F978" s="12"/>
      <c r="G978" s="9" t="str">
        <f>IF(AND(E978="",F978=""),"",IF(OR(E978&gt;1,F978&gt;1),(F978-E978)/100,F978-E978))</f>
        <v/>
      </c>
      <c r="H978" s="12" t="str">
        <f>IF(G978="","",64*G978)</f>
        <v/>
      </c>
      <c r="I978" s="13"/>
      <c r="J978" s="13" t="str">
        <f>IFERROR(IF(OR(D978="",D978=0),"",I978/D978*100),"")</f>
        <v/>
      </c>
      <c r="K978" s="14"/>
      <c r="L978" s="13" t="str">
        <f>IF(I978="","",I978*K978)</f>
        <v/>
      </c>
      <c r="M978" s="13" t="str">
        <f>IF(B978="","",IFERROR(SUMPRODUCT(ISNUMBER(B$3:B978)*(MONTH(IF(ISNUMBER(B$3:B978),B$3:B978,1))=MONTH(B978))*(YEAR(IF(ISNUMBER(B$3:B978),B$3:B978,1))=YEAR(B978))*IF(ISNUMBER(L$3:L978),L$3:L978,0)),""))</f>
        <v/>
      </c>
      <c r="N978" s="6"/>
      <c r="O978" s="7" t="str">
        <f>IF(AND(B978="",ISNUMBER(B979)),CHOOSE(MONTH(B979),"GENNAIO","FEBBRAIO","MARZO","APRILE","MAGGIO","GIUGNO","LUGLIO","AGOSTO","SETTEMBRE","OTTOBRE","NOVEMBRE","DICEMBRE")&amp;" "&amp;YEAR(B979),"")</f>
        <v/>
      </c>
      <c r="P978" s="12" t="str">
        <f>IF(K978=0.2,"CASA","")</f>
        <v/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" customHeight="1" x14ac:dyDescent="0.2">
      <c r="A979" s="5" t="str">
        <f>IF(AND(B979="",ISNUMBER(B980)),CHOOSE(MONTH(B980),"GENNAIO","FEBBRAIO","MARZO","APRILE","MAGGIO","GIUGNO","LUGLIO","AGOSTO","SETTEMBRE","OTTOBRE","NOVEMBRE","DICEMBRE")&amp;" "&amp;YEAR(B980),"")</f>
        <v/>
      </c>
      <c r="B979" s="11"/>
      <c r="C979" s="12"/>
      <c r="D979" s="12" t="str">
        <f>IF(C979="","",C979-IF(C978&lt;&gt;"",C978,IF(C977&lt;&gt;"",C977,IF(C976&lt;&gt;"",C976,0))))</f>
        <v/>
      </c>
      <c r="E979" s="12"/>
      <c r="F979" s="12"/>
      <c r="G979" s="9" t="str">
        <f>IF(AND(E979="",F979=""),"",IF(OR(E979&gt;1,F979&gt;1),(F979-E979)/100,F979-E979))</f>
        <v/>
      </c>
      <c r="H979" s="12" t="str">
        <f>IF(G979="","",64*G979)</f>
        <v/>
      </c>
      <c r="I979" s="13"/>
      <c r="J979" s="13" t="str">
        <f>IFERROR(IF(OR(D979="",D979=0),"",I979/D979*100),"")</f>
        <v/>
      </c>
      <c r="K979" s="14"/>
      <c r="L979" s="13" t="str">
        <f>IF(I979="","",I979*K979)</f>
        <v/>
      </c>
      <c r="M979" s="13" t="str">
        <f>IF(B979="","",IFERROR(SUMPRODUCT(ISNUMBER(B$3:B979)*(MONTH(IF(ISNUMBER(B$3:B979),B$3:B979,1))=MONTH(B979))*(YEAR(IF(ISNUMBER(B$3:B979),B$3:B979,1))=YEAR(B979))*IF(ISNUMBER(L$3:L979),L$3:L979,0)),""))</f>
        <v/>
      </c>
      <c r="N979" s="6"/>
      <c r="O979" s="7" t="str">
        <f>IF(AND(B979="",ISNUMBER(B980)),CHOOSE(MONTH(B980),"GENNAIO","FEBBRAIO","MARZO","APRILE","MAGGIO","GIUGNO","LUGLIO","AGOSTO","SETTEMBRE","OTTOBRE","NOVEMBRE","DICEMBRE")&amp;" "&amp;YEAR(B980),"")</f>
        <v/>
      </c>
      <c r="P979" s="12" t="str">
        <f>IF(K979=0.2,"CASA","")</f>
        <v/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" customHeight="1" x14ac:dyDescent="0.2">
      <c r="A980" s="5" t="str">
        <f>IF(AND(B980="",ISNUMBER(B981)),CHOOSE(MONTH(B981),"GENNAIO","FEBBRAIO","MARZO","APRILE","MAGGIO","GIUGNO","LUGLIO","AGOSTO","SETTEMBRE","OTTOBRE","NOVEMBRE","DICEMBRE")&amp;" "&amp;YEAR(B981),"")</f>
        <v/>
      </c>
      <c r="B980" s="11"/>
      <c r="C980" s="12"/>
      <c r="D980" s="12" t="str">
        <f>IF(C980="","",C980-IF(C979&lt;&gt;"",C979,IF(C978&lt;&gt;"",C978,IF(C977&lt;&gt;"",C977,0))))</f>
        <v/>
      </c>
      <c r="E980" s="12"/>
      <c r="F980" s="12"/>
      <c r="G980" s="9" t="str">
        <f>IF(AND(E980="",F980=""),"",IF(OR(E980&gt;1,F980&gt;1),(F980-E980)/100,F980-E980))</f>
        <v/>
      </c>
      <c r="H980" s="12" t="str">
        <f>IF(G980="","",64*G980)</f>
        <v/>
      </c>
      <c r="I980" s="13"/>
      <c r="J980" s="13" t="str">
        <f>IFERROR(IF(OR(D980="",D980=0),"",I980/D980*100),"")</f>
        <v/>
      </c>
      <c r="K980" s="14"/>
      <c r="L980" s="13" t="str">
        <f>IF(I980="","",I980*K980)</f>
        <v/>
      </c>
      <c r="M980" s="13" t="str">
        <f>IF(B980="","",IFERROR(SUMPRODUCT(ISNUMBER(B$3:B980)*(MONTH(IF(ISNUMBER(B$3:B980),B$3:B980,1))=MONTH(B980))*(YEAR(IF(ISNUMBER(B$3:B980),B$3:B980,1))=YEAR(B980))*IF(ISNUMBER(L$3:L980),L$3:L980,0)),""))</f>
        <v/>
      </c>
      <c r="N980" s="6"/>
      <c r="O980" s="7" t="str">
        <f>IF(AND(B980="",ISNUMBER(B981)),CHOOSE(MONTH(B981),"GENNAIO","FEBBRAIO","MARZO","APRILE","MAGGIO","GIUGNO","LUGLIO","AGOSTO","SETTEMBRE","OTTOBRE","NOVEMBRE","DICEMBRE")&amp;" "&amp;YEAR(B981),"")</f>
        <v/>
      </c>
      <c r="P980" s="12" t="str">
        <f>IF(K980=0.2,"CASA","")</f>
        <v/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" customHeight="1" x14ac:dyDescent="0.2">
      <c r="A981" s="5" t="str">
        <f>IF(AND(B981="",ISNUMBER(B982)),CHOOSE(MONTH(B982),"GENNAIO","FEBBRAIO","MARZO","APRILE","MAGGIO","GIUGNO","LUGLIO","AGOSTO","SETTEMBRE","OTTOBRE","NOVEMBRE","DICEMBRE")&amp;" "&amp;YEAR(B982),"")</f>
        <v/>
      </c>
      <c r="B981" s="11"/>
      <c r="C981" s="12"/>
      <c r="D981" s="12" t="str">
        <f>IF(C981="","",C981-IF(C980&lt;&gt;"",C980,IF(C979&lt;&gt;"",C979,IF(C978&lt;&gt;"",C978,0))))</f>
        <v/>
      </c>
      <c r="E981" s="12"/>
      <c r="F981" s="12"/>
      <c r="G981" s="9" t="str">
        <f>IF(AND(E981="",F981=""),"",IF(OR(E981&gt;1,F981&gt;1),(F981-E981)/100,F981-E981))</f>
        <v/>
      </c>
      <c r="H981" s="12" t="str">
        <f>IF(G981="","",64*G981)</f>
        <v/>
      </c>
      <c r="I981" s="13"/>
      <c r="J981" s="13" t="str">
        <f>IFERROR(IF(OR(D981="",D981=0),"",I981/D981*100),"")</f>
        <v/>
      </c>
      <c r="K981" s="14"/>
      <c r="L981" s="13" t="str">
        <f>IF(I981="","",I981*K981)</f>
        <v/>
      </c>
      <c r="M981" s="13" t="str">
        <f>IF(B981="","",IFERROR(SUMPRODUCT(ISNUMBER(B$3:B981)*(MONTH(IF(ISNUMBER(B$3:B981),B$3:B981,1))=MONTH(B981))*(YEAR(IF(ISNUMBER(B$3:B981),B$3:B981,1))=YEAR(B981))*IF(ISNUMBER(L$3:L981),L$3:L981,0)),""))</f>
        <v/>
      </c>
      <c r="N981" s="6"/>
      <c r="O981" s="7" t="str">
        <f>IF(AND(B981="",ISNUMBER(B982)),CHOOSE(MONTH(B982),"GENNAIO","FEBBRAIO","MARZO","APRILE","MAGGIO","GIUGNO","LUGLIO","AGOSTO","SETTEMBRE","OTTOBRE","NOVEMBRE","DICEMBRE")&amp;" "&amp;YEAR(B982),"")</f>
        <v/>
      </c>
      <c r="P981" s="12" t="str">
        <f>IF(K981=0.2,"CASA","")</f>
        <v/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" customHeight="1" x14ac:dyDescent="0.2">
      <c r="A982" s="5" t="str">
        <f>IF(AND(B982="",ISNUMBER(B983)),CHOOSE(MONTH(B983),"GENNAIO","FEBBRAIO","MARZO","APRILE","MAGGIO","GIUGNO","LUGLIO","AGOSTO","SETTEMBRE","OTTOBRE","NOVEMBRE","DICEMBRE")&amp;" "&amp;YEAR(B983),"")</f>
        <v/>
      </c>
      <c r="B982" s="11"/>
      <c r="C982" s="12"/>
      <c r="D982" s="12" t="str">
        <f>IF(C982="","",C982-IF(C981&lt;&gt;"",C981,IF(C980&lt;&gt;"",C980,IF(C979&lt;&gt;"",C979,0))))</f>
        <v/>
      </c>
      <c r="E982" s="12"/>
      <c r="F982" s="12"/>
      <c r="G982" s="9" t="str">
        <f>IF(AND(E982="",F982=""),"",IF(OR(E982&gt;1,F982&gt;1),(F982-E982)/100,F982-E982))</f>
        <v/>
      </c>
      <c r="H982" s="12" t="str">
        <f>IF(G982="","",64*G982)</f>
        <v/>
      </c>
      <c r="I982" s="13"/>
      <c r="J982" s="13" t="str">
        <f>IFERROR(IF(OR(D982="",D982=0),"",I982/D982*100),"")</f>
        <v/>
      </c>
      <c r="K982" s="14"/>
      <c r="L982" s="13" t="str">
        <f>IF(I982="","",I982*K982)</f>
        <v/>
      </c>
      <c r="M982" s="13" t="str">
        <f>IF(B982="","",IFERROR(SUMPRODUCT(ISNUMBER(B$3:B982)*(MONTH(IF(ISNUMBER(B$3:B982),B$3:B982,1))=MONTH(B982))*(YEAR(IF(ISNUMBER(B$3:B982),B$3:B982,1))=YEAR(B982))*IF(ISNUMBER(L$3:L982),L$3:L982,0)),""))</f>
        <v/>
      </c>
      <c r="N982" s="6"/>
      <c r="O982" s="7" t="str">
        <f>IF(AND(B982="",ISNUMBER(B983)),CHOOSE(MONTH(B983),"GENNAIO","FEBBRAIO","MARZO","APRILE","MAGGIO","GIUGNO","LUGLIO","AGOSTO","SETTEMBRE","OTTOBRE","NOVEMBRE","DICEMBRE")&amp;" "&amp;YEAR(B983),"")</f>
        <v/>
      </c>
      <c r="P982" s="12" t="str">
        <f>IF(K982=0.2,"CASA","")</f>
        <v/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" customHeight="1" x14ac:dyDescent="0.2">
      <c r="A983" s="5" t="str">
        <f>IF(AND(B983="",ISNUMBER(B984)),CHOOSE(MONTH(B984),"GENNAIO","FEBBRAIO","MARZO","APRILE","MAGGIO","GIUGNO","LUGLIO","AGOSTO","SETTEMBRE","OTTOBRE","NOVEMBRE","DICEMBRE")&amp;" "&amp;YEAR(B984),"")</f>
        <v/>
      </c>
      <c r="B983" s="11"/>
      <c r="C983" s="12"/>
      <c r="D983" s="12" t="str">
        <f>IF(C983="","",C983-IF(C982&lt;&gt;"",C982,IF(C981&lt;&gt;"",C981,IF(C980&lt;&gt;"",C980,0))))</f>
        <v/>
      </c>
      <c r="E983" s="12"/>
      <c r="F983" s="12"/>
      <c r="G983" s="9" t="str">
        <f>IF(AND(E983="",F983=""),"",IF(OR(E983&gt;1,F983&gt;1),(F983-E983)/100,F983-E983))</f>
        <v/>
      </c>
      <c r="H983" s="12" t="str">
        <f>IF(G983="","",64*G983)</f>
        <v/>
      </c>
      <c r="I983" s="13"/>
      <c r="J983" s="13" t="str">
        <f>IFERROR(IF(OR(D983="",D983=0),"",I983/D983*100),"")</f>
        <v/>
      </c>
      <c r="K983" s="14"/>
      <c r="L983" s="13" t="str">
        <f>IF(I983="","",I983*K983)</f>
        <v/>
      </c>
      <c r="M983" s="13" t="str">
        <f>IF(B983="","",IFERROR(SUMPRODUCT(ISNUMBER(B$3:B983)*(MONTH(IF(ISNUMBER(B$3:B983),B$3:B983,1))=MONTH(B983))*(YEAR(IF(ISNUMBER(B$3:B983),B$3:B983,1))=YEAR(B983))*IF(ISNUMBER(L$3:L983),L$3:L983,0)),""))</f>
        <v/>
      </c>
      <c r="N983" s="6"/>
      <c r="O983" s="7" t="str">
        <f>IF(AND(B983="",ISNUMBER(B984)),CHOOSE(MONTH(B984),"GENNAIO","FEBBRAIO","MARZO","APRILE","MAGGIO","GIUGNO","LUGLIO","AGOSTO","SETTEMBRE","OTTOBRE","NOVEMBRE","DICEMBRE")&amp;" "&amp;YEAR(B984),"")</f>
        <v/>
      </c>
      <c r="P983" s="12" t="str">
        <f>IF(K983=0.2,"CASA","")</f>
        <v/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" customHeight="1" x14ac:dyDescent="0.2">
      <c r="A984" s="5" t="str">
        <f>IF(AND(B984="",ISNUMBER(B985)),CHOOSE(MONTH(B985),"GENNAIO","FEBBRAIO","MARZO","APRILE","MAGGIO","GIUGNO","LUGLIO","AGOSTO","SETTEMBRE","OTTOBRE","NOVEMBRE","DICEMBRE")&amp;" "&amp;YEAR(B985),"")</f>
        <v/>
      </c>
      <c r="B984" s="11"/>
      <c r="C984" s="12"/>
      <c r="D984" s="12" t="str">
        <f>IF(C984="","",C984-IF(C983&lt;&gt;"",C983,IF(C982&lt;&gt;"",C982,IF(C981&lt;&gt;"",C981,0))))</f>
        <v/>
      </c>
      <c r="E984" s="12"/>
      <c r="F984" s="12"/>
      <c r="G984" s="9" t="str">
        <f>IF(AND(E984="",F984=""),"",IF(OR(E984&gt;1,F984&gt;1),(F984-E984)/100,F984-E984))</f>
        <v/>
      </c>
      <c r="H984" s="12" t="str">
        <f>IF(G984="","",64*G984)</f>
        <v/>
      </c>
      <c r="I984" s="13"/>
      <c r="J984" s="13" t="str">
        <f>IFERROR(IF(OR(D984="",D984=0),"",I984/D984*100),"")</f>
        <v/>
      </c>
      <c r="K984" s="14"/>
      <c r="L984" s="13" t="str">
        <f>IF(I984="","",I984*K984)</f>
        <v/>
      </c>
      <c r="M984" s="13" t="str">
        <f>IF(B984="","",IFERROR(SUMPRODUCT(ISNUMBER(B$3:B984)*(MONTH(IF(ISNUMBER(B$3:B984),B$3:B984,1))=MONTH(B984))*(YEAR(IF(ISNUMBER(B$3:B984),B$3:B984,1))=YEAR(B984))*IF(ISNUMBER(L$3:L984),L$3:L984,0)),""))</f>
        <v/>
      </c>
      <c r="N984" s="6"/>
      <c r="O984" s="7" t="str">
        <f>IF(AND(B984="",ISNUMBER(B985)),CHOOSE(MONTH(B985),"GENNAIO","FEBBRAIO","MARZO","APRILE","MAGGIO","GIUGNO","LUGLIO","AGOSTO","SETTEMBRE","OTTOBRE","NOVEMBRE","DICEMBRE")&amp;" "&amp;YEAR(B985),"")</f>
        <v/>
      </c>
      <c r="P984" s="12" t="str">
        <f>IF(K984=0.2,"CASA","")</f>
        <v/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" customHeight="1" x14ac:dyDescent="0.2">
      <c r="A985" s="5" t="str">
        <f>IF(AND(B985="",ISNUMBER(B986)),CHOOSE(MONTH(B986),"GENNAIO","FEBBRAIO","MARZO","APRILE","MAGGIO","GIUGNO","LUGLIO","AGOSTO","SETTEMBRE","OTTOBRE","NOVEMBRE","DICEMBRE")&amp;" "&amp;YEAR(B986),"")</f>
        <v/>
      </c>
      <c r="B985" s="11"/>
      <c r="C985" s="12"/>
      <c r="D985" s="12" t="str">
        <f>IF(C985="","",C985-IF(C984&lt;&gt;"",C984,IF(C983&lt;&gt;"",C983,IF(C982&lt;&gt;"",C982,0))))</f>
        <v/>
      </c>
      <c r="E985" s="12"/>
      <c r="F985" s="12"/>
      <c r="G985" s="9" t="str">
        <f>IF(AND(E985="",F985=""),"",IF(OR(E985&gt;1,F985&gt;1),(F985-E985)/100,F985-E985))</f>
        <v/>
      </c>
      <c r="H985" s="12" t="str">
        <f>IF(G985="","",64*G985)</f>
        <v/>
      </c>
      <c r="I985" s="13"/>
      <c r="J985" s="13" t="str">
        <f>IFERROR(IF(OR(D985="",D985=0),"",I985/D985*100),"")</f>
        <v/>
      </c>
      <c r="K985" s="14"/>
      <c r="L985" s="13" t="str">
        <f>IF(I985="","",I985*K985)</f>
        <v/>
      </c>
      <c r="M985" s="13" t="str">
        <f>IF(B985="","",IFERROR(SUMPRODUCT(ISNUMBER(B$3:B985)*(MONTH(IF(ISNUMBER(B$3:B985),B$3:B985,1))=MONTH(B985))*(YEAR(IF(ISNUMBER(B$3:B985),B$3:B985,1))=YEAR(B985))*IF(ISNUMBER(L$3:L985),L$3:L985,0)),""))</f>
        <v/>
      </c>
      <c r="N985" s="6"/>
      <c r="O985" s="7" t="str">
        <f>IF(AND(B985="",ISNUMBER(B986)),CHOOSE(MONTH(B986),"GENNAIO","FEBBRAIO","MARZO","APRILE","MAGGIO","GIUGNO","LUGLIO","AGOSTO","SETTEMBRE","OTTOBRE","NOVEMBRE","DICEMBRE")&amp;" "&amp;YEAR(B986),"")</f>
        <v/>
      </c>
      <c r="P985" s="12" t="str">
        <f>IF(K985=0.2,"CASA","")</f>
        <v/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" customHeight="1" x14ac:dyDescent="0.2">
      <c r="A986" s="5" t="str">
        <f>IF(AND(B986="",ISNUMBER(B987)),CHOOSE(MONTH(B987),"GENNAIO","FEBBRAIO","MARZO","APRILE","MAGGIO","GIUGNO","LUGLIO","AGOSTO","SETTEMBRE","OTTOBRE","NOVEMBRE","DICEMBRE")&amp;" "&amp;YEAR(B987),"")</f>
        <v/>
      </c>
      <c r="B986" s="11"/>
      <c r="C986" s="12"/>
      <c r="D986" s="12" t="str">
        <f>IF(C986="","",C986-IF(C985&lt;&gt;"",C985,IF(C984&lt;&gt;"",C984,IF(C983&lt;&gt;"",C983,0))))</f>
        <v/>
      </c>
      <c r="E986" s="12"/>
      <c r="F986" s="12"/>
      <c r="G986" s="9" t="str">
        <f>IF(AND(E986="",F986=""),"",IF(OR(E986&gt;1,F986&gt;1),(F986-E986)/100,F986-E986))</f>
        <v/>
      </c>
      <c r="H986" s="12" t="str">
        <f>IF(G986="","",64*G986)</f>
        <v/>
      </c>
      <c r="I986" s="13"/>
      <c r="J986" s="13" t="str">
        <f>IFERROR(IF(OR(D986="",D986=0),"",I986/D986*100),"")</f>
        <v/>
      </c>
      <c r="K986" s="14"/>
      <c r="L986" s="13" t="str">
        <f>IF(I986="","",I986*K986)</f>
        <v/>
      </c>
      <c r="M986" s="13" t="str">
        <f>IF(B986="","",IFERROR(SUMPRODUCT(ISNUMBER(B$3:B986)*(MONTH(IF(ISNUMBER(B$3:B986),B$3:B986,1))=MONTH(B986))*(YEAR(IF(ISNUMBER(B$3:B986),B$3:B986,1))=YEAR(B986))*IF(ISNUMBER(L$3:L986),L$3:L986,0)),""))</f>
        <v/>
      </c>
      <c r="N986" s="6"/>
      <c r="O986" s="7" t="str">
        <f>IF(AND(B986="",ISNUMBER(B987)),CHOOSE(MONTH(B987),"GENNAIO","FEBBRAIO","MARZO","APRILE","MAGGIO","GIUGNO","LUGLIO","AGOSTO","SETTEMBRE","OTTOBRE","NOVEMBRE","DICEMBRE")&amp;" "&amp;YEAR(B987),"")</f>
        <v/>
      </c>
      <c r="P986" s="12" t="str">
        <f>IF(K986=0.2,"CASA","")</f>
        <v/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" customHeight="1" x14ac:dyDescent="0.2">
      <c r="A987" s="5" t="str">
        <f>IF(AND(B987="",ISNUMBER(B988)),CHOOSE(MONTH(B988),"GENNAIO","FEBBRAIO","MARZO","APRILE","MAGGIO","GIUGNO","LUGLIO","AGOSTO","SETTEMBRE","OTTOBRE","NOVEMBRE","DICEMBRE")&amp;" "&amp;YEAR(B988),"")</f>
        <v/>
      </c>
      <c r="B987" s="11"/>
      <c r="C987" s="12"/>
      <c r="D987" s="12" t="str">
        <f>IF(C987="","",C987-IF(C986&lt;&gt;"",C986,IF(C985&lt;&gt;"",C985,IF(C984&lt;&gt;"",C984,0))))</f>
        <v/>
      </c>
      <c r="E987" s="12"/>
      <c r="F987" s="12"/>
      <c r="G987" s="9" t="str">
        <f>IF(AND(E987="",F987=""),"",IF(OR(E987&gt;1,F987&gt;1),(F987-E987)/100,F987-E987))</f>
        <v/>
      </c>
      <c r="H987" s="12" t="str">
        <f>IF(G987="","",64*G987)</f>
        <v/>
      </c>
      <c r="I987" s="13"/>
      <c r="J987" s="13" t="str">
        <f>IFERROR(IF(OR(D987="",D987=0),"",I987/D987*100),"")</f>
        <v/>
      </c>
      <c r="K987" s="14"/>
      <c r="L987" s="13" t="str">
        <f>IF(I987="","",I987*K987)</f>
        <v/>
      </c>
      <c r="M987" s="13" t="str">
        <f>IF(B987="","",IFERROR(SUMPRODUCT(ISNUMBER(B$3:B987)*(MONTH(IF(ISNUMBER(B$3:B987),B$3:B987,1))=MONTH(B987))*(YEAR(IF(ISNUMBER(B$3:B987),B$3:B987,1))=YEAR(B987))*IF(ISNUMBER(L$3:L987),L$3:L987,0)),""))</f>
        <v/>
      </c>
      <c r="N987" s="6"/>
      <c r="O987" s="7" t="str">
        <f>IF(AND(B987="",ISNUMBER(B988)),CHOOSE(MONTH(B988),"GENNAIO","FEBBRAIO","MARZO","APRILE","MAGGIO","GIUGNO","LUGLIO","AGOSTO","SETTEMBRE","OTTOBRE","NOVEMBRE","DICEMBRE")&amp;" "&amp;YEAR(B988),"")</f>
        <v/>
      </c>
      <c r="P987" s="12" t="str">
        <f>IF(K987=0.2,"CASA","")</f>
        <v/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" customHeight="1" x14ac:dyDescent="0.2">
      <c r="A988" s="5" t="str">
        <f>IF(AND(B988="",ISNUMBER(B989)),CHOOSE(MONTH(B989),"GENNAIO","FEBBRAIO","MARZO","APRILE","MAGGIO","GIUGNO","LUGLIO","AGOSTO","SETTEMBRE","OTTOBRE","NOVEMBRE","DICEMBRE")&amp;" "&amp;YEAR(B989),"")</f>
        <v/>
      </c>
      <c r="B988" s="11"/>
      <c r="C988" s="12"/>
      <c r="D988" s="12" t="str">
        <f>IF(C988="","",C988-IF(C987&lt;&gt;"",C987,IF(C986&lt;&gt;"",C986,IF(C985&lt;&gt;"",C985,0))))</f>
        <v/>
      </c>
      <c r="E988" s="12"/>
      <c r="F988" s="12"/>
      <c r="G988" s="9" t="str">
        <f>IF(AND(E988="",F988=""),"",IF(OR(E988&gt;1,F988&gt;1),(F988-E988)/100,F988-E988))</f>
        <v/>
      </c>
      <c r="H988" s="12" t="str">
        <f>IF(G988="","",64*G988)</f>
        <v/>
      </c>
      <c r="I988" s="13"/>
      <c r="J988" s="13" t="str">
        <f>IFERROR(IF(OR(D988="",D988=0),"",I988/D988*100),"")</f>
        <v/>
      </c>
      <c r="K988" s="14"/>
      <c r="L988" s="13" t="str">
        <f>IF(I988="","",I988*K988)</f>
        <v/>
      </c>
      <c r="M988" s="13" t="str">
        <f>IF(B988="","",IFERROR(SUMPRODUCT(ISNUMBER(B$3:B988)*(MONTH(IF(ISNUMBER(B$3:B988),B$3:B988,1))=MONTH(B988))*(YEAR(IF(ISNUMBER(B$3:B988),B$3:B988,1))=YEAR(B988))*IF(ISNUMBER(L$3:L988),L$3:L988,0)),""))</f>
        <v/>
      </c>
      <c r="N988" s="6"/>
      <c r="O988" s="7" t="str">
        <f>IF(AND(B988="",ISNUMBER(B989)),CHOOSE(MONTH(B989),"GENNAIO","FEBBRAIO","MARZO","APRILE","MAGGIO","GIUGNO","LUGLIO","AGOSTO","SETTEMBRE","OTTOBRE","NOVEMBRE","DICEMBRE")&amp;" "&amp;YEAR(B989),"")</f>
        <v/>
      </c>
      <c r="P988" s="12" t="str">
        <f>IF(K988=0.2,"CASA","")</f>
        <v/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" customHeight="1" x14ac:dyDescent="0.2">
      <c r="A989" s="5" t="str">
        <f>IF(AND(B989="",ISNUMBER(B990)),CHOOSE(MONTH(B990),"GENNAIO","FEBBRAIO","MARZO","APRILE","MAGGIO","GIUGNO","LUGLIO","AGOSTO","SETTEMBRE","OTTOBRE","NOVEMBRE","DICEMBRE")&amp;" "&amp;YEAR(B990),"")</f>
        <v/>
      </c>
      <c r="B989" s="11"/>
      <c r="C989" s="12"/>
      <c r="D989" s="12" t="str">
        <f>IF(C989="","",C989-IF(C988&lt;&gt;"",C988,IF(C987&lt;&gt;"",C987,IF(C986&lt;&gt;"",C986,0))))</f>
        <v/>
      </c>
      <c r="E989" s="12"/>
      <c r="F989" s="12"/>
      <c r="G989" s="9" t="str">
        <f>IF(AND(E989="",F989=""),"",IF(OR(E989&gt;1,F989&gt;1),(F989-E989)/100,F989-E989))</f>
        <v/>
      </c>
      <c r="H989" s="12" t="str">
        <f>IF(G989="","",64*G989)</f>
        <v/>
      </c>
      <c r="I989" s="13"/>
      <c r="J989" s="13" t="str">
        <f>IFERROR(IF(OR(D989="",D989=0),"",I989/D989*100),"")</f>
        <v/>
      </c>
      <c r="K989" s="14"/>
      <c r="L989" s="13" t="str">
        <f>IF(I989="","",I989*K989)</f>
        <v/>
      </c>
      <c r="M989" s="13" t="str">
        <f>IF(B989="","",IFERROR(SUMPRODUCT(ISNUMBER(B$3:B989)*(MONTH(IF(ISNUMBER(B$3:B989),B$3:B989,1))=MONTH(B989))*(YEAR(IF(ISNUMBER(B$3:B989),B$3:B989,1))=YEAR(B989))*IF(ISNUMBER(L$3:L989),L$3:L989,0)),""))</f>
        <v/>
      </c>
      <c r="N989" s="6"/>
      <c r="O989" s="7" t="str">
        <f>IF(AND(B989="",ISNUMBER(B990)),CHOOSE(MONTH(B990),"GENNAIO","FEBBRAIO","MARZO","APRILE","MAGGIO","GIUGNO","LUGLIO","AGOSTO","SETTEMBRE","OTTOBRE","NOVEMBRE","DICEMBRE")&amp;" "&amp;YEAR(B990),"")</f>
        <v/>
      </c>
      <c r="P989" s="12" t="str">
        <f>IF(K989=0.2,"CASA","")</f>
        <v/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" customHeight="1" x14ac:dyDescent="0.2">
      <c r="A990" s="5" t="str">
        <f>IF(AND(B990="",ISNUMBER(B991)),CHOOSE(MONTH(B991),"GENNAIO","FEBBRAIO","MARZO","APRILE","MAGGIO","GIUGNO","LUGLIO","AGOSTO","SETTEMBRE","OTTOBRE","NOVEMBRE","DICEMBRE")&amp;" "&amp;YEAR(B991),"")</f>
        <v/>
      </c>
      <c r="B990" s="11"/>
      <c r="C990" s="12"/>
      <c r="D990" s="12" t="str">
        <f>IF(C990="","",C990-IF(C989&lt;&gt;"",C989,IF(C988&lt;&gt;"",C988,IF(C987&lt;&gt;"",C987,0))))</f>
        <v/>
      </c>
      <c r="E990" s="12"/>
      <c r="F990" s="12"/>
      <c r="G990" s="9" t="str">
        <f>IF(AND(E990="",F990=""),"",IF(OR(E990&gt;1,F990&gt;1),(F990-E990)/100,F990-E990))</f>
        <v/>
      </c>
      <c r="H990" s="12" t="str">
        <f>IF(G990="","",64*G990)</f>
        <v/>
      </c>
      <c r="I990" s="13"/>
      <c r="J990" s="13" t="str">
        <f>IFERROR(IF(OR(D990="",D990=0),"",I990/D990*100),"")</f>
        <v/>
      </c>
      <c r="K990" s="14"/>
      <c r="L990" s="13" t="str">
        <f>IF(I990="","",I990*K990)</f>
        <v/>
      </c>
      <c r="M990" s="13" t="str">
        <f>IF(B990="","",IFERROR(SUMPRODUCT(ISNUMBER(B$3:B990)*(MONTH(IF(ISNUMBER(B$3:B990),B$3:B990,1))=MONTH(B990))*(YEAR(IF(ISNUMBER(B$3:B990),B$3:B990,1))=YEAR(B990))*IF(ISNUMBER(L$3:L990),L$3:L990,0)),""))</f>
        <v/>
      </c>
      <c r="N990" s="6"/>
      <c r="O990" s="7" t="str">
        <f>IF(AND(B990="",ISNUMBER(B991)),CHOOSE(MONTH(B991),"GENNAIO","FEBBRAIO","MARZO","APRILE","MAGGIO","GIUGNO","LUGLIO","AGOSTO","SETTEMBRE","OTTOBRE","NOVEMBRE","DICEMBRE")&amp;" "&amp;YEAR(B991),"")</f>
        <v/>
      </c>
      <c r="P990" s="12" t="str">
        <f>IF(K990=0.2,"CASA","")</f>
        <v/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" customHeight="1" x14ac:dyDescent="0.2">
      <c r="A991" s="5" t="str">
        <f>IF(AND(B991="",ISNUMBER(B992)),CHOOSE(MONTH(B992),"GENNAIO","FEBBRAIO","MARZO","APRILE","MAGGIO","GIUGNO","LUGLIO","AGOSTO","SETTEMBRE","OTTOBRE","NOVEMBRE","DICEMBRE")&amp;" "&amp;YEAR(B992),"")</f>
        <v/>
      </c>
      <c r="B991" s="11"/>
      <c r="C991" s="12"/>
      <c r="D991" s="12" t="str">
        <f>IF(C991="","",C991-IF(C990&lt;&gt;"",C990,IF(C989&lt;&gt;"",C989,IF(C988&lt;&gt;"",C988,0))))</f>
        <v/>
      </c>
      <c r="E991" s="12"/>
      <c r="F991" s="12"/>
      <c r="G991" s="9" t="str">
        <f>IF(AND(E991="",F991=""),"",IF(OR(E991&gt;1,F991&gt;1),(F991-E991)/100,F991-E991))</f>
        <v/>
      </c>
      <c r="H991" s="12" t="str">
        <f>IF(G991="","",64*G991)</f>
        <v/>
      </c>
      <c r="I991" s="13"/>
      <c r="J991" s="13" t="str">
        <f>IFERROR(IF(OR(D991="",D991=0),"",I991/D991*100),"")</f>
        <v/>
      </c>
      <c r="K991" s="14"/>
      <c r="L991" s="13" t="str">
        <f>IF(I991="","",I991*K991)</f>
        <v/>
      </c>
      <c r="M991" s="13" t="str">
        <f>IF(B991="","",IFERROR(SUMPRODUCT(ISNUMBER(B$3:B991)*(MONTH(IF(ISNUMBER(B$3:B991),B$3:B991,1))=MONTH(B991))*(YEAR(IF(ISNUMBER(B$3:B991),B$3:B991,1))=YEAR(B991))*IF(ISNUMBER(L$3:L991),L$3:L991,0)),""))</f>
        <v/>
      </c>
      <c r="N991" s="6"/>
      <c r="O991" s="7" t="str">
        <f>IF(AND(B991="",ISNUMBER(B992)),CHOOSE(MONTH(B992),"GENNAIO","FEBBRAIO","MARZO","APRILE","MAGGIO","GIUGNO","LUGLIO","AGOSTO","SETTEMBRE","OTTOBRE","NOVEMBRE","DICEMBRE")&amp;" "&amp;YEAR(B992),"")</f>
        <v/>
      </c>
      <c r="P991" s="12" t="str">
        <f>IF(K991=0.2,"CASA","")</f>
        <v/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" customHeight="1" x14ac:dyDescent="0.2">
      <c r="A992" s="5" t="str">
        <f>IF(AND(B992="",ISNUMBER(B993)),CHOOSE(MONTH(B993),"GENNAIO","FEBBRAIO","MARZO","APRILE","MAGGIO","GIUGNO","LUGLIO","AGOSTO","SETTEMBRE","OTTOBRE","NOVEMBRE","DICEMBRE")&amp;" "&amp;YEAR(B993),"")</f>
        <v/>
      </c>
      <c r="B992" s="11"/>
      <c r="C992" s="12"/>
      <c r="D992" s="12" t="str">
        <f>IF(C992="","",C992-IF(C991&lt;&gt;"",C991,IF(C990&lt;&gt;"",C990,IF(C989&lt;&gt;"",C989,0))))</f>
        <v/>
      </c>
      <c r="E992" s="12"/>
      <c r="F992" s="12"/>
      <c r="G992" s="9" t="str">
        <f>IF(AND(E992="",F992=""),"",IF(OR(E992&gt;1,F992&gt;1),(F992-E992)/100,F992-E992))</f>
        <v/>
      </c>
      <c r="H992" s="12" t="str">
        <f>IF(G992="","",64*G992)</f>
        <v/>
      </c>
      <c r="I992" s="13"/>
      <c r="J992" s="13" t="str">
        <f>IFERROR(IF(OR(D992="",D992=0),"",I992/D992*100),"")</f>
        <v/>
      </c>
      <c r="K992" s="14"/>
      <c r="L992" s="13" t="str">
        <f>IF(I992="","",I992*K992)</f>
        <v/>
      </c>
      <c r="M992" s="13" t="str">
        <f>IF(B992="","",IFERROR(SUMPRODUCT(ISNUMBER(B$3:B992)*(MONTH(IF(ISNUMBER(B$3:B992),B$3:B992,1))=MONTH(B992))*(YEAR(IF(ISNUMBER(B$3:B992),B$3:B992,1))=YEAR(B992))*IF(ISNUMBER(L$3:L992),L$3:L992,0)),""))</f>
        <v/>
      </c>
      <c r="N992" s="6"/>
      <c r="O992" s="7" t="str">
        <f>IF(AND(B992="",ISNUMBER(B993)),CHOOSE(MONTH(B993),"GENNAIO","FEBBRAIO","MARZO","APRILE","MAGGIO","GIUGNO","LUGLIO","AGOSTO","SETTEMBRE","OTTOBRE","NOVEMBRE","DICEMBRE")&amp;" "&amp;YEAR(B993),"")</f>
        <v/>
      </c>
      <c r="P992" s="12" t="str">
        <f>IF(K992=0.2,"CASA","")</f>
        <v/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" customHeight="1" x14ac:dyDescent="0.2">
      <c r="A993" s="5" t="str">
        <f>IF(AND(B993="",ISNUMBER(B994)),CHOOSE(MONTH(B994),"GENNAIO","FEBBRAIO","MARZO","APRILE","MAGGIO","GIUGNO","LUGLIO","AGOSTO","SETTEMBRE","OTTOBRE","NOVEMBRE","DICEMBRE")&amp;" "&amp;YEAR(B994),"")</f>
        <v/>
      </c>
      <c r="B993" s="11"/>
      <c r="C993" s="12"/>
      <c r="D993" s="12" t="str">
        <f>IF(C993="","",C993-IF(C992&lt;&gt;"",C992,IF(C991&lt;&gt;"",C991,IF(C990&lt;&gt;"",C990,0))))</f>
        <v/>
      </c>
      <c r="E993" s="12"/>
      <c r="F993" s="12"/>
      <c r="G993" s="9" t="str">
        <f>IF(AND(E993="",F993=""),"",IF(OR(E993&gt;1,F993&gt;1),(F993-E993)/100,F993-E993))</f>
        <v/>
      </c>
      <c r="H993" s="12" t="str">
        <f>IF(G993="","",64*G993)</f>
        <v/>
      </c>
      <c r="I993" s="13"/>
      <c r="J993" s="13" t="str">
        <f>IFERROR(IF(OR(D993="",D993=0),"",I993/D993*100),"")</f>
        <v/>
      </c>
      <c r="K993" s="14"/>
      <c r="L993" s="13" t="str">
        <f>IF(I993="","",I993*K993)</f>
        <v/>
      </c>
      <c r="M993" s="13" t="str">
        <f>IF(B993="","",IFERROR(SUMPRODUCT(ISNUMBER(B$3:B993)*(MONTH(IF(ISNUMBER(B$3:B993),B$3:B993,1))=MONTH(B993))*(YEAR(IF(ISNUMBER(B$3:B993),B$3:B993,1))=YEAR(B993))*IF(ISNUMBER(L$3:L993),L$3:L993,0)),""))</f>
        <v/>
      </c>
      <c r="N993" s="6"/>
      <c r="O993" s="7" t="str">
        <f>IF(AND(B993="",ISNUMBER(B994)),CHOOSE(MONTH(B994),"GENNAIO","FEBBRAIO","MARZO","APRILE","MAGGIO","GIUGNO","LUGLIO","AGOSTO","SETTEMBRE","OTTOBRE","NOVEMBRE","DICEMBRE")&amp;" "&amp;YEAR(B994),"")</f>
        <v/>
      </c>
      <c r="P993" s="12" t="str">
        <f>IF(K993=0.2,"CASA","")</f>
        <v/>
      </c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" customHeight="1" x14ac:dyDescent="0.2">
      <c r="A994" s="5" t="str">
        <f>IF(AND(B994="",ISNUMBER(B995)),CHOOSE(MONTH(B995),"GENNAIO","FEBBRAIO","MARZO","APRILE","MAGGIO","GIUGNO","LUGLIO","AGOSTO","SETTEMBRE","OTTOBRE","NOVEMBRE","DICEMBRE")&amp;" "&amp;YEAR(B995),"")</f>
        <v/>
      </c>
      <c r="B994" s="11"/>
      <c r="C994" s="12"/>
      <c r="D994" s="12" t="str">
        <f>IF(C994="","",C994-IF(C993&lt;&gt;"",C993,IF(C992&lt;&gt;"",C992,IF(C991&lt;&gt;"",C991,0))))</f>
        <v/>
      </c>
      <c r="E994" s="12"/>
      <c r="F994" s="12"/>
      <c r="G994" s="9" t="str">
        <f>IF(AND(E994="",F994=""),"",IF(OR(E994&gt;1,F994&gt;1),(F994-E994)/100,F994-E994))</f>
        <v/>
      </c>
      <c r="H994" s="12" t="str">
        <f>IF(G994="","",64*G994)</f>
        <v/>
      </c>
      <c r="I994" s="13"/>
      <c r="J994" s="13" t="str">
        <f>IFERROR(IF(OR(D994="",D994=0),"",I994/D994*100),"")</f>
        <v/>
      </c>
      <c r="K994" s="14"/>
      <c r="L994" s="13" t="str">
        <f>IF(I994="","",I994*K994)</f>
        <v/>
      </c>
      <c r="M994" s="13" t="str">
        <f>IF(B994="","",IFERROR(SUMPRODUCT(ISNUMBER(B$3:B994)*(MONTH(IF(ISNUMBER(B$3:B994),B$3:B994,1))=MONTH(B994))*(YEAR(IF(ISNUMBER(B$3:B994),B$3:B994,1))=YEAR(B994))*IF(ISNUMBER(L$3:L994),L$3:L994,0)),""))</f>
        <v/>
      </c>
      <c r="N994" s="6"/>
      <c r="O994" s="7" t="str">
        <f>IF(AND(B994="",ISNUMBER(B995)),CHOOSE(MONTH(B995),"GENNAIO","FEBBRAIO","MARZO","APRILE","MAGGIO","GIUGNO","LUGLIO","AGOSTO","SETTEMBRE","OTTOBRE","NOVEMBRE","DICEMBRE")&amp;" "&amp;YEAR(B995),"")</f>
        <v/>
      </c>
      <c r="P994" s="12" t="str">
        <f>IF(K994=0.2,"CASA","")</f>
        <v/>
      </c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" customHeight="1" x14ac:dyDescent="0.2">
      <c r="A995" s="5" t="str">
        <f>IF(AND(B995="",ISNUMBER(B996)),CHOOSE(MONTH(B996),"GENNAIO","FEBBRAIO","MARZO","APRILE","MAGGIO","GIUGNO","LUGLIO","AGOSTO","SETTEMBRE","OTTOBRE","NOVEMBRE","DICEMBRE")&amp;" "&amp;YEAR(B996),"")</f>
        <v/>
      </c>
      <c r="B995" s="11"/>
      <c r="C995" s="12"/>
      <c r="D995" s="12" t="str">
        <f>IF(C995="","",C995-IF(C994&lt;&gt;"",C994,IF(C993&lt;&gt;"",C993,IF(C992&lt;&gt;"",C992,0))))</f>
        <v/>
      </c>
      <c r="E995" s="12"/>
      <c r="F995" s="12"/>
      <c r="G995" s="9" t="str">
        <f>IF(AND(E995="",F995=""),"",IF(OR(E995&gt;1,F995&gt;1),(F995-E995)/100,F995-E995))</f>
        <v/>
      </c>
      <c r="H995" s="12" t="str">
        <f>IF(G995="","",64*G995)</f>
        <v/>
      </c>
      <c r="I995" s="13"/>
      <c r="J995" s="13" t="str">
        <f>IFERROR(IF(OR(D995="",D995=0),"",I995/D995*100),"")</f>
        <v/>
      </c>
      <c r="K995" s="14"/>
      <c r="L995" s="13" t="str">
        <f>IF(I995="","",I995*K995)</f>
        <v/>
      </c>
      <c r="M995" s="13" t="str">
        <f>IF(B995="","",IFERROR(SUMPRODUCT(ISNUMBER(B$3:B995)*(MONTH(IF(ISNUMBER(B$3:B995),B$3:B995,1))=MONTH(B995))*(YEAR(IF(ISNUMBER(B$3:B995),B$3:B995,1))=YEAR(B995))*IF(ISNUMBER(L$3:L995),L$3:L995,0)),""))</f>
        <v/>
      </c>
      <c r="N995" s="6"/>
      <c r="O995" s="7" t="str">
        <f>IF(AND(B995="",ISNUMBER(B996)),CHOOSE(MONTH(B996),"GENNAIO","FEBBRAIO","MARZO","APRILE","MAGGIO","GIUGNO","LUGLIO","AGOSTO","SETTEMBRE","OTTOBRE","NOVEMBRE","DICEMBRE")&amp;" "&amp;YEAR(B996),"")</f>
        <v/>
      </c>
      <c r="P995" s="12" t="str">
        <f>IF(K995=0.2,"CASA","")</f>
        <v/>
      </c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" customHeight="1" x14ac:dyDescent="0.2">
      <c r="A996" s="5" t="str">
        <f>IF(AND(B996="",ISNUMBER(B997)),CHOOSE(MONTH(B997),"GENNAIO","FEBBRAIO","MARZO","APRILE","MAGGIO","GIUGNO","LUGLIO","AGOSTO","SETTEMBRE","OTTOBRE","NOVEMBRE","DICEMBRE")&amp;" "&amp;YEAR(B997),"")</f>
        <v/>
      </c>
      <c r="B996" s="11"/>
      <c r="C996" s="12"/>
      <c r="D996" s="12" t="str">
        <f>IF(C996="","",C996-IF(C995&lt;&gt;"",C995,IF(C994&lt;&gt;"",C994,IF(C993&lt;&gt;"",C993,0))))</f>
        <v/>
      </c>
      <c r="E996" s="12"/>
      <c r="F996" s="12"/>
      <c r="G996" s="9" t="str">
        <f>IF(AND(E996="",F996=""),"",IF(OR(E996&gt;1,F996&gt;1),(F996-E996)/100,F996-E996))</f>
        <v/>
      </c>
      <c r="H996" s="12" t="str">
        <f>IF(G996="","",64*G996)</f>
        <v/>
      </c>
      <c r="I996" s="13"/>
      <c r="J996" s="13" t="str">
        <f>IFERROR(IF(OR(D996="",D996=0),"",I996/D996*100),"")</f>
        <v/>
      </c>
      <c r="K996" s="14"/>
      <c r="L996" s="13" t="str">
        <f>IF(I996="","",I996*K996)</f>
        <v/>
      </c>
      <c r="M996" s="13" t="str">
        <f>IF(B996="","",IFERROR(SUMPRODUCT(ISNUMBER(B$3:B996)*(MONTH(IF(ISNUMBER(B$3:B996),B$3:B996,1))=MONTH(B996))*(YEAR(IF(ISNUMBER(B$3:B996),B$3:B996,1))=YEAR(B996))*IF(ISNUMBER(L$3:L996),L$3:L996,0)),""))</f>
        <v/>
      </c>
      <c r="N996" s="6"/>
      <c r="O996" s="7" t="str">
        <f>IF(AND(B996="",ISNUMBER(B997)),CHOOSE(MONTH(B997),"GENNAIO","FEBBRAIO","MARZO","APRILE","MAGGIO","GIUGNO","LUGLIO","AGOSTO","SETTEMBRE","OTTOBRE","NOVEMBRE","DICEMBRE")&amp;" "&amp;YEAR(B997),"")</f>
        <v/>
      </c>
      <c r="P996" s="12" t="str">
        <f>IF(K996=0.2,"CASA","")</f>
        <v/>
      </c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" customHeight="1" x14ac:dyDescent="0.2">
      <c r="A997" s="5" t="str">
        <f>IF(AND(B997="",ISNUMBER(B998)),CHOOSE(MONTH(B998),"GENNAIO","FEBBRAIO","MARZO","APRILE","MAGGIO","GIUGNO","LUGLIO","AGOSTO","SETTEMBRE","OTTOBRE","NOVEMBRE","DICEMBRE")&amp;" "&amp;YEAR(B998),"")</f>
        <v/>
      </c>
      <c r="B997" s="11"/>
      <c r="C997" s="12"/>
      <c r="D997" s="12" t="str">
        <f>IF(C997="","",C997-IF(C996&lt;&gt;"",C996,IF(C995&lt;&gt;"",C995,IF(C994&lt;&gt;"",C994,0))))</f>
        <v/>
      </c>
      <c r="E997" s="12"/>
      <c r="F997" s="12"/>
      <c r="G997" s="9" t="str">
        <f>IF(AND(E997="",F997=""),"",IF(OR(E997&gt;1,F997&gt;1),(F997-E997)/100,F997-E997))</f>
        <v/>
      </c>
      <c r="H997" s="12" t="str">
        <f>IF(G997="","",64*G997)</f>
        <v/>
      </c>
      <c r="I997" s="13"/>
      <c r="J997" s="13" t="str">
        <f>IFERROR(IF(OR(D997="",D997=0),"",I997/D997*100),"")</f>
        <v/>
      </c>
      <c r="K997" s="14"/>
      <c r="L997" s="13" t="str">
        <f>IF(I997="","",I997*K997)</f>
        <v/>
      </c>
      <c r="M997" s="13" t="str">
        <f>IF(B997="","",IFERROR(SUMPRODUCT(ISNUMBER(B$3:B997)*(MONTH(IF(ISNUMBER(B$3:B997),B$3:B997,1))=MONTH(B997))*(YEAR(IF(ISNUMBER(B$3:B997),B$3:B997,1))=YEAR(B997))*IF(ISNUMBER(L$3:L997),L$3:L997,0)),""))</f>
        <v/>
      </c>
      <c r="N997" s="6"/>
      <c r="O997" s="7" t="str">
        <f>IF(AND(B997="",ISNUMBER(B998)),CHOOSE(MONTH(B998),"GENNAIO","FEBBRAIO","MARZO","APRILE","MAGGIO","GIUGNO","LUGLIO","AGOSTO","SETTEMBRE","OTTOBRE","NOVEMBRE","DICEMBRE")&amp;" "&amp;YEAR(B998),"")</f>
        <v/>
      </c>
      <c r="P997" s="12" t="str">
        <f>IF(K997=0.2,"CASA","")</f>
        <v/>
      </c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" customHeight="1" x14ac:dyDescent="0.2">
      <c r="A998" s="5" t="str">
        <f>IF(AND(B998="",ISNUMBER(B999)),CHOOSE(MONTH(B999),"GENNAIO","FEBBRAIO","MARZO","APRILE","MAGGIO","GIUGNO","LUGLIO","AGOSTO","SETTEMBRE","OTTOBRE","NOVEMBRE","DICEMBRE")&amp;" "&amp;YEAR(B999),"")</f>
        <v/>
      </c>
      <c r="B998" s="11"/>
      <c r="C998" s="12"/>
      <c r="D998" s="12" t="str">
        <f>IF(C998="","",C998-IF(C997&lt;&gt;"",C997,IF(C996&lt;&gt;"",C996,IF(C995&lt;&gt;"",C995,0))))</f>
        <v/>
      </c>
      <c r="E998" s="12"/>
      <c r="F998" s="12"/>
      <c r="G998" s="9" t="str">
        <f>IF(AND(E998="",F998=""),"",IF(OR(E998&gt;1,F998&gt;1),(F998-E998)/100,F998-E998))</f>
        <v/>
      </c>
      <c r="H998" s="12" t="str">
        <f>IF(G998="","",64*G998)</f>
        <v/>
      </c>
      <c r="I998" s="13"/>
      <c r="J998" s="13" t="str">
        <f>IFERROR(IF(OR(D998="",D998=0),"",I998/D998*100),"")</f>
        <v/>
      </c>
      <c r="K998" s="14"/>
      <c r="L998" s="13" t="str">
        <f>IF(I998="","",I998*K998)</f>
        <v/>
      </c>
      <c r="M998" s="13" t="str">
        <f>IF(B998="","",IFERROR(SUMPRODUCT(ISNUMBER(B$3:B998)*(MONTH(IF(ISNUMBER(B$3:B998),B$3:B998,1))=MONTH(B998))*(YEAR(IF(ISNUMBER(B$3:B998),B$3:B998,1))=YEAR(B998))*IF(ISNUMBER(L$3:L998),L$3:L998,0)),""))</f>
        <v/>
      </c>
      <c r="N998" s="6"/>
      <c r="O998" s="7" t="str">
        <f>IF(AND(B998="",ISNUMBER(B999)),CHOOSE(MONTH(B999),"GENNAIO","FEBBRAIO","MARZO","APRILE","MAGGIO","GIUGNO","LUGLIO","AGOSTO","SETTEMBRE","OTTOBRE","NOVEMBRE","DICEMBRE")&amp;" "&amp;YEAR(B999),"")</f>
        <v/>
      </c>
      <c r="P998" s="12" t="str">
        <f>IF(K998=0.2,"CASA","")</f>
        <v/>
      </c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" customHeight="1" x14ac:dyDescent="0.2">
      <c r="A999" s="5" t="str">
        <f>IF(AND(B999="",ISNUMBER(B1000)),CHOOSE(MONTH(B1000),"GENNAIO","FEBBRAIO","MARZO","APRILE","MAGGIO","GIUGNO","LUGLIO","AGOSTO","SETTEMBRE","OTTOBRE","NOVEMBRE","DICEMBRE")&amp;" "&amp;YEAR(B1000),"")</f>
        <v/>
      </c>
      <c r="B999" s="11"/>
      <c r="C999" s="12"/>
      <c r="D999" s="12" t="str">
        <f>IF(C999="","",C999-IF(C998&lt;&gt;"",C998,IF(C997&lt;&gt;"",C997,IF(C996&lt;&gt;"",C996,0))))</f>
        <v/>
      </c>
      <c r="E999" s="12"/>
      <c r="F999" s="12"/>
      <c r="G999" s="9" t="str">
        <f>IF(AND(E999="",F999=""),"",IF(OR(E999&gt;1,F999&gt;1),(F999-E999)/100,F999-E999))</f>
        <v/>
      </c>
      <c r="H999" s="12" t="str">
        <f>IF(G999="","",64*G999)</f>
        <v/>
      </c>
      <c r="I999" s="13"/>
      <c r="J999" s="13" t="str">
        <f>IFERROR(IF(OR(D999="",D999=0),"",I999/D999*100),"")</f>
        <v/>
      </c>
      <c r="K999" s="14"/>
      <c r="L999" s="13" t="str">
        <f>IF(I999="","",I999*K999)</f>
        <v/>
      </c>
      <c r="M999" s="13" t="str">
        <f>IF(B999="","",IFERROR(SUMPRODUCT(ISNUMBER(B$3:B999)*(MONTH(IF(ISNUMBER(B$3:B999),B$3:B999,1))=MONTH(B999))*(YEAR(IF(ISNUMBER(B$3:B999),B$3:B999,1))=YEAR(B999))*IF(ISNUMBER(L$3:L999),L$3:L999,0)),""))</f>
        <v/>
      </c>
      <c r="N999" s="6"/>
      <c r="O999" s="7" t="str">
        <f>IF(AND(B999="",ISNUMBER(B1000)),CHOOSE(MONTH(B1000),"GENNAIO","FEBBRAIO","MARZO","APRILE","MAGGIO","GIUGNO","LUGLIO","AGOSTO","SETTEMBRE","OTTOBRE","NOVEMBRE","DICEMBRE")&amp;" "&amp;YEAR(B1000),"")</f>
        <v/>
      </c>
      <c r="P999" s="12" t="str">
        <f>IF(K999=0.2,"CASA","")</f>
        <v/>
      </c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" customHeight="1" x14ac:dyDescent="0.2">
      <c r="A1000" s="8"/>
      <c r="B1000" s="11"/>
      <c r="C1000" s="12"/>
      <c r="D1000" s="12" t="str">
        <f>IF(C1000="","",C1000-IF(C999&lt;&gt;"",C999,IF(C998&lt;&gt;"",C998,IF(C997&lt;&gt;"",C997,0))))</f>
        <v/>
      </c>
      <c r="E1000" s="12"/>
      <c r="F1000" s="12"/>
      <c r="G1000" s="9" t="str">
        <f>IF(AND(E1000="",F1000=""),"",IF(OR(E1000&gt;1,F1000&gt;1),(F1000-E1000)/100,F1000-E1000))</f>
        <v/>
      </c>
      <c r="H1000" s="12" t="str">
        <f>IF(G1000="","",64*G1000)</f>
        <v/>
      </c>
      <c r="I1000" s="13"/>
      <c r="J1000" s="13" t="str">
        <f>IFERROR(IF(OR(D1000="",D1000=0),"",I1000/D1000*100),"")</f>
        <v/>
      </c>
      <c r="K1000" s="14"/>
      <c r="L1000" s="13" t="str">
        <f>IF(I1000="","",I1000*K1000)</f>
        <v/>
      </c>
      <c r="M1000" s="13" t="str">
        <f>IF(B1000="","",IFERROR(SUMPRODUCT(ISNUMBER(B$3:B1000)*(MONTH(IF(ISNUMBER(B$3:B1000),B$3:B1000,1))=MONTH(B1000))*(YEAR(IF(ISNUMBER(B$3:B1000),B$3:B1000,1))=YEAR(B1000))*IF(ISNUMBER(L$3:L1000),L$3:L1000,0)),""))</f>
        <v/>
      </c>
      <c r="N1000" s="13"/>
      <c r="O1000" s="7"/>
      <c r="P1000" s="12" t="str">
        <f>IF(K1000=0.2,"CASA","")</f>
        <v/>
      </c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5" customHeight="1" x14ac:dyDescent="0.2">
      <c r="A1001" s="5"/>
      <c r="B1001" s="12"/>
      <c r="C1001" s="12"/>
      <c r="D1001" s="12" t="str">
        <f>IF(C1001="","",C1001-IF(C1000&lt;&gt;"",C1000,IF(C999&lt;&gt;"",C999,IF(C998&lt;&gt;"",C998,0))))</f>
        <v/>
      </c>
      <c r="E1001" s="12"/>
      <c r="F1001" s="12"/>
      <c r="G1001" s="9" t="str">
        <f>IF(AND(E1001="",F1001=""),"",F1001-E1001)</f>
        <v/>
      </c>
      <c r="H1001" s="12" t="str">
        <f>IF(G1001="","",64*G1001)</f>
        <v/>
      </c>
      <c r="I1001" s="13"/>
      <c r="J1001" s="13" t="str">
        <f>IFERROR(IF(OR(D1001="",D1001=0),"",I1001/D1001*100),"")</f>
        <v/>
      </c>
      <c r="K1001" s="12"/>
      <c r="L1001" s="13" t="str">
        <f>IF(I1001="","",I1001*K1001)</f>
        <v/>
      </c>
      <c r="M1001" s="13" t="str">
        <f>IF(ISNUMBER(B1002),CHOOSE(MONTH(B1002),"GENNAIO","FEBBRAIO","MARZO","APRILE","MAGGIO","GIUGNO","LUGLIO","AGOSTO","SETTEMBRE","OTTOBRE","NOVEMBRE","DICEMBRE"),"")</f>
        <v/>
      </c>
      <c r="N1001" s="13"/>
      <c r="O1001" s="7"/>
      <c r="P1001" s="12" t="str">
        <f>IF(K1001=0.2,"CASA","")</f>
        <v/>
      </c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">
    <mergeCell ref="A1:B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/>
  </sheetViews>
  <sheetFormatPr defaultRowHeight="15" x14ac:dyDescent="0.2"/>
  <cols>
    <col min="1" max="1" width="16.0078125" style="16" customWidth="1"/>
    <col min="2" max="2" width="9.14453125" style="16" customWidth="1"/>
    <col min="3" max="3" width="11.56640625" style="16" customWidth="1"/>
    <col min="4" max="4" width="19.37109375" style="16" customWidth="1"/>
    <col min="5" max="5" width="13.71875" style="16" customWidth="1"/>
    <col min="6" max="6" width="12.64453125" style="16" customWidth="1"/>
    <col min="7" max="7" width="6.3203125" style="16" customWidth="1"/>
    <col min="8" max="8" width="12.5078125" style="16" customWidth="1"/>
    <col min="9" max="9" width="9.14453125" style="16" customWidth="1"/>
    <col min="10" max="10" width="11.02734375" style="16" customWidth="1"/>
    <col min="11" max="11" width="9.28125" style="16" customWidth="1"/>
    <col min="12" max="12" width="11.296875" style="16" customWidth="1"/>
    <col min="13" max="13" width="25.15234375" style="16" customWidth="1"/>
    <col min="14" max="14" width="16.8125" style="16" customWidth="1"/>
  </cols>
  <sheetData>
    <row r="1" spans="1:14" ht="42.7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" t="s">
        <v>7</v>
      </c>
      <c r="I1" s="1" t="s">
        <v>8</v>
      </c>
      <c r="J1" s="15" t="s">
        <v>9</v>
      </c>
      <c r="K1" s="1" t="s">
        <v>10</v>
      </c>
      <c r="L1" s="1" t="s">
        <v>11</v>
      </c>
      <c r="M1" s="2" t="s">
        <v>12</v>
      </c>
      <c r="N1" s="3" t="s">
        <v>14</v>
      </c>
    </row>
    <row r="2" spans="1:14" ht="15" customHeight="1" x14ac:dyDescent="0.2">
      <c r="A2" s="23">
        <f>IF(Dati!A2="","",Dati!A2)</f>
        <v>46080</v>
      </c>
      <c r="B2" s="17">
        <f>IF(Dati!B2="","",Dati!B2)</f>
        <v>286</v>
      </c>
      <c r="C2" s="17">
        <f>IF(B2="","",B2)</f>
        <v>286</v>
      </c>
      <c r="D2" s="18">
        <f>IF(Dati!C2="","",IF(Dati!C2&gt;1,Dati!C2/100,Dati!C2))</f>
        <v>0.26</v>
      </c>
      <c r="E2" s="18">
        <f>IF(Dati!D2="","",IF(Dati!D2&gt;1,Dati!D2/100,Dati!D2))</f>
        <v>0.86</v>
      </c>
      <c r="F2" s="18">
        <f>IF(OR(D2="",E2=""),"",IF(OR(D2&gt;1,E2&gt;1),(E2-D2)/100,E2-D2))</f>
        <v>0.6</v>
      </c>
      <c r="G2" s="17">
        <f>IF(F2="","",IF(64*F2=0,"",64*F2))</f>
        <v>38.4</v>
      </c>
      <c r="H2" s="19">
        <f>IF(Dati!E2="","",Dati!E2)</f>
        <v>39.340000000000003</v>
      </c>
      <c r="I2" s="19">
        <f>IFERROR(IF(OR(C2="",C2=0),"",H2/C2*100),"")</f>
        <v>13.755244755244755</v>
      </c>
      <c r="J2" s="20">
        <f>IF(Dati!F2="","",Dati!F2)</f>
        <v>0.5</v>
      </c>
      <c r="K2" s="19">
        <f>IF(OR(H2="",J2=""),"",IF(H2*J2=0,"",H2*J2))</f>
        <v>19.670000000000002</v>
      </c>
      <c r="L2" s="19">
        <f>IF(A2="","",IFERROR(IF(SUMPRODUCT((ISNUMBER(A$2:A2))*(A$2:A2&gt;1000)*(MONTH(IF(ISNUMBER(A$2:A2),A$2:A2,1))=MONTH(A2))*(YEAR(IF(ISNUMBER(A$2:A2),A$2:A2,1))=YEAR(A2))*IF(ISNUMBER(K$2:K2),K$2:K2,0))=0,"",SUMPRODUCT((ISNUMBER(A$2:A2))*(A$2:A2&gt;1000)*(MONTH(IF(ISNUMBER(A$2:A2),A$2:A2,1))=MONTH(A2))*(YEAR(IF(ISNUMBER(A$2:A2),A$2:A2,1))=YEAR(A2))*IF(ISNUMBER(K$2:K2),K$2:K2,0))),""))</f>
        <v>19.670000000000002</v>
      </c>
      <c r="M2" s="21" t="str">
        <f>IF(A2="","",IFERROR(IF(SUMIF(N$2:N2,"CASA",K$2:K2)=0,"",SUMIF(N$2:N2,"CASA",K$2:K2)),""))</f>
        <v/>
      </c>
      <c r="N2" s="17" t="str">
        <f>IF(J2="","",IF(J2=0.2,"CASA",IF(Dati!G2="","",Dati!G2)))</f>
        <v>EVDC</v>
      </c>
    </row>
    <row r="3" spans="1:14" ht="15" customHeight="1" x14ac:dyDescent="0.2">
      <c r="A3" s="23">
        <f>IF(Dati!A3="","",Dati!A3)</f>
        <v>46085</v>
      </c>
      <c r="B3" s="17">
        <f>IF(Dati!B3="","",Dati!B3)</f>
        <v>533</v>
      </c>
      <c r="C3" s="17">
        <f>IF(B3="","",IF(ISNUMBER(B2),IF(B3-B2&lt;0,B3,IF(B3-B2=0,"",B3-B2)),B3))</f>
        <v>247</v>
      </c>
      <c r="D3" s="18">
        <f>IF(Dati!C3="","",IF(Dati!C3&gt;1,Dati!C3/100,Dati!C3))</f>
        <v>0.14000000000000001</v>
      </c>
      <c r="E3" s="18">
        <f>IF(Dati!D3="","",IF(Dati!D3&gt;1,Dati!D3/100,Dati!D3))</f>
        <v>0.86</v>
      </c>
      <c r="F3" s="18">
        <f>IF(OR(D3="",E3=""),"",IF(OR(D3&gt;1,E3&gt;1),(E3-D3)/100,E3-D3))</f>
        <v>0.72</v>
      </c>
      <c r="G3" s="17">
        <f>IF(F3="","",IF(64*F3=0,"",64*F3))</f>
        <v>46.08</v>
      </c>
      <c r="H3" s="19">
        <f>IF(Dati!E3="","",Dati!E3)</f>
        <v>46.155999999999999</v>
      </c>
      <c r="I3" s="19">
        <f>IFERROR(IF(OR(C3="",C3=0),"",H3/C3*100),"")</f>
        <v>18.686639676113359</v>
      </c>
      <c r="J3" s="20">
        <f>IF(Dati!F3="","",Dati!F3)</f>
        <v>0.5</v>
      </c>
      <c r="K3" s="19">
        <f>IF(OR(H3="",J3=""),"",IF(H3*J3=0,"",H3*J3))</f>
        <v>23.077999999999999</v>
      </c>
      <c r="L3" s="19">
        <f>IF(A3="","",IFERROR(IF(SUMPRODUCT((ISNUMBER(A$2:A3))*(A$2:A3&gt;1000)*(MONTH(IF(ISNUMBER(A$2:A3),A$2:A3,1))=MONTH(A3))*(YEAR(IF(ISNUMBER(A$2:A3),A$2:A3,1))=YEAR(A3))*IF(ISNUMBER(K$2:K3),K$2:K3,0))=0,"",SUMPRODUCT((ISNUMBER(A$2:A3))*(A$2:A3&gt;1000)*(MONTH(IF(ISNUMBER(A$2:A3),A$2:A3,1))=MONTH(A3))*(YEAR(IF(ISNUMBER(A$2:A3),A$2:A3,1))=YEAR(A3))*IF(ISNUMBER(K$2:K3),K$2:K3,0))),""))</f>
        <v>23.077999999999999</v>
      </c>
      <c r="M3" s="21" t="str">
        <f>IF(A3="","",IFERROR(IF(SUMIF(N$2:N3,"CASA",K$2:K3)=0,"",SUMIF(N$2:N3,"CASA",K$2:K3)),""))</f>
        <v/>
      </c>
      <c r="N3" s="17" t="str">
        <f>IF(J3="","",IF(J3=0.2,"CASA",IF(Dati!G3="","",Dati!G3)))</f>
        <v>EVDC</v>
      </c>
    </row>
    <row r="4" spans="1:14" ht="15" customHeight="1" x14ac:dyDescent="0.2">
      <c r="A4" s="23">
        <f>IF(Dati!A4="","",Dati!A4)</f>
        <v>46092</v>
      </c>
      <c r="B4" s="17">
        <f>IF(Dati!B4="","",Dati!B4)</f>
        <v>758</v>
      </c>
      <c r="C4" s="17">
        <f>IF(B4="","",IF(ISNUMBER(B3),IF(B4-B3&lt;0,B4,IF(B4-B3=0,"",B4-B3)),B4))</f>
        <v>225</v>
      </c>
      <c r="D4" s="18">
        <f>IF(Dati!C4="","",IF(Dati!C4&gt;1,Dati!C4/100,Dati!C4))</f>
        <v>0.18</v>
      </c>
      <c r="E4" s="18">
        <f>IF(Dati!D4="","",IF(Dati!D4&gt;1,Dati!D4/100,Dati!D4))</f>
        <v>0.8</v>
      </c>
      <c r="F4" s="18">
        <f>IF(OR(D4="",E4=""),"",IF(OR(D4&gt;1,E4&gt;1),(E4-D4)/100,E4-D4))</f>
        <v>0.62000000000000011</v>
      </c>
      <c r="G4" s="17">
        <f>IF(F4="","",IF(64*F4=0,"",64*F4))</f>
        <v>39.680000000000007</v>
      </c>
      <c r="H4" s="19">
        <f>IF(Dati!E4="","",Dati!E4)</f>
        <v>40.374000000000002</v>
      </c>
      <c r="I4" s="19">
        <f>IFERROR(IF(OR(C4="",C4=0),"",H4/C4*100),"")</f>
        <v>17.944000000000003</v>
      </c>
      <c r="J4" s="20">
        <f>IF(Dati!F4="","",Dati!F4)</f>
        <v>0.64900000000000002</v>
      </c>
      <c r="K4" s="19">
        <f>IF(OR(H4="",J4=""),"",IF(H4*J4=0,"",H4*J4))</f>
        <v>26.202726000000002</v>
      </c>
      <c r="L4" s="19">
        <f>IF(A4="","",IFERROR(IF(SUMPRODUCT((ISNUMBER(A$2:A4))*(A$2:A4&gt;1000)*(MONTH(IF(ISNUMBER(A$2:A4),A$2:A4,1))=MONTH(A4))*(YEAR(IF(ISNUMBER(A$2:A4),A$2:A4,1))=YEAR(A4))*IF(ISNUMBER(K$2:K4),K$2:K4,0))=0,"",SUMPRODUCT((ISNUMBER(A$2:A4))*(A$2:A4&gt;1000)*(MONTH(IF(ISNUMBER(A$2:A4),A$2:A4,1))=MONTH(A4))*(YEAR(IF(ISNUMBER(A$2:A4),A$2:A4,1))=YEAR(A4))*IF(ISNUMBER(K$2:K4),K$2:K4,0))),""))</f>
        <v>49.280726000000001</v>
      </c>
      <c r="M4" s="21" t="str">
        <f>IF(A4="","",IFERROR(IF(SUMIF(N$2:N4,"CASA",K$2:K4)=0,"",SUMIF(N$2:N4,"CASA",K$2:K4)),""))</f>
        <v/>
      </c>
      <c r="N4" s="17" t="str">
        <f>IF(J4="","",IF(J4=0.2,"CASA",IF(Dati!G4="","",Dati!G4)))</f>
        <v>next charge</v>
      </c>
    </row>
    <row r="5" spans="1:14" ht="15" customHeight="1" x14ac:dyDescent="0.2">
      <c r="A5" s="23">
        <f>IF(Dati!A5="","",Dati!A5)</f>
        <v>46096</v>
      </c>
      <c r="B5" s="17">
        <f>IF(Dati!B5="","",Dati!B5)</f>
        <v>926</v>
      </c>
      <c r="C5" s="17">
        <f>IF(B5="","",IF(ISNUMBER(B4),IF(B5-B4&lt;0,B5,IF(B5-B4=0,"",B5-B4)),B5))</f>
        <v>168</v>
      </c>
      <c r="D5" s="18">
        <f>IF(Dati!C5="","",IF(Dati!C5&gt;1,Dati!C5/100,Dati!C5))</f>
        <v>0.37</v>
      </c>
      <c r="E5" s="18">
        <f>IF(Dati!D5="","",IF(Dati!D5&gt;1,Dati!D5/100,Dati!D5))</f>
        <v>0.85</v>
      </c>
      <c r="F5" s="18">
        <f>IF(OR(D5="",E5=""),"",IF(OR(D5&gt;1,E5&gt;1),(E5-D5)/100,E5-D5))</f>
        <v>0.48</v>
      </c>
      <c r="G5" s="17">
        <f>IF(F5="","",IF(64*F5=0,"",64*F5))</f>
        <v>30.72</v>
      </c>
      <c r="H5" s="19">
        <f>IF(Dati!E5="","",Dati!E5)</f>
        <v>30.8</v>
      </c>
      <c r="I5" s="19">
        <f>IFERROR(IF(OR(C5="",C5=0),"",H5/C5*100),"")</f>
        <v>18.333333333333336</v>
      </c>
      <c r="J5" s="20">
        <f>IF(Dati!F5="","",Dati!F5)</f>
        <v>0.5</v>
      </c>
      <c r="K5" s="19">
        <f>IF(OR(H5="",J5=""),"",IF(H5*J5=0,"",H5*J5))</f>
        <v>15.4</v>
      </c>
      <c r="L5" s="19">
        <f>IF(A5="","",IFERROR(IF(SUMPRODUCT((ISNUMBER(A$2:A5))*(A$2:A5&gt;1000)*(MONTH(IF(ISNUMBER(A$2:A5),A$2:A5,1))=MONTH(A5))*(YEAR(IF(ISNUMBER(A$2:A5),A$2:A5,1))=YEAR(A5))*IF(ISNUMBER(K$2:K5),K$2:K5,0))=0,"",SUMPRODUCT((ISNUMBER(A$2:A5))*(A$2:A5&gt;1000)*(MONTH(IF(ISNUMBER(A$2:A5),A$2:A5,1))=MONTH(A5))*(YEAR(IF(ISNUMBER(A$2:A5),A$2:A5,1))=YEAR(A5))*IF(ISNUMBER(K$2:K5),K$2:K5,0))),""))</f>
        <v>64.680726000000007</v>
      </c>
      <c r="M5" s="21" t="str">
        <f>IF(A5="","",IFERROR(IF(SUMIF(N$2:N5,"CASA",K$2:K5)=0,"",SUMIF(N$2:N5,"CASA",K$2:K5)),""))</f>
        <v/>
      </c>
      <c r="N5" s="17" t="str">
        <f>IF(J5="","",IF(J5=0.2,"CASA",IF(Dati!G5="","",Dati!G5)))</f>
        <v>EVDC</v>
      </c>
    </row>
    <row r="6" spans="1:14" ht="15" customHeight="1" x14ac:dyDescent="0.2">
      <c r="A6" s="23">
        <f>IF(Dati!A6="","",Dati!A6)</f>
        <v>46101</v>
      </c>
      <c r="B6" s="17">
        <f>IF(Dati!B6="","",Dati!B6)</f>
        <v>1130</v>
      </c>
      <c r="C6" s="17">
        <f>IF(B6="","",IF(ISNUMBER(B5),IF(B6-B5&lt;0,B6,IF(B6-B5=0,"",B6-B5)),B6))</f>
        <v>204</v>
      </c>
      <c r="D6" s="18">
        <f>IF(Dati!C6="","",IF(Dati!C6&gt;1,Dati!C6/100,Dati!C6))</f>
        <v>0.3</v>
      </c>
      <c r="E6" s="18">
        <f>IF(Dati!D6="","",IF(Dati!D6&gt;1,Dati!D6/100,Dati!D6))</f>
        <v>0.84</v>
      </c>
      <c r="F6" s="18">
        <f>IF(OR(D6="",E6=""),"",IF(OR(D6&gt;1,E6&gt;1),(E6-D6)/100,E6-D6))</f>
        <v>0.54</v>
      </c>
      <c r="G6" s="17">
        <f>IF(F6="","",IF(64*F6=0,"",64*F6))</f>
        <v>34.56</v>
      </c>
      <c r="H6" s="19">
        <f>IF(Dati!E6="","",Dati!E6)</f>
        <v>34.08</v>
      </c>
      <c r="I6" s="19">
        <f>IFERROR(IF(OR(C6="",C6=0),"",H6/C6*100),"")</f>
        <v>16.705882352941178</v>
      </c>
      <c r="J6" s="20">
        <f>IF(Dati!F6="","",Dati!F6)</f>
        <v>0.5</v>
      </c>
      <c r="K6" s="19">
        <f>IF(OR(H6="",J6=""),"",IF(H6*J6=0,"",H6*J6))</f>
        <v>17.04</v>
      </c>
      <c r="L6" s="19">
        <f>IF(A6="","",IFERROR(IF(SUMPRODUCT((ISNUMBER(A$2:A6))*(A$2:A6&gt;1000)*(MONTH(IF(ISNUMBER(A$2:A6),A$2:A6,1))=MONTH(A6))*(YEAR(IF(ISNUMBER(A$2:A6),A$2:A6,1))=YEAR(A6))*IF(ISNUMBER(K$2:K6),K$2:K6,0))=0,"",SUMPRODUCT((ISNUMBER(A$2:A6))*(A$2:A6&gt;1000)*(MONTH(IF(ISNUMBER(A$2:A6),A$2:A6,1))=MONTH(A6))*(YEAR(IF(ISNUMBER(A$2:A6),A$2:A6,1))=YEAR(A6))*IF(ISNUMBER(K$2:K6),K$2:K6,0))),""))</f>
        <v>81.720726000000013</v>
      </c>
      <c r="M6" s="21" t="str">
        <f>IF(A6="","",IFERROR(IF(SUMIF(N$2:N6,"CASA",K$2:K6)=0,"",SUMIF(N$2:N6,"CASA",K$2:K6)),""))</f>
        <v/>
      </c>
      <c r="N6" s="17" t="str">
        <f>IF(J6="","",IF(J6=0.2,"CASA",IF(Dati!G6="","",Dati!G6)))</f>
        <v>EVDC</v>
      </c>
    </row>
    <row r="7" spans="1:14" ht="15" customHeight="1" x14ac:dyDescent="0.2">
      <c r="A7" s="23">
        <f>IF(Dati!A7="","",Dati!A7)</f>
        <v>46107</v>
      </c>
      <c r="B7" s="17">
        <f>IF(Dati!B7="","",Dati!B7)</f>
        <v>1293</v>
      </c>
      <c r="C7" s="17">
        <f>IF(B7="","",IF(ISNUMBER(B6),IF(B7-B6&lt;0,B7,IF(B7-B6=0,"",B7-B6)),B7))</f>
        <v>163</v>
      </c>
      <c r="D7" s="18">
        <f>IF(Dati!C7="","",IF(Dati!C7&gt;1,Dati!C7/100,Dati!C7))</f>
        <v>0.38</v>
      </c>
      <c r="E7" s="18">
        <f>IF(Dati!D7="","",IF(Dati!D7&gt;1,Dati!D7/100,Dati!D7))</f>
        <v>0.76</v>
      </c>
      <c r="F7" s="18">
        <f>IF(OR(D7="",E7=""),"",IF(OR(D7&gt;1,E7&gt;1),(E7-D7)/100,E7-D7))</f>
        <v>0.38</v>
      </c>
      <c r="G7" s="17">
        <f>IF(F7="","",IF(64*F7=0,"",64*F7))</f>
        <v>24.32</v>
      </c>
      <c r="H7" s="19">
        <f>IF(Dati!E7="","",Dati!E7)</f>
        <v>23.79</v>
      </c>
      <c r="I7" s="19">
        <f>IFERROR(IF(OR(C7="",C7=0),"",H7/C7*100),"")</f>
        <v>14.595092024539877</v>
      </c>
      <c r="J7" s="20">
        <f>IF(Dati!F7="","",Dati!F7)</f>
        <v>0.2</v>
      </c>
      <c r="K7" s="19">
        <f>IF(OR(H7="",J7=""),"",IF(H7*J7=0,"",H7*J7))</f>
        <v>4.758</v>
      </c>
      <c r="L7" s="19">
        <f>IF(A7="","",IFERROR(IF(SUMPRODUCT((ISNUMBER(A$2:A7))*(A$2:A7&gt;1000)*(MONTH(IF(ISNUMBER(A$2:A7),A$2:A7,1))=MONTH(A7))*(YEAR(IF(ISNUMBER(A$2:A7),A$2:A7,1))=YEAR(A7))*IF(ISNUMBER(K$2:K7),K$2:K7,0))=0,"",SUMPRODUCT((ISNUMBER(A$2:A7))*(A$2:A7&gt;1000)*(MONTH(IF(ISNUMBER(A$2:A7),A$2:A7,1))=MONTH(A7))*(YEAR(IF(ISNUMBER(A$2:A7),A$2:A7,1))=YEAR(A7))*IF(ISNUMBER(K$2:K7),K$2:K7,0))),""))</f>
        <v>86.478726000000009</v>
      </c>
      <c r="M7" s="21">
        <f>IF(A7="","",IFERROR(IF(SUMIF(N$2:N7,"CASA",K$2:K7)=0,"",SUMIF(N$2:N7,"CASA",K$2:K7)),""))</f>
        <v>4.758</v>
      </c>
      <c r="N7" s="17" t="str">
        <f>IF(J7="","",IF(J7=0.2,"CASA",IF(Dati!G7="","",Dati!G7)))</f>
        <v>CASA</v>
      </c>
    </row>
    <row r="8" spans="1:14" ht="15" customHeight="1" x14ac:dyDescent="0.2">
      <c r="A8" s="23">
        <f>IF(Dati!A8="","",Dati!A8)</f>
        <v>46111</v>
      </c>
      <c r="B8" s="17">
        <f>IF(Dati!B8="","",Dati!B8)</f>
        <v>1400</v>
      </c>
      <c r="C8" s="17">
        <f>IF(B8="","",IF(ISNUMBER(B7),IF(B8-B7&lt;0,B8,IF(B8-B7=0,"",B8-B7)),B8))</f>
        <v>107</v>
      </c>
      <c r="D8" s="18">
        <f>IF(Dati!C8="","",IF(Dati!C8&gt;1,Dati!C8/100,Dati!C8))</f>
        <v>0.44</v>
      </c>
      <c r="E8" s="18">
        <f>IF(Dati!D8="","",IF(Dati!D8&gt;1,Dati!D8/100,Dati!D8))</f>
        <v>0.8</v>
      </c>
      <c r="F8" s="18">
        <f>IF(OR(D8="",E8=""),"",IF(OR(D8&gt;1,E8&gt;1),(E8-D8)/100,E8-D8))</f>
        <v>0.36000000000000004</v>
      </c>
      <c r="G8" s="17">
        <f>IF(F8="","",IF(64*F8=0,"",64*F8))</f>
        <v>23.040000000000003</v>
      </c>
      <c r="H8" s="19">
        <f>IF(Dati!E8="","",Dati!E8)</f>
        <v>24.04</v>
      </c>
      <c r="I8" s="19">
        <f>IFERROR(IF(OR(C8="",C8=0),"",H8/C8*100),"")</f>
        <v>22.467289719626169</v>
      </c>
      <c r="J8" s="20">
        <f>IF(Dati!F8="","",Dati!F8)</f>
        <v>0.2</v>
      </c>
      <c r="K8" s="19">
        <f>IF(OR(H8="",J8=""),"",IF(H8*J8=0,"",H8*J8))</f>
        <v>4.8079999999999998</v>
      </c>
      <c r="L8" s="19">
        <f>IF(A8="","",IFERROR(IF(SUMPRODUCT((ISNUMBER(A$2:A8))*(A$2:A8&gt;1000)*(MONTH(IF(ISNUMBER(A$2:A8),A$2:A8,1))=MONTH(A8))*(YEAR(IF(ISNUMBER(A$2:A8),A$2:A8,1))=YEAR(A8))*IF(ISNUMBER(K$2:K8),K$2:K8,0))=0,"",SUMPRODUCT((ISNUMBER(A$2:A8))*(A$2:A8&gt;1000)*(MONTH(IF(ISNUMBER(A$2:A8),A$2:A8,1))=MONTH(A8))*(YEAR(IF(ISNUMBER(A$2:A8),A$2:A8,1))=YEAR(A8))*IF(ISNUMBER(K$2:K8),K$2:K8,0))),""))</f>
        <v>91.286726000000016</v>
      </c>
      <c r="M8" s="21">
        <f>IF(A8="","",IFERROR(IF(SUMIF(N$2:N8,"CASA",K$2:K8)=0,"",SUMIF(N$2:N8,"CASA",K$2:K8)),""))</f>
        <v>9.5659999999999989</v>
      </c>
      <c r="N8" s="17" t="str">
        <f>IF(J8="","",IF(J8=0.2,"CASA",IF(Dati!G8="","",Dati!G8)))</f>
        <v>CASA</v>
      </c>
    </row>
    <row r="9" spans="1:14" ht="15" customHeight="1" x14ac:dyDescent="0.2">
      <c r="A9" s="23">
        <f>IF(Dati!A9="","",Dati!A9)</f>
        <v>46113</v>
      </c>
      <c r="B9" s="17">
        <f>IF(Dati!B9="","",Dati!B9)</f>
        <v>1543</v>
      </c>
      <c r="C9" s="17">
        <f>IF(B9="","",IF(ISNUMBER(B8),IF(B9-B8&lt;0,B9,IF(B9-B8=0,"",B9-B8)),B9))</f>
        <v>143</v>
      </c>
      <c r="D9" s="18">
        <f>IF(Dati!C9="","",IF(Dati!C9&gt;1,Dati!C9/100,Dati!C9))</f>
        <v>0.34</v>
      </c>
      <c r="E9" s="18">
        <f>IF(Dati!D9="","",IF(Dati!D9&gt;1,Dati!D9/100,Dati!D9))</f>
        <v>0.8</v>
      </c>
      <c r="F9" s="18">
        <f>IF(OR(D9="",E9=""),"",IF(OR(D9&gt;1,E9&gt;1),(E9-D9)/100,E9-D9))</f>
        <v>0.46</v>
      </c>
      <c r="G9" s="17">
        <f>IF(F9="","",IF(64*F9=0,"",64*F9))</f>
        <v>29.44</v>
      </c>
      <c r="H9" s="19">
        <f>IF(Dati!E9="","",Dati!E9)</f>
        <v>30.56</v>
      </c>
      <c r="I9" s="19">
        <f>IFERROR(IF(OR(C9="",C9=0),"",H9/C9*100),"")</f>
        <v>21.37062937062937</v>
      </c>
      <c r="J9" s="20">
        <f>IF(Dati!F9="","",Dati!F9)</f>
        <v>0.2</v>
      </c>
      <c r="K9" s="19">
        <f>IF(OR(H9="",J9=""),"",IF(H9*J9=0,"",H9*J9))</f>
        <v>6.1120000000000001</v>
      </c>
      <c r="L9" s="19">
        <f>IF(A9="","",IFERROR(IF(SUMPRODUCT((ISNUMBER(A$2:A9))*(A$2:A9&gt;1000)*(MONTH(IF(ISNUMBER(A$2:A9),A$2:A9,1))=MONTH(A9))*(YEAR(IF(ISNUMBER(A$2:A9),A$2:A9,1))=YEAR(A9))*IF(ISNUMBER(K$2:K9),K$2:K9,0))=0,"",SUMPRODUCT((ISNUMBER(A$2:A9))*(A$2:A9&gt;1000)*(MONTH(IF(ISNUMBER(A$2:A9),A$2:A9,1))=MONTH(A9))*(YEAR(IF(ISNUMBER(A$2:A9),A$2:A9,1))=YEAR(A9))*IF(ISNUMBER(K$2:K9),K$2:K9,0))),""))</f>
        <v>6.1120000000000001</v>
      </c>
      <c r="M9" s="21">
        <f>IF(A9="","",IFERROR(IF(SUMIF(N$2:N9,"CASA",K$2:K9)=0,"",SUMIF(N$2:N9,"CASA",K$2:K9)),""))</f>
        <v>15.677999999999999</v>
      </c>
      <c r="N9" s="17" t="str">
        <f>IF(J9="","",IF(J9=0.2,"CASA",IF(Dati!G9="","",Dati!G9)))</f>
        <v>CASA</v>
      </c>
    </row>
    <row r="10" spans="1:14" ht="15" customHeight="1" x14ac:dyDescent="0.2">
      <c r="A10" s="23">
        <f>IF(Dati!A10="","",Dati!A10)</f>
        <v>46117</v>
      </c>
      <c r="B10" s="17">
        <f>IF(Dati!B10="","",Dati!B10)</f>
        <v>1717</v>
      </c>
      <c r="C10" s="17">
        <f>IF(B10="","",IF(ISNUMBER(B9),IF(B10-B9&lt;0,B10,IF(B10-B9=0,"",B10-B9)),B10))</f>
        <v>174</v>
      </c>
      <c r="D10" s="18">
        <f>IF(Dati!C10="","",IF(Dati!C10&gt;1,Dati!C10/100,Dati!C10))</f>
        <v>0.33</v>
      </c>
      <c r="E10" s="18">
        <f>IF(Dati!D10="","",IF(Dati!D10&gt;1,Dati!D10/100,Dati!D10))</f>
        <v>0.67</v>
      </c>
      <c r="F10" s="18">
        <f>IF(OR(D10="",E10=""),"",IF(OR(D10&gt;1,E10&gt;1),(E10-D10)/100,E10-D10))</f>
        <v>0.34</v>
      </c>
      <c r="G10" s="17">
        <f>IF(F10="","",IF(64*F10=0,"",64*F10))</f>
        <v>21.76</v>
      </c>
      <c r="H10" s="19">
        <f>IF(Dati!E10="","",Dati!E10)</f>
        <v>20.975999999999999</v>
      </c>
      <c r="I10" s="19">
        <f>IFERROR(IF(OR(C10="",C10=0),"",H10/C10*100),"")</f>
        <v>12.055172413793102</v>
      </c>
      <c r="J10" s="20">
        <f>IF(Dati!F10="","",Dati!F10)</f>
        <v>0.2</v>
      </c>
      <c r="K10" s="19">
        <f>IF(OR(H10="",J10=""),"",IF(H10*J10=0,"",H10*J10))</f>
        <v>4.1951999999999998</v>
      </c>
      <c r="L10" s="19">
        <f>IF(A10="","",IFERROR(IF(SUMPRODUCT((ISNUMBER(A$2:A10))*(A$2:A10&gt;1000)*(MONTH(IF(ISNUMBER(A$2:A10),A$2:A10,1))=MONTH(A10))*(YEAR(IF(ISNUMBER(A$2:A10),A$2:A10,1))=YEAR(A10))*IF(ISNUMBER(K$2:K10),K$2:K10,0))=0,"",SUMPRODUCT((ISNUMBER(A$2:A10))*(A$2:A10&gt;1000)*(MONTH(IF(ISNUMBER(A$2:A10),A$2:A10,1))=MONTH(A10))*(YEAR(IF(ISNUMBER(A$2:A10),A$2:A10,1))=YEAR(A10))*IF(ISNUMBER(K$2:K10),K$2:K10,0))),""))</f>
        <v>10.3072</v>
      </c>
      <c r="M10" s="21">
        <f>IF(A10="","",IFERROR(IF(SUMIF(N$2:N10,"CASA",K$2:K10)=0,"",SUMIF(N$2:N10,"CASA",K$2:K10)),""))</f>
        <v>19.873199999999997</v>
      </c>
      <c r="N10" s="17" t="str">
        <f>IF(J10="","",IF(J10=0.2,"CASA",IF(Dati!G10="","",Dati!G10)))</f>
        <v>CASA</v>
      </c>
    </row>
    <row r="11" spans="1:14" ht="15" customHeight="1" x14ac:dyDescent="0.2">
      <c r="A11" s="23">
        <f>IF(Dati!A11="","",Dati!A11)</f>
        <v>46117</v>
      </c>
      <c r="B11" s="17">
        <f>IF(Dati!B11="","",Dati!B11)</f>
        <v>1792</v>
      </c>
      <c r="C11" s="17">
        <f>IF(B11="","",IF(ISNUMBER(B10),IF(B11-B10&lt;0,B11,IF(B11-B10=0,"",B11-B10)),B11))</f>
        <v>75</v>
      </c>
      <c r="D11" s="18">
        <f>IF(Dati!C11="","",IF(Dati!C11&gt;1,Dati!C11/100,Dati!C11))</f>
        <v>0.41</v>
      </c>
      <c r="E11" s="18">
        <f>IF(Dati!D11="","",IF(Dati!D11&gt;1,Dati!D11/100,Dati!D11))</f>
        <v>0.8</v>
      </c>
      <c r="F11" s="18">
        <f>IF(OR(D11="",E11=""),"",IF(OR(D11&gt;1,E11&gt;1),(E11-D11)/100,E11-D11))</f>
        <v>0.39000000000000007</v>
      </c>
      <c r="G11" s="17">
        <f>IF(F11="","",IF(64*F11=0,"",64*F11))</f>
        <v>24.960000000000004</v>
      </c>
      <c r="H11" s="19">
        <f>IF(Dati!E11="","",Dati!E11)</f>
        <v>25.306999999999999</v>
      </c>
      <c r="I11" s="19">
        <f>IFERROR(IF(OR(C11="",C11=0),"",H11/C11*100),"")</f>
        <v>33.742666666666665</v>
      </c>
      <c r="J11" s="20">
        <f>IF(Dati!F11="","",Dati!F11)</f>
        <v>0.2</v>
      </c>
      <c r="K11" s="19">
        <f>IF(OR(H11="",J11=""),"",IF(H11*J11=0,"",H11*J11))</f>
        <v>5.0613999999999999</v>
      </c>
      <c r="L11" s="19">
        <f>IF(A11="","",IFERROR(IF(SUMPRODUCT((ISNUMBER(A$2:A11))*(A$2:A11&gt;1000)*(MONTH(IF(ISNUMBER(A$2:A11),A$2:A11,1))=MONTH(A11))*(YEAR(IF(ISNUMBER(A$2:A11),A$2:A11,1))=YEAR(A11))*IF(ISNUMBER(K$2:K11),K$2:K11,0))=0,"",SUMPRODUCT((ISNUMBER(A$2:A11))*(A$2:A11&gt;1000)*(MONTH(IF(ISNUMBER(A$2:A11),A$2:A11,1))=MONTH(A11))*(YEAR(IF(ISNUMBER(A$2:A11),A$2:A11,1))=YEAR(A11))*IF(ISNUMBER(K$2:K11),K$2:K11,0))),""))</f>
        <v>15.368600000000001</v>
      </c>
      <c r="M11" s="21">
        <f>IF(A11="","",IFERROR(IF(SUMIF(N$2:N11,"CASA",K$2:K11)=0,"",SUMIF(N$2:N11,"CASA",K$2:K11)),""))</f>
        <v>24.934599999999996</v>
      </c>
      <c r="N11" s="17" t="str">
        <f>IF(J11="","",IF(J11=0.2,"CASA",IF(Dati!G11="","",Dati!G11)))</f>
        <v>CASA</v>
      </c>
    </row>
    <row r="12" spans="1:14" ht="15" customHeight="1" x14ac:dyDescent="0.2">
      <c r="A12" s="23">
        <f>IF(Dati!A12="","",Dati!A12)</f>
        <v>46119</v>
      </c>
      <c r="B12" s="17">
        <f>IF(Dati!B12="","",Dati!B12)</f>
        <v>1926</v>
      </c>
      <c r="C12" s="17">
        <f>IF(B12="","",IF(ISNUMBER(B11),IF(B12-B11&lt;0,B12,IF(B12-B11=0,"",B12-B11)),B12))</f>
        <v>134</v>
      </c>
      <c r="D12" s="18">
        <f>IF(Dati!C12="","",IF(Dati!C12&gt;1,Dati!C12/100,Dati!C12))</f>
        <v>0.49</v>
      </c>
      <c r="E12" s="18">
        <f>IF(Dati!D12="","",IF(Dati!D12&gt;1,Dati!D12/100,Dati!D12))</f>
        <v>0.8</v>
      </c>
      <c r="F12" s="18">
        <f>IF(OR(D12="",E12=""),"",IF(OR(D12&gt;1,E12&gt;1),(E12-D12)/100,E12-D12))</f>
        <v>0.31000000000000005</v>
      </c>
      <c r="G12" s="17">
        <f>IF(F12="","",IF(64*F12=0,"",64*F12))</f>
        <v>19.840000000000003</v>
      </c>
      <c r="H12" s="19">
        <f>IF(Dati!E12="","",Dati!E12)</f>
        <v>21.393000000000001</v>
      </c>
      <c r="I12" s="19">
        <f>IFERROR(IF(OR(C12="",C12=0),"",H12/C12*100),"")</f>
        <v>15.964925373134328</v>
      </c>
      <c r="J12" s="20">
        <f>IF(Dati!F12="","",Dati!F12)</f>
        <v>0.2</v>
      </c>
      <c r="K12" s="19">
        <f>IF(OR(H12="",J12=""),"",IF(H12*J12=0,"",H12*J12))</f>
        <v>4.2786</v>
      </c>
      <c r="L12" s="19">
        <f>IF(A12="","",IFERROR(IF(SUMPRODUCT((ISNUMBER(A$2:A12))*(A$2:A12&gt;1000)*(MONTH(IF(ISNUMBER(A$2:A12),A$2:A12,1))=MONTH(A12))*(YEAR(IF(ISNUMBER(A$2:A12),A$2:A12,1))=YEAR(A12))*IF(ISNUMBER(K$2:K12),K$2:K12,0))=0,"",SUMPRODUCT((ISNUMBER(A$2:A12))*(A$2:A12&gt;1000)*(MONTH(IF(ISNUMBER(A$2:A12),A$2:A12,1))=MONTH(A12))*(YEAR(IF(ISNUMBER(A$2:A12),A$2:A12,1))=YEAR(A12))*IF(ISNUMBER(K$2:K12),K$2:K12,0))),""))</f>
        <v>19.647200000000002</v>
      </c>
      <c r="M12" s="21">
        <f>IF(A12="","",IFERROR(IF(SUMIF(N$2:N12,"CASA",K$2:K12)=0,"",SUMIF(N$2:N12,"CASA",K$2:K12)),""))</f>
        <v>29.213199999999997</v>
      </c>
      <c r="N12" s="17" t="str">
        <f>IF(J12="","",IF(J12=0.2,"CASA",IF(Dati!G12="","",Dati!G12)))</f>
        <v>CASA</v>
      </c>
    </row>
    <row r="13" spans="1:14" ht="15" customHeight="1" x14ac:dyDescent="0.2">
      <c r="A13" s="23">
        <f>IF(Dati!A13="","",Dati!A13)</f>
        <v>46122</v>
      </c>
      <c r="B13" s="17">
        <f>IF(Dati!B13="","",Dati!B13)</f>
        <v>2075</v>
      </c>
      <c r="C13" s="17">
        <f>IF(B13="","",IF(ISNUMBER(B12),IF(B13-B12&lt;0,B13,IF(B13-B12=0,"",B13-B12)),B13))</f>
        <v>149</v>
      </c>
      <c r="D13" s="18">
        <f>IF(Dati!C13="","",IF(Dati!C13&gt;1,Dati!C13/100,Dati!C13))</f>
        <v>0.43</v>
      </c>
      <c r="E13" s="18">
        <f>IF(Dati!D13="","",IF(Dati!D13&gt;1,Dati!D13/100,Dati!D13))</f>
        <v>0.8</v>
      </c>
      <c r="F13" s="18">
        <f>IF(OR(D13="",E13=""),"",IF(OR(D13&gt;1,E13&gt;1),(E13-D13)/100,E13-D13))</f>
        <v>0.37000000000000005</v>
      </c>
      <c r="G13" s="17">
        <f>IF(F13="","",IF(64*F13=0,"",64*F13))</f>
        <v>23.680000000000003</v>
      </c>
      <c r="H13" s="19">
        <f>IF(Dati!E13="","",Dati!E13)</f>
        <v>24.82</v>
      </c>
      <c r="I13" s="19">
        <f>IFERROR(IF(OR(C13="",C13=0),"",H13/C13*100),"")</f>
        <v>16.65771812080537</v>
      </c>
      <c r="J13" s="20">
        <f>IF(Dati!F13="","",Dati!F13)</f>
        <v>0.2</v>
      </c>
      <c r="K13" s="19">
        <f>IF(OR(H13="",J13=""),"",IF(H13*J13=0,"",H13*J13))</f>
        <v>4.9640000000000004</v>
      </c>
      <c r="L13" s="19">
        <f>IF(A13="","",IFERROR(IF(SUMPRODUCT((ISNUMBER(A$2:A13))*(A$2:A13&gt;1000)*(MONTH(IF(ISNUMBER(A$2:A13),A$2:A13,1))=MONTH(A13))*(YEAR(IF(ISNUMBER(A$2:A13),A$2:A13,1))=YEAR(A13))*IF(ISNUMBER(K$2:K13),K$2:K13,0))=0,"",SUMPRODUCT((ISNUMBER(A$2:A13))*(A$2:A13&gt;1000)*(MONTH(IF(ISNUMBER(A$2:A13),A$2:A13,1))=MONTH(A13))*(YEAR(IF(ISNUMBER(A$2:A13),A$2:A13,1))=YEAR(A13))*IF(ISNUMBER(K$2:K13),K$2:K13,0))),""))</f>
        <v>24.611200000000004</v>
      </c>
      <c r="M13" s="21">
        <f>IF(A13="","",IFERROR(IF(SUMIF(N$2:N13,"CASA",K$2:K13)=0,"",SUMIF(N$2:N13,"CASA",K$2:K13)),""))</f>
        <v>34.177199999999999</v>
      </c>
      <c r="N13" s="17" t="str">
        <f>IF(J13="","",IF(J13=0.2,"CASA",IF(Dati!G13="","",Dati!G13)))</f>
        <v>CASA</v>
      </c>
    </row>
    <row r="14" spans="1:14" ht="15" customHeight="1" x14ac:dyDescent="0.2">
      <c r="A14" s="23">
        <f>IF(Dati!A14="","",Dati!A14)</f>
        <v>46127</v>
      </c>
      <c r="B14" s="17">
        <f>IF(Dati!B14="","",Dati!B14)</f>
        <v>2277</v>
      </c>
      <c r="C14" s="17">
        <f>IF(B14="","",IF(ISNUMBER(B13),IF(B14-B13&lt;0,B14,IF(B14-B13=0,"",B14-B13)),B14))</f>
        <v>202</v>
      </c>
      <c r="D14" s="18">
        <f>IF(Dati!C14="","",IF(Dati!C14&gt;1,Dati!C14/100,Dati!C14))</f>
        <v>0.22</v>
      </c>
      <c r="E14" s="18">
        <f>IF(Dati!D14="","",IF(Dati!D14&gt;1,Dati!D14/100,Dati!D14))</f>
        <v>0.64</v>
      </c>
      <c r="F14" s="18">
        <f>IF(OR(D14="",E14=""),"",IF(OR(D14&gt;1,E14&gt;1),(E14-D14)/100,E14-D14))</f>
        <v>0.42000000000000004</v>
      </c>
      <c r="G14" s="17">
        <f>IF(F14="","",IF(64*F14=0,"",64*F14))</f>
        <v>26.880000000000003</v>
      </c>
      <c r="H14" s="19">
        <f>IF(Dati!E14="","",Dati!E14)</f>
        <v>26.02</v>
      </c>
      <c r="I14" s="19">
        <f>IFERROR(IF(OR(C14="",C14=0),"",H14/C14*100),"")</f>
        <v>12.881188118811881</v>
      </c>
      <c r="J14" s="20">
        <f>IF(Dati!F14="","",Dati!F14)</f>
        <v>0.2</v>
      </c>
      <c r="K14" s="19">
        <f>IF(OR(H14="",J14=""),"",IF(H14*J14=0,"",H14*J14))</f>
        <v>5.2040000000000006</v>
      </c>
      <c r="L14" s="19">
        <f>IF(A14="","",IFERROR(IF(SUMPRODUCT((ISNUMBER(A$2:A14))*(A$2:A14&gt;1000)*(MONTH(IF(ISNUMBER(A$2:A14),A$2:A14,1))=MONTH(A14))*(YEAR(IF(ISNUMBER(A$2:A14),A$2:A14,1))=YEAR(A14))*IF(ISNUMBER(K$2:K14),K$2:K14,0))=0,"",SUMPRODUCT((ISNUMBER(A$2:A14))*(A$2:A14&gt;1000)*(MONTH(IF(ISNUMBER(A$2:A14),A$2:A14,1))=MONTH(A14))*(YEAR(IF(ISNUMBER(A$2:A14),A$2:A14,1))=YEAR(A14))*IF(ISNUMBER(K$2:K14),K$2:K14,0))),""))</f>
        <v>29.815200000000004</v>
      </c>
      <c r="M14" s="21">
        <f>IF(A14="","",IFERROR(IF(SUMIF(N$2:N14,"CASA",K$2:K14)=0,"",SUMIF(N$2:N14,"CASA",K$2:K14)),""))</f>
        <v>39.3812</v>
      </c>
      <c r="N14" s="17" t="str">
        <f>IF(J14="","",IF(J14=0.2,"CASA",IF(Dati!G14="","",Dati!G14)))</f>
        <v>CASA</v>
      </c>
    </row>
    <row r="15" spans="1:14" ht="15" customHeight="1" x14ac:dyDescent="0.2">
      <c r="A15" s="23">
        <f>IF(Dati!A15="","",Dati!A15)</f>
        <v>46128</v>
      </c>
      <c r="B15" s="17">
        <f>IF(Dati!B15="","",Dati!B15)</f>
        <v>2326</v>
      </c>
      <c r="C15" s="17">
        <f>IF(B15="","",IF(ISNUMBER(B14),IF(B15-B14&lt;0,B15,IF(B15-B14=0,"",B15-B14)),B15))</f>
        <v>49</v>
      </c>
      <c r="D15" s="18">
        <f>IF(Dati!C15="","",IF(Dati!C15&gt;1,Dati!C15/100,Dati!C15))</f>
        <v>0.51</v>
      </c>
      <c r="E15" s="18">
        <f>IF(Dati!D15="","",IF(Dati!D15&gt;1,Dati!D15/100,Dati!D15))</f>
        <v>0.7</v>
      </c>
      <c r="F15" s="18">
        <f>IF(OR(D15="",E15=""),"",IF(OR(D15&gt;1,E15&gt;1),(E15-D15)/100,E15-D15))</f>
        <v>0.18999999999999995</v>
      </c>
      <c r="G15" s="17">
        <f>IF(F15="","",IF(64*F15=0,"",64*F15))</f>
        <v>12.159999999999997</v>
      </c>
      <c r="H15" s="19">
        <f>IF(Dati!E15="","",Dati!E15)</f>
        <v>12.73</v>
      </c>
      <c r="I15" s="19">
        <f>IFERROR(IF(OR(C15="",C15=0),"",H15/C15*100),"")</f>
        <v>25.979591836734695</v>
      </c>
      <c r="J15" s="20">
        <f>IF(Dati!F15="","",Dati!F15)</f>
        <v>0.2</v>
      </c>
      <c r="K15" s="19">
        <f>IF(OR(H15="",J15=""),"",IF(H15*J15=0,"",H15*J15))</f>
        <v>2.5460000000000003</v>
      </c>
      <c r="L15" s="19">
        <f>IF(A15="","",IFERROR(IF(SUMPRODUCT((ISNUMBER(A$2:A15))*(A$2:A15&gt;1000)*(MONTH(IF(ISNUMBER(A$2:A15),A$2:A15,1))=MONTH(A15))*(YEAR(IF(ISNUMBER(A$2:A15),A$2:A15,1))=YEAR(A15))*IF(ISNUMBER(K$2:K15),K$2:K15,0))=0,"",SUMPRODUCT((ISNUMBER(A$2:A15))*(A$2:A15&gt;1000)*(MONTH(IF(ISNUMBER(A$2:A15),A$2:A15,1))=MONTH(A15))*(YEAR(IF(ISNUMBER(A$2:A15),A$2:A15,1))=YEAR(A15))*IF(ISNUMBER(K$2:K15),K$2:K15,0))),""))</f>
        <v>32.361200000000004</v>
      </c>
      <c r="M15" s="21">
        <f>IF(A15="","",IFERROR(IF(SUMIF(N$2:N15,"CASA",K$2:K15)=0,"",SUMIF(N$2:N15,"CASA",K$2:K15)),""))</f>
        <v>41.927199999999999</v>
      </c>
      <c r="N15" s="17" t="str">
        <f>IF(J15="","",IF(J15=0.2,"CASA",IF(Dati!G15="","",Dati!G15)))</f>
        <v>CASA</v>
      </c>
    </row>
    <row r="16" spans="1:14" ht="15" customHeight="1" x14ac:dyDescent="0.2">
      <c r="A16" s="23">
        <f>IF(Dati!A16="","",Dati!A16)</f>
        <v>46130</v>
      </c>
      <c r="B16" s="17">
        <f>IF(Dati!B16="","",Dati!B16)</f>
        <v>2414</v>
      </c>
      <c r="C16" s="17">
        <f>IF(B16="","",IF(ISNUMBER(B15),IF(B16-B15&lt;0,B16,IF(B16-B15=0,"",B16-B15)),B16))</f>
        <v>88</v>
      </c>
      <c r="D16" s="18">
        <f>IF(Dati!C16="","",IF(Dati!C16&gt;1,Dati!C16/100,Dati!C16))</f>
        <v>0.45</v>
      </c>
      <c r="E16" s="18">
        <f>IF(Dati!D16="","",IF(Dati!D16&gt;1,Dati!D16/100,Dati!D16))</f>
        <v>0.8</v>
      </c>
      <c r="F16" s="18">
        <f>IF(OR(D16="",E16=""),"",IF(OR(D16&gt;1,E16&gt;1),(E16-D16)/100,E16-D16))</f>
        <v>0.35000000000000003</v>
      </c>
      <c r="G16" s="17">
        <f>IF(F16="","",IF(64*F16=0,"",64*F16))</f>
        <v>22.400000000000002</v>
      </c>
      <c r="H16" s="19">
        <f>IF(Dati!E16="","",Dati!E16)</f>
        <v>23.29</v>
      </c>
      <c r="I16" s="19">
        <f>IFERROR(IF(OR(C16="",C16=0),"",H16/C16*100),"")</f>
        <v>26.46590909090909</v>
      </c>
      <c r="J16" s="20">
        <f>IF(Dati!F16="","",Dati!F16)</f>
        <v>0.2</v>
      </c>
      <c r="K16" s="19">
        <f>IF(OR(H16="",J16=""),"",IF(H16*J16=0,"",H16*J16))</f>
        <v>4.6580000000000004</v>
      </c>
      <c r="L16" s="19">
        <f>IF(A16="","",IFERROR(IF(SUMPRODUCT((ISNUMBER(A$2:A16))*(A$2:A16&gt;1000)*(MONTH(IF(ISNUMBER(A$2:A16),A$2:A16,1))=MONTH(A16))*(YEAR(IF(ISNUMBER(A$2:A16),A$2:A16,1))=YEAR(A16))*IF(ISNUMBER(K$2:K16),K$2:K16,0))=0,"",SUMPRODUCT((ISNUMBER(A$2:A16))*(A$2:A16&gt;1000)*(MONTH(IF(ISNUMBER(A$2:A16),A$2:A16,1))=MONTH(A16))*(YEAR(IF(ISNUMBER(A$2:A16),A$2:A16,1))=YEAR(A16))*IF(ISNUMBER(K$2:K16),K$2:K16,0))),""))</f>
        <v>37.019200000000005</v>
      </c>
      <c r="M16" s="21">
        <f>IF(A16="","",IFERROR(IF(SUMIF(N$2:N16,"CASA",K$2:K16)=0,"",SUMIF(N$2:N16,"CASA",K$2:K16)),""))</f>
        <v>46.5852</v>
      </c>
      <c r="N16" s="17" t="str">
        <f>IF(J16="","",IF(J16=0.2,"CASA",IF(Dati!G16="","",Dati!G16)))</f>
        <v>CASA</v>
      </c>
    </row>
    <row r="17" spans="1:14" ht="15" customHeight="1" x14ac:dyDescent="0.2">
      <c r="A17" s="23">
        <f>IF(Dati!A17="","",Dati!A17)</f>
        <v>46133</v>
      </c>
      <c r="B17" s="17">
        <f>IF(Dati!B17="","",Dati!B17)</f>
        <v>2592</v>
      </c>
      <c r="C17" s="17">
        <f>IF(B17="","",IF(ISNUMBER(B16),IF(B17-B16&lt;0,B17,IF(B17-B16=0,"",B17-B16)),B17))</f>
        <v>178</v>
      </c>
      <c r="D17" s="18">
        <f>IF(Dati!C17="","",IF(Dati!C17&gt;1,Dati!C17/100,Dati!C17))</f>
        <v>0.33</v>
      </c>
      <c r="E17" s="18">
        <f>IF(Dati!D17="","",IF(Dati!D17&gt;1,Dati!D17/100,Dati!D17))</f>
        <v>0.75</v>
      </c>
      <c r="F17" s="18">
        <f>IF(OR(D17="",E17=""),"",IF(OR(D17&gt;1,E17&gt;1),(E17-D17)/100,E17-D17))</f>
        <v>0.42</v>
      </c>
      <c r="G17" s="17">
        <f>IF(F17="","",IF(64*F17=0,"",64*F17))</f>
        <v>26.88</v>
      </c>
      <c r="H17" s="19">
        <f>IF(Dati!E17="","",Dati!E17)</f>
        <v>26.32</v>
      </c>
      <c r="I17" s="19">
        <f>IFERROR(IF(OR(C17="",C17=0),"",H17/C17*100),"")</f>
        <v>14.786516853932586</v>
      </c>
      <c r="J17" s="20">
        <f>IF(Dati!F17="","",Dati!F17)</f>
        <v>0.2</v>
      </c>
      <c r="K17" s="19">
        <f>IF(OR(H17="",J17=""),"",IF(H17*J17=0,"",H17*J17))</f>
        <v>5.2640000000000002</v>
      </c>
      <c r="L17" s="19">
        <f>IF(A17="","",IFERROR(IF(SUMPRODUCT((ISNUMBER(A$2:A17))*(A$2:A17&gt;1000)*(MONTH(IF(ISNUMBER(A$2:A17),A$2:A17,1))=MONTH(A17))*(YEAR(IF(ISNUMBER(A$2:A17),A$2:A17,1))=YEAR(A17))*IF(ISNUMBER(K$2:K17),K$2:K17,0))=0,"",SUMPRODUCT((ISNUMBER(A$2:A17))*(A$2:A17&gt;1000)*(MONTH(IF(ISNUMBER(A$2:A17),A$2:A17,1))=MONTH(A17))*(YEAR(IF(ISNUMBER(A$2:A17),A$2:A17,1))=YEAR(A17))*IF(ISNUMBER(K$2:K17),K$2:K17,0))),""))</f>
        <v>42.283200000000008</v>
      </c>
      <c r="M17" s="21">
        <f>IF(A17="","",IFERROR(IF(SUMIF(N$2:N17,"CASA",K$2:K17)=0,"",SUMIF(N$2:N17,"CASA",K$2:K17)),""))</f>
        <v>51.849200000000003</v>
      </c>
      <c r="N17" s="17" t="str">
        <f>IF(J17="","",IF(J17=0.2,"CASA",IF(Dati!G17="","",Dati!G17)))</f>
        <v>CASA</v>
      </c>
    </row>
    <row r="18" spans="1:14" ht="15" customHeight="1" x14ac:dyDescent="0.2">
      <c r="A18" s="23">
        <f>IF(Dati!A18="","",Dati!A18)</f>
        <v>46135</v>
      </c>
      <c r="B18" s="17">
        <f>IF(Dati!B18="","",Dati!B18)</f>
        <v>2720</v>
      </c>
      <c r="C18" s="17">
        <f>IF(B18="","",IF(ISNUMBER(B17),IF(B18-B17&lt;0,B18,IF(B18-B17=0,"",B18-B17)),B18))</f>
        <v>128</v>
      </c>
      <c r="D18" s="18">
        <f>IF(Dati!C18="","",IF(Dati!C18&gt;1,Dati!C18/100,Dati!C18))</f>
        <v>0.42</v>
      </c>
      <c r="E18" s="18">
        <f>IF(Dati!D18="","",IF(Dati!D18&gt;1,Dati!D18/100,Dati!D18))</f>
        <v>0.78</v>
      </c>
      <c r="F18" s="18">
        <f>IF(OR(D18="",E18=""),"",IF(OR(D18&gt;1,E18&gt;1),(E18-D18)/100,E18-D18))</f>
        <v>0.36000000000000004</v>
      </c>
      <c r="G18" s="17">
        <f>IF(F18="","",IF(64*F18=0,"",64*F18))</f>
        <v>23.040000000000003</v>
      </c>
      <c r="H18" s="19">
        <f>IF(Dati!E18="","",Dati!E18)</f>
        <v>22.72</v>
      </c>
      <c r="I18" s="19">
        <f>IFERROR(IF(OR(C18="",C18=0),"",H18/C18*100),"")</f>
        <v>17.75</v>
      </c>
      <c r="J18" s="20">
        <f>IF(Dati!F18="","",Dati!F18)</f>
        <v>0.2</v>
      </c>
      <c r="K18" s="19">
        <f>IF(OR(H18="",J18=""),"",IF(H18*J18=0,"",H18*J18))</f>
        <v>4.5439999999999996</v>
      </c>
      <c r="L18" s="19">
        <f>IF(A18="","",IFERROR(IF(SUMPRODUCT((ISNUMBER(A$2:A18))*(A$2:A18&gt;1000)*(MONTH(IF(ISNUMBER(A$2:A18),A$2:A18,1))=MONTH(A18))*(YEAR(IF(ISNUMBER(A$2:A18),A$2:A18,1))=YEAR(A18))*IF(ISNUMBER(K$2:K18),K$2:K18,0))=0,"",SUMPRODUCT((ISNUMBER(A$2:A18))*(A$2:A18&gt;1000)*(MONTH(IF(ISNUMBER(A$2:A18),A$2:A18,1))=MONTH(A18))*(YEAR(IF(ISNUMBER(A$2:A18),A$2:A18,1))=YEAR(A18))*IF(ISNUMBER(K$2:K18),K$2:K18,0))),""))</f>
        <v>46.827200000000005</v>
      </c>
      <c r="M18" s="21">
        <f>IF(A18="","",IFERROR(IF(SUMIF(N$2:N18,"CASA",K$2:K18)=0,"",SUMIF(N$2:N18,"CASA",K$2:K18)),""))</f>
        <v>56.3932</v>
      </c>
      <c r="N18" s="17" t="str">
        <f>IF(J18="","",IF(J18=0.2,"CASA",IF(Dati!G18="","",Dati!G18)))</f>
        <v>CASA</v>
      </c>
    </row>
    <row r="19" spans="1:14" ht="15" customHeight="1" x14ac:dyDescent="0.2">
      <c r="A19" s="23">
        <f>IF(Dati!A19="","",Dati!A19)</f>
        <v>46137</v>
      </c>
      <c r="B19" s="17">
        <f>IF(Dati!B19="","",Dati!B19)</f>
        <v>2782</v>
      </c>
      <c r="C19" s="17">
        <f>IF(B19="","",IF(ISNUMBER(B18),IF(B19-B18&lt;0,B19,IF(B19-B18=0,"",B19-B18)),B19))</f>
        <v>62</v>
      </c>
      <c r="D19" s="18">
        <f>IF(Dati!C19="","",IF(Dati!C19&gt;1,Dati!C19/100,Dati!C19))</f>
        <v>0.19</v>
      </c>
      <c r="E19" s="18">
        <f>IF(Dati!D19="","",IF(Dati!D19&gt;1,Dati!D19/100,Dati!D19))</f>
        <v>0.8</v>
      </c>
      <c r="F19" s="18">
        <f>IF(OR(D19="",E19=""),"",IF(OR(D19&gt;1,E19&gt;1),(E19-D19)/100,E19-D19))</f>
        <v>0.6100000000000001</v>
      </c>
      <c r="G19" s="17">
        <f>IF(F19="","",IF(64*F19=0,"",64*F19))</f>
        <v>39.040000000000006</v>
      </c>
      <c r="H19" s="19">
        <f>IF(Dati!E19="","",Dati!E19)</f>
        <v>13.09</v>
      </c>
      <c r="I19" s="19">
        <f>IFERROR(IF(OR(C19="",C19=0),"",H19/C19*100),"")</f>
        <v>21.112903225806452</v>
      </c>
      <c r="J19" s="20">
        <f>IF(Dati!F19="","",Dati!F19)</f>
        <v>0.2</v>
      </c>
      <c r="K19" s="19">
        <f>IF(OR(H19="",J19=""),"",IF(H19*J19=0,"",H19*J19))</f>
        <v>2.6180000000000003</v>
      </c>
      <c r="L19" s="19">
        <f>IF(A19="","",IFERROR(IF(SUMPRODUCT((ISNUMBER(A$2:A19))*(A$2:A19&gt;1000)*(MONTH(IF(ISNUMBER(A$2:A19),A$2:A19,1))=MONTH(A19))*(YEAR(IF(ISNUMBER(A$2:A19),A$2:A19,1))=YEAR(A19))*IF(ISNUMBER(K$2:K19),K$2:K19,0))=0,"",SUMPRODUCT((ISNUMBER(A$2:A19))*(A$2:A19&gt;1000)*(MONTH(IF(ISNUMBER(A$2:A19),A$2:A19,1))=MONTH(A19))*(YEAR(IF(ISNUMBER(A$2:A19),A$2:A19,1))=YEAR(A19))*IF(ISNUMBER(K$2:K19),K$2:K19,0))),""))</f>
        <v>49.445200000000007</v>
      </c>
      <c r="M19" s="21">
        <f>IF(A19="","",IFERROR(IF(SUMIF(N$2:N19,"CASA",K$2:K19)=0,"",SUMIF(N$2:N19,"CASA",K$2:K19)),""))</f>
        <v>59.011200000000002</v>
      </c>
      <c r="N19" s="17" t="str">
        <f>IF(J19="","",IF(J19=0.2,"CASA",IF(Dati!G19="","",Dati!G19)))</f>
        <v>CASA</v>
      </c>
    </row>
    <row r="20" spans="1:14" ht="15" customHeight="1" x14ac:dyDescent="0.2">
      <c r="A20" s="23">
        <f>IF(Dati!A20="","",Dati!A20)</f>
        <v>46140</v>
      </c>
      <c r="B20" s="17">
        <f>IF(Dati!B20="","",Dati!B20)</f>
        <v>2909</v>
      </c>
      <c r="C20" s="17">
        <f>IF(B20="","",IF(ISNUMBER(B19),IF(B20-B19&lt;0,B20,IF(B20-B19=0,"",B20-B19)),B20))</f>
        <v>127</v>
      </c>
      <c r="D20" s="18">
        <f>IF(Dati!C20="","",IF(Dati!C20&gt;1,Dati!C20/100,Dati!C20))</f>
        <v>0.34</v>
      </c>
      <c r="E20" s="18">
        <f>IF(Dati!D20="","",IF(Dati!D20&gt;1,Dati!D20/100,Dati!D20))</f>
        <v>0.8</v>
      </c>
      <c r="F20" s="18">
        <f>IF(OR(D20="",E20=""),"",IF(OR(D20&gt;1,E20&gt;1),(E20-D20)/100,E20-D20))</f>
        <v>0.46</v>
      </c>
      <c r="G20" s="17">
        <f>IF(F20="","",IF(64*F20=0,"",64*F20))</f>
        <v>29.44</v>
      </c>
      <c r="H20" s="19">
        <f>IF(Dati!E20="","",Dati!E20)</f>
        <v>22.79</v>
      </c>
      <c r="I20" s="19">
        <f>IFERROR(IF(OR(C20="",C20=0),"",H20/C20*100),"")</f>
        <v>17.944881889763778</v>
      </c>
      <c r="J20" s="20">
        <f>IF(Dati!F20="","",Dati!F20)</f>
        <v>0.2</v>
      </c>
      <c r="K20" s="19">
        <f>IF(OR(H20="",J20=""),"",IF(H20*J20=0,"",H20*J20))</f>
        <v>4.5579999999999998</v>
      </c>
      <c r="L20" s="19">
        <f>IF(A20="","",IFERROR(IF(SUMPRODUCT((ISNUMBER(A$2:A20))*(A$2:A20&gt;1000)*(MONTH(IF(ISNUMBER(A$2:A20),A$2:A20,1))=MONTH(A20))*(YEAR(IF(ISNUMBER(A$2:A20),A$2:A20,1))=YEAR(A20))*IF(ISNUMBER(K$2:K20),K$2:K20,0))=0,"",SUMPRODUCT((ISNUMBER(A$2:A20))*(A$2:A20&gt;1000)*(MONTH(IF(ISNUMBER(A$2:A20),A$2:A20,1))=MONTH(A20))*(YEAR(IF(ISNUMBER(A$2:A20),A$2:A20,1))=YEAR(A20))*IF(ISNUMBER(K$2:K20),K$2:K20,0))),""))</f>
        <v>54.003200000000007</v>
      </c>
      <c r="M20" s="21">
        <f>IF(A20="","",IFERROR(IF(SUMIF(N$2:N20,"CASA",K$2:K20)=0,"",SUMIF(N$2:N20,"CASA",K$2:K20)),""))</f>
        <v>63.569200000000002</v>
      </c>
      <c r="N20" s="17" t="str">
        <f>IF(J20="","",IF(J20=0.2,"CASA",IF(Dati!G20="","",Dati!G20)))</f>
        <v>CASA</v>
      </c>
    </row>
    <row r="21" spans="1:14" ht="15" customHeight="1" x14ac:dyDescent="0.2">
      <c r="A21" s="23">
        <f>IF(Dati!A21="","",Dati!A21)</f>
        <v>46143</v>
      </c>
      <c r="B21" s="17">
        <f>IF(Dati!B21="","",Dati!B21)</f>
        <v>3042</v>
      </c>
      <c r="C21" s="17">
        <f>IF(B21="","",IF(ISNUMBER(B20),IF(B21-B20&lt;0,B21,IF(B21-B20=0,"",B21-B20)),B21))</f>
        <v>133</v>
      </c>
      <c r="D21" s="18">
        <f>IF(Dati!C21="","",IF(Dati!C21&gt;1,Dati!C21/100,Dati!C21))</f>
        <v>0.45</v>
      </c>
      <c r="E21" s="18">
        <f>IF(Dati!D21="","",IF(Dati!D21&gt;1,Dati!D21/100,Dati!D21))</f>
        <v>0.8</v>
      </c>
      <c r="F21" s="18">
        <f>IF(OR(D21="",E21=""),"",IF(OR(D21&gt;1,E21&gt;1),(E21-D21)/100,E21-D21))</f>
        <v>0.35000000000000003</v>
      </c>
      <c r="G21" s="17">
        <f>IF(F21="","",IF(64*F21=0,"",64*F21))</f>
        <v>22.400000000000002</v>
      </c>
      <c r="H21" s="19">
        <f>IF(Dati!E21="","",Dati!E21)</f>
        <v>23.36</v>
      </c>
      <c r="I21" s="19">
        <f>IFERROR(IF(OR(C21="",C21=0),"",H21/C21*100),"")</f>
        <v>17.563909774436091</v>
      </c>
      <c r="J21" s="20">
        <f>IF(Dati!F21="","",Dati!F21)</f>
        <v>0.2</v>
      </c>
      <c r="K21" s="19">
        <f>IF(OR(H21="",J21=""),"",IF(H21*J21=0,"",H21*J21))</f>
        <v>4.6719999999999997</v>
      </c>
      <c r="L21" s="19">
        <f>IF(A21="","",IFERROR(IF(SUMPRODUCT((ISNUMBER(A$2:A21))*(A$2:A21&gt;1000)*(MONTH(IF(ISNUMBER(A$2:A21),A$2:A21,1))=MONTH(A21))*(YEAR(IF(ISNUMBER(A$2:A21),A$2:A21,1))=YEAR(A21))*IF(ISNUMBER(K$2:K21),K$2:K21,0))=0,"",SUMPRODUCT((ISNUMBER(A$2:A21))*(A$2:A21&gt;1000)*(MONTH(IF(ISNUMBER(A$2:A21),A$2:A21,1))=MONTH(A21))*(YEAR(IF(ISNUMBER(A$2:A21),A$2:A21,1))=YEAR(A21))*IF(ISNUMBER(K$2:K21),K$2:K21,0))),""))</f>
        <v>4.6719999999999997</v>
      </c>
      <c r="M21" s="21">
        <f>IF(A21="","",IFERROR(IF(SUMIF(N$2:N21,"CASA",K$2:K21)=0,"",SUMIF(N$2:N21,"CASA",K$2:K21)),""))</f>
        <v>68.241200000000006</v>
      </c>
      <c r="N21" s="17" t="str">
        <f>IF(J21="","",IF(J21=0.2,"CASA",IF(Dati!G21="","",Dati!G21)))</f>
        <v>CASA</v>
      </c>
    </row>
    <row r="22" spans="1:14" ht="15" customHeight="1" x14ac:dyDescent="0.2">
      <c r="A22" s="23">
        <f>IF(Dati!A22="","",Dati!A22)</f>
        <v>46148</v>
      </c>
      <c r="B22" s="17">
        <f>IF(Dati!B22="","",Dati!B22)</f>
        <v>3235</v>
      </c>
      <c r="C22" s="17">
        <f>IF(B22="","",IF(ISNUMBER(B21),IF(B22-B21&lt;0,B22,IF(B22-B21=0,"",B22-B21)),B22))</f>
        <v>193</v>
      </c>
      <c r="D22" s="18">
        <f>IF(Dati!C22="","",IF(Dati!C22&gt;1,Dati!C22/100,Dati!C22))</f>
        <v>0.21</v>
      </c>
      <c r="E22" s="18">
        <f>IF(Dati!D22="","",IF(Dati!D22&gt;1,Dati!D22/100,Dati!D22))</f>
        <v>0.78</v>
      </c>
      <c r="F22" s="18">
        <f>IF(OR(D22="",E22=""),"",IF(OR(D22&gt;1,E22&gt;1),(E22-D22)/100,E22-D22))</f>
        <v>0.57000000000000006</v>
      </c>
      <c r="G22" s="17">
        <f>IF(F22="","",IF(64*F22=0,"",64*F22))</f>
        <v>36.480000000000004</v>
      </c>
      <c r="H22" s="19">
        <f>IF(Dati!E22="","",Dati!E22)</f>
        <v>35.97</v>
      </c>
      <c r="I22" s="19">
        <f>IFERROR(IF(OR(C22="",C22=0),"",H22/C22*100),"")</f>
        <v>18.637305699481864</v>
      </c>
      <c r="J22" s="20">
        <f>IF(Dati!F22="","",Dati!F22)</f>
        <v>0.2</v>
      </c>
      <c r="K22" s="19">
        <f>IF(OR(H22="",J22=""),"",IF(H22*J22=0,"",H22*J22))</f>
        <v>7.194</v>
      </c>
      <c r="L22" s="19">
        <f>IF(A22="","",IFERROR(IF(SUMPRODUCT((ISNUMBER(A$2:A22))*(A$2:A22&gt;1000)*(MONTH(IF(ISNUMBER(A$2:A22),A$2:A22,1))=MONTH(A22))*(YEAR(IF(ISNUMBER(A$2:A22),A$2:A22,1))=YEAR(A22))*IF(ISNUMBER(K$2:K22),K$2:K22,0))=0,"",SUMPRODUCT((ISNUMBER(A$2:A22))*(A$2:A22&gt;1000)*(MONTH(IF(ISNUMBER(A$2:A22),A$2:A22,1))=MONTH(A22))*(YEAR(IF(ISNUMBER(A$2:A22),A$2:A22,1))=YEAR(A22))*IF(ISNUMBER(K$2:K22),K$2:K22,0))),""))</f>
        <v>11.866</v>
      </c>
      <c r="M22" s="21">
        <f>IF(A22="","",IFERROR(IF(SUMIF(N$2:N22,"CASA",K$2:K22)=0,"",SUMIF(N$2:N22,"CASA",K$2:K22)),""))</f>
        <v>75.435200000000009</v>
      </c>
      <c r="N22" s="17" t="str">
        <f>IF(J22="","",IF(J22=0.2,"CASA",IF(Dati!G22="","",Dati!G22)))</f>
        <v>CASA</v>
      </c>
    </row>
    <row r="23" spans="1:14" ht="15" customHeight="1" x14ac:dyDescent="0.2">
      <c r="A23" s="23">
        <f>IF(Dati!A23="","",Dati!A23)</f>
        <v>46152</v>
      </c>
      <c r="B23" s="17">
        <f>IF(Dati!B23="","",Dati!B23)</f>
        <v>3459</v>
      </c>
      <c r="C23" s="17">
        <f>IF(B23="","",IF(ISNUMBER(B22),IF(B23-B22&lt;0,B23,IF(B23-B22=0,"",B23-B22)),B23))</f>
        <v>224</v>
      </c>
      <c r="D23" s="18">
        <f>IF(Dati!C23="","",IF(Dati!C23&gt;1,Dati!C23/100,Dati!C23))</f>
        <v>0.16</v>
      </c>
      <c r="E23" s="18">
        <f>IF(Dati!D23="","",IF(Dati!D23&gt;1,Dati!D23/100,Dati!D23))</f>
        <v>0.8</v>
      </c>
      <c r="F23" s="18">
        <f>IF(OR(D23="",E23=""),"",IF(OR(D23&gt;1,E23&gt;1),(E23-D23)/100,E23-D23))</f>
        <v>0.64</v>
      </c>
      <c r="G23" s="17">
        <f>IF(F23="","",IF(64*F23=0,"",64*F23))</f>
        <v>40.96</v>
      </c>
      <c r="H23" s="19">
        <f>IF(Dati!E23="","",Dati!E23)</f>
        <v>41.41</v>
      </c>
      <c r="I23" s="19">
        <f>IFERROR(IF(OR(C23="",C23=0),"",H23/C23*100),"")</f>
        <v>18.486607142857142</v>
      </c>
      <c r="J23" s="20">
        <f>IF(Dati!F23="","",Dati!F23)</f>
        <v>0.2</v>
      </c>
      <c r="K23" s="19">
        <f>IF(OR(H23="",J23=""),"",IF(H23*J23=0,"",H23*J23))</f>
        <v>8.282</v>
      </c>
      <c r="L23" s="19">
        <f>IF(A23="","",IFERROR(IF(SUMPRODUCT((ISNUMBER(A$2:A23))*(A$2:A23&gt;1000)*(MONTH(IF(ISNUMBER(A$2:A23),A$2:A23,1))=MONTH(A23))*(YEAR(IF(ISNUMBER(A$2:A23),A$2:A23,1))=YEAR(A23))*IF(ISNUMBER(K$2:K23),K$2:K23,0))=0,"",SUMPRODUCT((ISNUMBER(A$2:A23))*(A$2:A23&gt;1000)*(MONTH(IF(ISNUMBER(A$2:A23),A$2:A23,1))=MONTH(A23))*(YEAR(IF(ISNUMBER(A$2:A23),A$2:A23,1))=YEAR(A23))*IF(ISNUMBER(K$2:K23),K$2:K23,0))),""))</f>
        <v>20.148</v>
      </c>
      <c r="M23" s="21">
        <f>IF(A23="","",IFERROR(IF(SUMIF(N$2:N23,"CASA",K$2:K23)=0,"",SUMIF(N$2:N23,"CASA",K$2:K23)),""))</f>
        <v>83.717200000000005</v>
      </c>
      <c r="N23" s="17" t="str">
        <f>IF(J23="","",IF(J23=0.2,"CASA",IF(Dati!G23="","",Dati!G23)))</f>
        <v>CASA</v>
      </c>
    </row>
    <row r="24" spans="1:14" ht="15" customHeight="1" x14ac:dyDescent="0.2">
      <c r="A24" s="23">
        <f>IF(Dati!A24="","",Dati!A24)</f>
        <v>46156</v>
      </c>
      <c r="B24" s="17">
        <f>IF(Dati!B24="","",Dati!B24)</f>
        <v>3615</v>
      </c>
      <c r="C24" s="17">
        <f>IF(B24="","",IF(ISNUMBER(B23),IF(B24-B23&lt;0,B24,IF(B24-B23=0,"",B24-B23)),B24))</f>
        <v>156</v>
      </c>
      <c r="D24" s="18">
        <f>IF(Dati!C24="","",IF(Dati!C24&gt;1,Dati!C24/100,Dati!C24))</f>
        <v>0.36</v>
      </c>
      <c r="E24" s="18">
        <f>IF(Dati!D24="","",IF(Dati!D24&gt;1,Dati!D24/100,Dati!D24))</f>
        <v>0.8</v>
      </c>
      <c r="F24" s="18">
        <f>IF(OR(D24="",E24=""),"",IF(OR(D24&gt;1,E24&gt;1),(E24-D24)/100,E24-D24))</f>
        <v>0.44000000000000006</v>
      </c>
      <c r="G24" s="17">
        <f>IF(F24="","",IF(64*F24=0,"",64*F24))</f>
        <v>28.160000000000004</v>
      </c>
      <c r="H24" s="19">
        <f>IF(Dati!E24="","",Dati!E24)</f>
        <v>29.17</v>
      </c>
      <c r="I24" s="19">
        <f>IFERROR(IF(OR(C24="",C24=0),"",H24/C24*100),"")</f>
        <v>18.698717948717949</v>
      </c>
      <c r="J24" s="20">
        <f>IF(Dati!F24="","",Dati!F24)</f>
        <v>0.2</v>
      </c>
      <c r="K24" s="19">
        <f>IF(OR(H24="",J24=""),"",IF(H24*J24=0,"",H24*J24))</f>
        <v>5.8340000000000005</v>
      </c>
      <c r="L24" s="19">
        <f>IF(A24="","",IFERROR(IF(SUMPRODUCT((ISNUMBER(A$2:A24))*(A$2:A24&gt;1000)*(MONTH(IF(ISNUMBER(A$2:A24),A$2:A24,1))=MONTH(A24))*(YEAR(IF(ISNUMBER(A$2:A24),A$2:A24,1))=YEAR(A24))*IF(ISNUMBER(K$2:K24),K$2:K24,0))=0,"",SUMPRODUCT((ISNUMBER(A$2:A24))*(A$2:A24&gt;1000)*(MONTH(IF(ISNUMBER(A$2:A24),A$2:A24,1))=MONTH(A24))*(YEAR(IF(ISNUMBER(A$2:A24),A$2:A24,1))=YEAR(A24))*IF(ISNUMBER(K$2:K24),K$2:K24,0))),""))</f>
        <v>25.981999999999999</v>
      </c>
      <c r="M24" s="21">
        <f>IF(A24="","",IFERROR(IF(SUMIF(N$2:N24,"CASA",K$2:K24)=0,"",SUMIF(N$2:N24,"CASA",K$2:K24)),""))</f>
        <v>89.551200000000009</v>
      </c>
      <c r="N24" s="17" t="str">
        <f>IF(J24="","",IF(J24=0.2,"CASA",IF(Dati!G24="","",Dati!G24)))</f>
        <v>CASA</v>
      </c>
    </row>
    <row r="25" spans="1:14" ht="15" customHeight="1" x14ac:dyDescent="0.2">
      <c r="A25" s="23">
        <f>IF(Dati!A25="","",Dati!A25)</f>
        <v>46161</v>
      </c>
      <c r="B25" s="17">
        <f>IF(Dati!B25="","",Dati!B25)</f>
        <v>3814</v>
      </c>
      <c r="C25" s="17">
        <f>IF(B25="","",IF(ISNUMBER(B24),IF(B25-B24&lt;0,B25,IF(B25-B24=0,"",B25-B24)),B25))</f>
        <v>199</v>
      </c>
      <c r="D25" s="18">
        <f>IF(Dati!C25="","",IF(Dati!C25&gt;1,Dati!C25/100,Dati!C25))</f>
        <v>0.17</v>
      </c>
      <c r="E25" s="18">
        <f>IF(Dati!D25="","",IF(Dati!D25&gt;1,Dati!D25/100,Dati!D25))</f>
        <v>0.42</v>
      </c>
      <c r="F25" s="18">
        <f>IF(OR(D25="",E25=""),"",IF(OR(D25&gt;1,E25&gt;1),(E25-D25)/100,E25-D25))</f>
        <v>0.24999999999999997</v>
      </c>
      <c r="G25" s="17">
        <f>IF(F25="","",IF(64*F25=0,"",64*F25))</f>
        <v>15.999999999999998</v>
      </c>
      <c r="H25" s="19">
        <f>IF(Dati!E25="","",Dati!E25)</f>
        <v>16.37</v>
      </c>
      <c r="I25" s="19">
        <f>IFERROR(IF(OR(C25="",C25=0),"",H25/C25*100),"")</f>
        <v>8.226130653266333</v>
      </c>
      <c r="J25" s="20">
        <f>IF(Dati!F25="","",Dati!F25)</f>
        <v>0.61</v>
      </c>
      <c r="K25" s="19">
        <f>IF(OR(H25="",J25=""),"",IF(H25*J25=0,"",H25*J25))</f>
        <v>9.9856999999999996</v>
      </c>
      <c r="L25" s="19">
        <f>IF(A25="","",IFERROR(IF(SUMPRODUCT((ISNUMBER(A$2:A25))*(A$2:A25&gt;1000)*(MONTH(IF(ISNUMBER(A$2:A25),A$2:A25,1))=MONTH(A25))*(YEAR(IF(ISNUMBER(A$2:A25),A$2:A25,1))=YEAR(A25))*IF(ISNUMBER(K$2:K25),K$2:K25,0))=0,"",SUMPRODUCT((ISNUMBER(A$2:A25))*(A$2:A25&gt;1000)*(MONTH(IF(ISNUMBER(A$2:A25),A$2:A25,1))=MONTH(A25))*(YEAR(IF(ISNUMBER(A$2:A25),A$2:A25,1))=YEAR(A25))*IF(ISNUMBER(K$2:K25),K$2:K25,0))),""))</f>
        <v>35.967700000000001</v>
      </c>
      <c r="M25" s="21">
        <f>IF(A25="","",IFERROR(IF(SUMIF(N$2:N25,"CASA",K$2:K25)=0,"",SUMIF(N$2:N25,"CASA",K$2:K25)),""))</f>
        <v>89.551200000000009</v>
      </c>
      <c r="N25" s="17" t="str">
        <f>IF(J25="","",IF(J25=0.2,"CASA",IF(Dati!G25="","",Dati!G25)))</f>
        <v>ENEL X POMIGLIANO</v>
      </c>
    </row>
    <row r="26" spans="1:14" ht="15" customHeight="1" x14ac:dyDescent="0.2">
      <c r="A26" s="23">
        <f>IF(Dati!A26="","",Dati!A26)</f>
        <v>46161</v>
      </c>
      <c r="B26" s="17">
        <f>IF(Dati!B26="","",Dati!B26)</f>
        <v>3869</v>
      </c>
      <c r="C26" s="17">
        <f>IF(B26="","",IF(ISNUMBER(B25),IF(B26-B25&lt;0,B26,IF(B26-B25=0,"",B26-B25)),B26))</f>
        <v>55</v>
      </c>
      <c r="D26" s="18">
        <f>IF(Dati!C26="","",IF(Dati!C26&gt;1,Dati!C26/100,Dati!C26))</f>
        <v>0.3</v>
      </c>
      <c r="E26" s="18">
        <f>IF(Dati!D26="","",IF(Dati!D26&gt;1,Dati!D26/100,Dati!D26))</f>
        <v>0.8</v>
      </c>
      <c r="F26" s="18">
        <f>IF(OR(D26="",E26=""),"",IF(OR(D26&gt;1,E26&gt;1),(E26-D26)/100,E26-D26))</f>
        <v>0.5</v>
      </c>
      <c r="G26" s="17">
        <f>IF(F26="","",IF(64*F26=0,"",64*F26))</f>
        <v>32</v>
      </c>
      <c r="H26" s="19">
        <f>IF(Dati!E26="","",Dati!E26)</f>
        <v>33.07</v>
      </c>
      <c r="I26" s="19">
        <f>IFERROR(IF(OR(C26="",C26=0),"",H26/C26*100),"")</f>
        <v>60.127272727272732</v>
      </c>
      <c r="J26" s="20">
        <f>IF(Dati!F26="","",Dati!F26)</f>
        <v>0.2</v>
      </c>
      <c r="K26" s="19">
        <f>IF(OR(H26="",J26=""),"",IF(H26*J26=0,"",H26*J26))</f>
        <v>6.6140000000000008</v>
      </c>
      <c r="L26" s="19">
        <f>IF(A26="","",IFERROR(IF(SUMPRODUCT((ISNUMBER(A$2:A26))*(A$2:A26&gt;1000)*(MONTH(IF(ISNUMBER(A$2:A26),A$2:A26,1))=MONTH(A26))*(YEAR(IF(ISNUMBER(A$2:A26),A$2:A26,1))=YEAR(A26))*IF(ISNUMBER(K$2:K26),K$2:K26,0))=0,"",SUMPRODUCT((ISNUMBER(A$2:A26))*(A$2:A26&gt;1000)*(MONTH(IF(ISNUMBER(A$2:A26),A$2:A26,1))=MONTH(A26))*(YEAR(IF(ISNUMBER(A$2:A26),A$2:A26,1))=YEAR(A26))*IF(ISNUMBER(K$2:K26),K$2:K26,0))),""))</f>
        <v>42.581699999999998</v>
      </c>
      <c r="M26" s="21">
        <f>IF(A26="","",IFERROR(IF(SUMIF(N$2:N26,"CASA",K$2:K26)=0,"",SUMIF(N$2:N26,"CASA",K$2:K26)),""))</f>
        <v>96.165200000000013</v>
      </c>
      <c r="N26" s="17" t="str">
        <f>IF(J26="","",IF(J26=0.2,"CASA",IF(Dati!G26="","",Dati!G26)))</f>
        <v>CASA</v>
      </c>
    </row>
    <row r="27" spans="1:14" ht="15" customHeight="1" x14ac:dyDescent="0.2">
      <c r="A27" s="23" t="str">
        <f>IF(Dati!A27="","",Dati!A27)</f>
        <v/>
      </c>
      <c r="B27" s="17" t="str">
        <f>IF(Dati!B27="","",Dati!B27)</f>
        <v/>
      </c>
      <c r="C27" s="17" t="str">
        <f>IF(B27="","",IF(ISNUMBER(B26),IF(B27-B26&lt;0,B27,IF(B27-B26=0,"",B27-B26)),B27))</f>
        <v/>
      </c>
      <c r="D27" s="18" t="str">
        <f>IF(Dati!C27="","",IF(Dati!C27&gt;1,Dati!C27/100,Dati!C27))</f>
        <v/>
      </c>
      <c r="E27" s="18" t="str">
        <f>IF(Dati!D27="","",IF(Dati!D27&gt;1,Dati!D27/100,Dati!D27))</f>
        <v/>
      </c>
      <c r="F27" s="18" t="str">
        <f>IF(OR(D27="",E27=""),"",IF(OR(D27&gt;1,E27&gt;1),(E27-D27)/100,E27-D27))</f>
        <v/>
      </c>
      <c r="G27" s="17" t="str">
        <f>IF(F27="","",IF(64*F27=0,"",64*F27))</f>
        <v/>
      </c>
      <c r="H27" s="19" t="str">
        <f>IF(Dati!E27="","",Dati!E27)</f>
        <v/>
      </c>
      <c r="I27" s="19" t="str">
        <f>IFERROR(IF(OR(C27="",C27=0),"",H27/C27*100),"")</f>
        <v/>
      </c>
      <c r="J27" s="20" t="str">
        <f>IF(Dati!F27="","",Dati!F27)</f>
        <v/>
      </c>
      <c r="K27" s="19" t="str">
        <f>IF(OR(H27="",J27=""),"",IF(H27*J27=0,"",H27*J27))</f>
        <v/>
      </c>
      <c r="L27" s="19" t="str">
        <f>IF(A27="","",IFERROR(IF(SUMPRODUCT((ISNUMBER(A$2:A27))*(A$2:A27&gt;1000)*(MONTH(IF(ISNUMBER(A$2:A27),A$2:A27,1))=MONTH(A27))*(YEAR(IF(ISNUMBER(A$2:A27),A$2:A27,1))=YEAR(A27))*IF(ISNUMBER(K$2:K27),K$2:K27,0))=0,"",SUMPRODUCT((ISNUMBER(A$2:A27))*(A$2:A27&gt;1000)*(MONTH(IF(ISNUMBER(A$2:A27),A$2:A27,1))=MONTH(A27))*(YEAR(IF(ISNUMBER(A$2:A27),A$2:A27,1))=YEAR(A27))*IF(ISNUMBER(K$2:K27),K$2:K27,0))),""))</f>
        <v/>
      </c>
      <c r="M27" s="21" t="str">
        <f>IF(A27="","",IFERROR(IF(SUMIF(N$2:N27,"CASA",K$2:K27)=0,"",SUMIF(N$2:N27,"CASA",K$2:K27)),""))</f>
        <v/>
      </c>
      <c r="N27" s="17" t="str">
        <f>IF(J27="","",IF(J27=0.2,"CASA",IF(Dati!G27="","",Dati!G27)))</f>
        <v/>
      </c>
    </row>
    <row r="28" spans="1:14" ht="15" customHeight="1" x14ac:dyDescent="0.2">
      <c r="A28" s="23" t="str">
        <f>IF(Dati!A28="","",Dati!A28)</f>
        <v/>
      </c>
      <c r="B28" s="17" t="str">
        <f>IF(Dati!B28="","",Dati!B28)</f>
        <v/>
      </c>
      <c r="C28" s="17" t="str">
        <f>IF(B28="","",IF(ISNUMBER(B27),IF(B28-B27&lt;0,B28,IF(B28-B27=0,"",B28-B27)),B28))</f>
        <v/>
      </c>
      <c r="D28" s="18" t="str">
        <f>IF(Dati!C28="","",IF(Dati!C28&gt;1,Dati!C28/100,Dati!C28))</f>
        <v/>
      </c>
      <c r="E28" s="18" t="str">
        <f>IF(Dati!D28="","",IF(Dati!D28&gt;1,Dati!D28/100,Dati!D28))</f>
        <v/>
      </c>
      <c r="F28" s="18" t="str">
        <f>IF(OR(D28="",E28=""),"",IF(OR(D28&gt;1,E28&gt;1),(E28-D28)/100,E28-D28))</f>
        <v/>
      </c>
      <c r="G28" s="17" t="str">
        <f>IF(F28="","",IF(64*F28=0,"",64*F28))</f>
        <v/>
      </c>
      <c r="H28" s="19" t="str">
        <f>IF(Dati!E28="","",Dati!E28)</f>
        <v/>
      </c>
      <c r="I28" s="19" t="str">
        <f>IFERROR(IF(OR(C28="",C28=0),"",H28/C28*100),"")</f>
        <v/>
      </c>
      <c r="J28" s="20" t="str">
        <f>IF(Dati!F28="","",Dati!F28)</f>
        <v/>
      </c>
      <c r="K28" s="19" t="str">
        <f>IF(OR(H28="",J28=""),"",IF(H28*J28=0,"",H28*J28))</f>
        <v/>
      </c>
      <c r="L28" s="19" t="str">
        <f>IF(A28="","",IFERROR(IF(SUMPRODUCT((ISNUMBER(A$2:A28))*(A$2:A28&gt;1000)*(MONTH(IF(ISNUMBER(A$2:A28),A$2:A28,1))=MONTH(A28))*(YEAR(IF(ISNUMBER(A$2:A28),A$2:A28,1))=YEAR(A28))*IF(ISNUMBER(K$2:K28),K$2:K28,0))=0,"",SUMPRODUCT((ISNUMBER(A$2:A28))*(A$2:A28&gt;1000)*(MONTH(IF(ISNUMBER(A$2:A28),A$2:A28,1))=MONTH(A28))*(YEAR(IF(ISNUMBER(A$2:A28),A$2:A28,1))=YEAR(A28))*IF(ISNUMBER(K$2:K28),K$2:K28,0))),""))</f>
        <v/>
      </c>
      <c r="M28" s="21" t="str">
        <f>IF(A28="","",IFERROR(IF(SUMIF(N$2:N28,"CASA",K$2:K28)=0,"",SUMIF(N$2:N28,"CASA",K$2:K28)),""))</f>
        <v/>
      </c>
      <c r="N28" s="17" t="str">
        <f>IF(J28="","",IF(J28=0.2,"CASA",IF(Dati!G28="","",Dati!G28)))</f>
        <v/>
      </c>
    </row>
    <row r="29" spans="1:14" ht="15" customHeight="1" x14ac:dyDescent="0.2">
      <c r="A29" s="23" t="str">
        <f>IF(Dati!A29="","",Dati!A29)</f>
        <v/>
      </c>
      <c r="B29" s="17" t="str">
        <f>IF(Dati!B29="","",Dati!B29)</f>
        <v/>
      </c>
      <c r="C29" s="17" t="str">
        <f>IF(B29="","",IF(ISNUMBER(B28),IF(B29-B28&lt;0,B29,IF(B29-B28=0,"",B29-B28)),B29))</f>
        <v/>
      </c>
      <c r="D29" s="18" t="str">
        <f>IF(Dati!C29="","",IF(Dati!C29&gt;1,Dati!C29/100,Dati!C29))</f>
        <v/>
      </c>
      <c r="E29" s="18" t="str">
        <f>IF(Dati!D29="","",IF(Dati!D29&gt;1,Dati!D29/100,Dati!D29))</f>
        <v/>
      </c>
      <c r="F29" s="18" t="str">
        <f>IF(OR(D29="",E29=""),"",IF(OR(D29&gt;1,E29&gt;1),(E29-D29)/100,E29-D29))</f>
        <v/>
      </c>
      <c r="G29" s="17" t="str">
        <f>IF(F29="","",IF(64*F29=0,"",64*F29))</f>
        <v/>
      </c>
      <c r="H29" s="19" t="str">
        <f>IF(Dati!E29="","",Dati!E29)</f>
        <v/>
      </c>
      <c r="I29" s="19" t="str">
        <f>IFERROR(IF(OR(C29="",C29=0),"",H29/C29*100),"")</f>
        <v/>
      </c>
      <c r="J29" s="20" t="str">
        <f>IF(Dati!F29="","",Dati!F29)</f>
        <v/>
      </c>
      <c r="K29" s="19" t="str">
        <f>IF(OR(H29="",J29=""),"",IF(H29*J29=0,"",H29*J29))</f>
        <v/>
      </c>
      <c r="L29" s="19" t="str">
        <f>IF(A29="","",IFERROR(IF(SUMPRODUCT((ISNUMBER(A$2:A29))*(A$2:A29&gt;1000)*(MONTH(IF(ISNUMBER(A$2:A29),A$2:A29,1))=MONTH(A29))*(YEAR(IF(ISNUMBER(A$2:A29),A$2:A29,1))=YEAR(A29))*IF(ISNUMBER(K$2:K29),K$2:K29,0))=0,"",SUMPRODUCT((ISNUMBER(A$2:A29))*(A$2:A29&gt;1000)*(MONTH(IF(ISNUMBER(A$2:A29),A$2:A29,1))=MONTH(A29))*(YEAR(IF(ISNUMBER(A$2:A29),A$2:A29,1))=YEAR(A29))*IF(ISNUMBER(K$2:K29),K$2:K29,0))),""))</f>
        <v/>
      </c>
      <c r="M29" s="21" t="str">
        <f>IF(A29="","",IFERROR(IF(SUMIF(N$2:N29,"CASA",K$2:K29)=0,"",SUMIF(N$2:N29,"CASA",K$2:K29)),""))</f>
        <v/>
      </c>
      <c r="N29" s="17" t="str">
        <f>IF(J29="","",IF(J29=0.2,"CASA",IF(Dati!G29="","",Dati!G29)))</f>
        <v/>
      </c>
    </row>
    <row r="30" spans="1:14" ht="15" customHeight="1" x14ac:dyDescent="0.2">
      <c r="A30" s="23" t="str">
        <f>IF(Dati!A30="","",Dati!A30)</f>
        <v/>
      </c>
      <c r="B30" s="17" t="str">
        <f>IF(Dati!B30="","",Dati!B30)</f>
        <v/>
      </c>
      <c r="C30" s="17" t="str">
        <f>IF(B30="","",IF(ISNUMBER(B29),IF(B30-B29&lt;0,B30,IF(B30-B29=0,"",B30-B29)),B30))</f>
        <v/>
      </c>
      <c r="D30" s="18" t="str">
        <f>IF(Dati!C30="","",IF(Dati!C30&gt;1,Dati!C30/100,Dati!C30))</f>
        <v/>
      </c>
      <c r="E30" s="18" t="str">
        <f>IF(Dati!D30="","",IF(Dati!D30&gt;1,Dati!D30/100,Dati!D30))</f>
        <v/>
      </c>
      <c r="F30" s="18" t="str">
        <f>IF(OR(D30="",E30=""),"",IF(OR(D30&gt;1,E30&gt;1),(E30-D30)/100,E30-D30))</f>
        <v/>
      </c>
      <c r="G30" s="17" t="str">
        <f>IF(F30="","",IF(64*F30=0,"",64*F30))</f>
        <v/>
      </c>
      <c r="H30" s="19" t="str">
        <f>IF(Dati!E30="","",Dati!E30)</f>
        <v/>
      </c>
      <c r="I30" s="19" t="str">
        <f>IFERROR(IF(OR(C30="",C30=0),"",H30/C30*100),"")</f>
        <v/>
      </c>
      <c r="J30" s="20" t="str">
        <f>IF(Dati!F30="","",Dati!F30)</f>
        <v/>
      </c>
      <c r="K30" s="19" t="str">
        <f>IF(OR(H30="",J30=""),"",IF(H30*J30=0,"",H30*J30))</f>
        <v/>
      </c>
      <c r="L30" s="19" t="str">
        <f>IF(A30="","",IFERROR(IF(SUMPRODUCT((ISNUMBER(A$2:A30))*(A$2:A30&gt;1000)*(MONTH(IF(ISNUMBER(A$2:A30),A$2:A30,1))=MONTH(A30))*(YEAR(IF(ISNUMBER(A$2:A30),A$2:A30,1))=YEAR(A30))*IF(ISNUMBER(K$2:K30),K$2:K30,0))=0,"",SUMPRODUCT((ISNUMBER(A$2:A30))*(A$2:A30&gt;1000)*(MONTH(IF(ISNUMBER(A$2:A30),A$2:A30,1))=MONTH(A30))*(YEAR(IF(ISNUMBER(A$2:A30),A$2:A30,1))=YEAR(A30))*IF(ISNUMBER(K$2:K30),K$2:K30,0))),""))</f>
        <v/>
      </c>
      <c r="M30" s="21" t="str">
        <f>IF(A30="","",IFERROR(IF(SUMIF(N$2:N30,"CASA",K$2:K30)=0,"",SUMIF(N$2:N30,"CASA",K$2:K30)),""))</f>
        <v/>
      </c>
      <c r="N30" s="17" t="str">
        <f>IF(J30="","",IF(J30=0.2,"CASA",IF(Dati!G30="","",Dati!G30)))</f>
        <v/>
      </c>
    </row>
    <row r="31" spans="1:14" ht="15" customHeight="1" x14ac:dyDescent="0.2">
      <c r="A31" s="23" t="str">
        <f>IF(Dati!A31="","",Dati!A31)</f>
        <v/>
      </c>
      <c r="B31" s="17" t="str">
        <f>IF(Dati!B31="","",Dati!B31)</f>
        <v/>
      </c>
      <c r="C31" s="17" t="str">
        <f>IF(B31="","",IF(ISNUMBER(B30),IF(B31-B30&lt;0,B31,IF(B31-B30=0,"",B31-B30)),B31))</f>
        <v/>
      </c>
      <c r="D31" s="18" t="str">
        <f>IF(Dati!C31="","",IF(Dati!C31&gt;1,Dati!C31/100,Dati!C31))</f>
        <v/>
      </c>
      <c r="E31" s="18" t="str">
        <f>IF(Dati!D31="","",IF(Dati!D31&gt;1,Dati!D31/100,Dati!D31))</f>
        <v/>
      </c>
      <c r="F31" s="18" t="str">
        <f>IF(OR(D31="",E31=""),"",IF(OR(D31&gt;1,E31&gt;1),(E31-D31)/100,E31-D31))</f>
        <v/>
      </c>
      <c r="G31" s="17" t="str">
        <f>IF(F31="","",IF(64*F31=0,"",64*F31))</f>
        <v/>
      </c>
      <c r="H31" s="19" t="str">
        <f>IF(Dati!E31="","",Dati!E31)</f>
        <v/>
      </c>
      <c r="I31" s="19" t="str">
        <f>IFERROR(IF(OR(C31="",C31=0),"",H31/C31*100),"")</f>
        <v/>
      </c>
      <c r="J31" s="20" t="str">
        <f>IF(Dati!F31="","",Dati!F31)</f>
        <v/>
      </c>
      <c r="K31" s="19" t="str">
        <f>IF(OR(H31="",J31=""),"",IF(H31*J31=0,"",H31*J31))</f>
        <v/>
      </c>
      <c r="L31" s="19" t="str">
        <f>IF(A31="","",IFERROR(IF(SUMPRODUCT((ISNUMBER(A$2:A31))*(A$2:A31&gt;1000)*(MONTH(IF(ISNUMBER(A$2:A31),A$2:A31,1))=MONTH(A31))*(YEAR(IF(ISNUMBER(A$2:A31),A$2:A31,1))=YEAR(A31))*IF(ISNUMBER(K$2:K31),K$2:K31,0))=0,"",SUMPRODUCT((ISNUMBER(A$2:A31))*(A$2:A31&gt;1000)*(MONTH(IF(ISNUMBER(A$2:A31),A$2:A31,1))=MONTH(A31))*(YEAR(IF(ISNUMBER(A$2:A31),A$2:A31,1))=YEAR(A31))*IF(ISNUMBER(K$2:K31),K$2:K31,0))),""))</f>
        <v/>
      </c>
      <c r="M31" s="21" t="str">
        <f>IF(A31="","",IFERROR(IF(SUMIF(N$2:N31,"CASA",K$2:K31)=0,"",SUMIF(N$2:N31,"CASA",K$2:K31)),""))</f>
        <v/>
      </c>
      <c r="N31" s="17" t="str">
        <f>IF(J31="","",IF(J31=0.2,"CASA",IF(Dati!G31="","",Dati!G31)))</f>
        <v/>
      </c>
    </row>
    <row r="32" spans="1:14" ht="15" customHeight="1" x14ac:dyDescent="0.2">
      <c r="A32" s="23" t="str">
        <f>IF(Dati!A32="","",Dati!A32)</f>
        <v/>
      </c>
      <c r="B32" s="17" t="str">
        <f>IF(Dati!B32="","",Dati!B32)</f>
        <v/>
      </c>
      <c r="C32" s="17" t="str">
        <f>IF(B32="","",IF(ISNUMBER(B31),IF(B32-B31&lt;0,B32,IF(B32-B31=0,"",B32-B31)),B32))</f>
        <v/>
      </c>
      <c r="D32" s="18" t="str">
        <f>IF(Dati!C32="","",IF(Dati!C32&gt;1,Dati!C32/100,Dati!C32))</f>
        <v/>
      </c>
      <c r="E32" s="18" t="str">
        <f>IF(Dati!D32="","",IF(Dati!D32&gt;1,Dati!D32/100,Dati!D32))</f>
        <v/>
      </c>
      <c r="F32" s="18" t="str">
        <f>IF(OR(D32="",E32=""),"",IF(OR(D32&gt;1,E32&gt;1),(E32-D32)/100,E32-D32))</f>
        <v/>
      </c>
      <c r="G32" s="17" t="str">
        <f>IF(F32="","",IF(64*F32=0,"",64*F32))</f>
        <v/>
      </c>
      <c r="H32" s="19" t="str">
        <f>IF(Dati!E32="","",Dati!E32)</f>
        <v/>
      </c>
      <c r="I32" s="19" t="str">
        <f>IFERROR(IF(OR(C32="",C32=0),"",H32/C32*100),"")</f>
        <v/>
      </c>
      <c r="J32" s="20" t="str">
        <f>IF(Dati!F32="","",Dati!F32)</f>
        <v/>
      </c>
      <c r="K32" s="19" t="str">
        <f>IF(OR(H32="",J32=""),"",IF(H32*J32=0,"",H32*J32))</f>
        <v/>
      </c>
      <c r="L32" s="19" t="str">
        <f>IF(A32="","",IFERROR(IF(SUMPRODUCT((ISNUMBER(A$2:A32))*(A$2:A32&gt;1000)*(MONTH(IF(ISNUMBER(A$2:A32),A$2:A32,1))=MONTH(A32))*(YEAR(IF(ISNUMBER(A$2:A32),A$2:A32,1))=YEAR(A32))*IF(ISNUMBER(K$2:K32),K$2:K32,0))=0,"",SUMPRODUCT((ISNUMBER(A$2:A32))*(A$2:A32&gt;1000)*(MONTH(IF(ISNUMBER(A$2:A32),A$2:A32,1))=MONTH(A32))*(YEAR(IF(ISNUMBER(A$2:A32),A$2:A32,1))=YEAR(A32))*IF(ISNUMBER(K$2:K32),K$2:K32,0))),""))</f>
        <v/>
      </c>
      <c r="M32" s="21" t="str">
        <f>IF(A32="","",IFERROR(IF(SUMIF(N$2:N32,"CASA",K$2:K32)=0,"",SUMIF(N$2:N32,"CASA",K$2:K32)),""))</f>
        <v/>
      </c>
      <c r="N32" s="17" t="str">
        <f>IF(J32="","",IF(J32=0.2,"CASA",IF(Dati!G32="","",Dati!G32)))</f>
        <v/>
      </c>
    </row>
    <row r="33" spans="1:14" ht="15" customHeight="1" x14ac:dyDescent="0.2">
      <c r="A33" s="23" t="str">
        <f>IF(Dati!A33="","",Dati!A33)</f>
        <v/>
      </c>
      <c r="B33" s="17" t="str">
        <f>IF(Dati!B33="","",Dati!B33)</f>
        <v/>
      </c>
      <c r="C33" s="17" t="str">
        <f>IF(B33="","",IF(ISNUMBER(B32),IF(B33-B32&lt;0,B33,IF(B33-B32=0,"",B33-B32)),B33))</f>
        <v/>
      </c>
      <c r="D33" s="18" t="str">
        <f>IF(Dati!C33="","",IF(Dati!C33&gt;1,Dati!C33/100,Dati!C33))</f>
        <v/>
      </c>
      <c r="E33" s="18" t="str">
        <f>IF(Dati!D33="","",IF(Dati!D33&gt;1,Dati!D33/100,Dati!D33))</f>
        <v/>
      </c>
      <c r="F33" s="18" t="str">
        <f>IF(OR(D33="",E33=""),"",IF(OR(D33&gt;1,E33&gt;1),(E33-D33)/100,E33-D33))</f>
        <v/>
      </c>
      <c r="G33" s="17" t="str">
        <f>IF(F33="","",IF(64*F33=0,"",64*F33))</f>
        <v/>
      </c>
      <c r="H33" s="19" t="str">
        <f>IF(Dati!E33="","",Dati!E33)</f>
        <v/>
      </c>
      <c r="I33" s="19" t="str">
        <f>IFERROR(IF(OR(C33="",C33=0),"",H33/C33*100),"")</f>
        <v/>
      </c>
      <c r="J33" s="20" t="str">
        <f>IF(Dati!F33="","",Dati!F33)</f>
        <v/>
      </c>
      <c r="K33" s="19" t="str">
        <f>IF(OR(H33="",J33=""),"",IF(H33*J33=0,"",H33*J33))</f>
        <v/>
      </c>
      <c r="L33" s="19" t="str">
        <f>IF(A33="","",IFERROR(IF(SUMPRODUCT((ISNUMBER(A$2:A33))*(A$2:A33&gt;1000)*(MONTH(IF(ISNUMBER(A$2:A33),A$2:A33,1))=MONTH(A33))*(YEAR(IF(ISNUMBER(A$2:A33),A$2:A33,1))=YEAR(A33))*IF(ISNUMBER(K$2:K33),K$2:K33,0))=0,"",SUMPRODUCT((ISNUMBER(A$2:A33))*(A$2:A33&gt;1000)*(MONTH(IF(ISNUMBER(A$2:A33),A$2:A33,1))=MONTH(A33))*(YEAR(IF(ISNUMBER(A$2:A33),A$2:A33,1))=YEAR(A33))*IF(ISNUMBER(K$2:K33),K$2:K33,0))),""))</f>
        <v/>
      </c>
      <c r="M33" s="21" t="str">
        <f>IF(A33="","",IFERROR(IF(SUMIF(N$2:N33,"CASA",K$2:K33)=0,"",SUMIF(N$2:N33,"CASA",K$2:K33)),""))</f>
        <v/>
      </c>
      <c r="N33" s="17" t="str">
        <f>IF(J33="","",IF(J33=0.2,"CASA",IF(Dati!G33="","",Dati!G33)))</f>
        <v/>
      </c>
    </row>
    <row r="34" spans="1:14" ht="15" customHeight="1" x14ac:dyDescent="0.2">
      <c r="A34" s="23" t="str">
        <f>IF(Dati!A34="","",Dati!A34)</f>
        <v/>
      </c>
      <c r="B34" s="17" t="str">
        <f>IF(Dati!B34="","",Dati!B34)</f>
        <v/>
      </c>
      <c r="C34" s="17" t="str">
        <f>IF(B34="","",IF(ISNUMBER(B33),IF(B34-B33&lt;0,B34,IF(B34-B33=0,"",B34-B33)),B34))</f>
        <v/>
      </c>
      <c r="D34" s="18" t="str">
        <f>IF(Dati!C34="","",IF(Dati!C34&gt;1,Dati!C34/100,Dati!C34))</f>
        <v/>
      </c>
      <c r="E34" s="18" t="str">
        <f>IF(Dati!D34="","",IF(Dati!D34&gt;1,Dati!D34/100,Dati!D34))</f>
        <v/>
      </c>
      <c r="F34" s="18" t="str">
        <f>IF(OR(D34="",E34=""),"",IF(OR(D34&gt;1,E34&gt;1),(E34-D34)/100,E34-D34))</f>
        <v/>
      </c>
      <c r="G34" s="17" t="str">
        <f>IF(F34="","",IF(64*F34=0,"",64*F34))</f>
        <v/>
      </c>
      <c r="H34" s="19" t="str">
        <f>IF(Dati!E34="","",Dati!E34)</f>
        <v/>
      </c>
      <c r="I34" s="19" t="str">
        <f>IFERROR(IF(OR(C34="",C34=0),"",H34/C34*100),"")</f>
        <v/>
      </c>
      <c r="J34" s="20" t="str">
        <f>IF(Dati!F34="","",Dati!F34)</f>
        <v/>
      </c>
      <c r="K34" s="19" t="str">
        <f>IF(OR(H34="",J34=""),"",IF(H34*J34=0,"",H34*J34))</f>
        <v/>
      </c>
      <c r="L34" s="19" t="str">
        <f>IF(A34="","",IFERROR(IF(SUMPRODUCT((ISNUMBER(A$2:A34))*(A$2:A34&gt;1000)*(MONTH(IF(ISNUMBER(A$2:A34),A$2:A34,1))=MONTH(A34))*(YEAR(IF(ISNUMBER(A$2:A34),A$2:A34,1))=YEAR(A34))*IF(ISNUMBER(K$2:K34),K$2:K34,0))=0,"",SUMPRODUCT((ISNUMBER(A$2:A34))*(A$2:A34&gt;1000)*(MONTH(IF(ISNUMBER(A$2:A34),A$2:A34,1))=MONTH(A34))*(YEAR(IF(ISNUMBER(A$2:A34),A$2:A34,1))=YEAR(A34))*IF(ISNUMBER(K$2:K34),K$2:K34,0))),""))</f>
        <v/>
      </c>
      <c r="M34" s="21" t="str">
        <f>IF(A34="","",IFERROR(IF(SUMIF(N$2:N34,"CASA",K$2:K34)=0,"",SUMIF(N$2:N34,"CASA",K$2:K34)),""))</f>
        <v/>
      </c>
      <c r="N34" s="17" t="str">
        <f>IF(J34="","",IF(J34=0.2,"CASA",IF(Dati!G34="","",Dati!G34)))</f>
        <v/>
      </c>
    </row>
    <row r="35" spans="1:14" ht="15" customHeight="1" x14ac:dyDescent="0.2">
      <c r="A35" s="23" t="str">
        <f>IF(Dati!A35="","",Dati!A35)</f>
        <v/>
      </c>
      <c r="B35" s="17" t="str">
        <f>IF(Dati!B35="","",Dati!B35)</f>
        <v/>
      </c>
      <c r="C35" s="17" t="str">
        <f>IF(B35="","",IF(ISNUMBER(B34),IF(B35-B34&lt;0,B35,IF(B35-B34=0,"",B35-B34)),B35))</f>
        <v/>
      </c>
      <c r="D35" s="18" t="str">
        <f>IF(Dati!C35="","",IF(Dati!C35&gt;1,Dati!C35/100,Dati!C35))</f>
        <v/>
      </c>
      <c r="E35" s="18" t="str">
        <f>IF(Dati!D35="","",IF(Dati!D35&gt;1,Dati!D35/100,Dati!D35))</f>
        <v/>
      </c>
      <c r="F35" s="18" t="str">
        <f>IF(OR(D35="",E35=""),"",IF(OR(D35&gt;1,E35&gt;1),(E35-D35)/100,E35-D35))</f>
        <v/>
      </c>
      <c r="G35" s="17" t="str">
        <f>IF(F35="","",IF(64*F35=0,"",64*F35))</f>
        <v/>
      </c>
      <c r="H35" s="19" t="str">
        <f>IF(Dati!E35="","",Dati!E35)</f>
        <v/>
      </c>
      <c r="I35" s="19" t="str">
        <f>IFERROR(IF(OR(C35="",C35=0),"",H35/C35*100),"")</f>
        <v/>
      </c>
      <c r="J35" s="20" t="str">
        <f>IF(Dati!F35="","",Dati!F35)</f>
        <v/>
      </c>
      <c r="K35" s="19" t="str">
        <f>IF(OR(H35="",J35=""),"",IF(H35*J35=0,"",H35*J35))</f>
        <v/>
      </c>
      <c r="L35" s="19" t="str">
        <f>IF(A35="","",IFERROR(IF(SUMPRODUCT((ISNUMBER(A$2:A35))*(A$2:A35&gt;1000)*(MONTH(IF(ISNUMBER(A$2:A35),A$2:A35,1))=MONTH(A35))*(YEAR(IF(ISNUMBER(A$2:A35),A$2:A35,1))=YEAR(A35))*IF(ISNUMBER(K$2:K35),K$2:K35,0))=0,"",SUMPRODUCT((ISNUMBER(A$2:A35))*(A$2:A35&gt;1000)*(MONTH(IF(ISNUMBER(A$2:A35),A$2:A35,1))=MONTH(A35))*(YEAR(IF(ISNUMBER(A$2:A35),A$2:A35,1))=YEAR(A35))*IF(ISNUMBER(K$2:K35),K$2:K35,0))),""))</f>
        <v/>
      </c>
      <c r="M35" s="21" t="str">
        <f>IF(A35="","",IFERROR(IF(SUMIF(N$2:N35,"CASA",K$2:K35)=0,"",SUMIF(N$2:N35,"CASA",K$2:K35)),""))</f>
        <v/>
      </c>
      <c r="N35" s="17" t="str">
        <f>IF(J35="","",IF(J35=0.2,"CASA",IF(Dati!G35="","",Dati!G35)))</f>
        <v/>
      </c>
    </row>
    <row r="36" spans="1:14" ht="15" customHeight="1" x14ac:dyDescent="0.2">
      <c r="A36" s="23" t="str">
        <f>IF(Dati!A36="","",Dati!A36)</f>
        <v/>
      </c>
      <c r="B36" s="17" t="str">
        <f>IF(Dati!B36="","",Dati!B36)</f>
        <v/>
      </c>
      <c r="C36" s="17" t="str">
        <f>IF(B36="","",IF(ISNUMBER(B35),IF(B36-B35&lt;0,B36,IF(B36-B35=0,"",B36-B35)),B36))</f>
        <v/>
      </c>
      <c r="D36" s="18" t="str">
        <f>IF(Dati!C36="","",IF(Dati!C36&gt;1,Dati!C36/100,Dati!C36))</f>
        <v/>
      </c>
      <c r="E36" s="18" t="str">
        <f>IF(Dati!D36="","",IF(Dati!D36&gt;1,Dati!D36/100,Dati!D36))</f>
        <v/>
      </c>
      <c r="F36" s="18" t="str">
        <f>IF(OR(D36="",E36=""),"",IF(OR(D36&gt;1,E36&gt;1),(E36-D36)/100,E36-D36))</f>
        <v/>
      </c>
      <c r="G36" s="17" t="str">
        <f>IF(F36="","",IF(64*F36=0,"",64*F36))</f>
        <v/>
      </c>
      <c r="H36" s="19" t="str">
        <f>IF(Dati!E36="","",Dati!E36)</f>
        <v/>
      </c>
      <c r="I36" s="19" t="str">
        <f>IFERROR(IF(OR(C36="",C36=0),"",H36/C36*100),"")</f>
        <v/>
      </c>
      <c r="J36" s="20" t="str">
        <f>IF(Dati!F36="","",Dati!F36)</f>
        <v/>
      </c>
      <c r="K36" s="19" t="str">
        <f>IF(OR(H36="",J36=""),"",IF(H36*J36=0,"",H36*J36))</f>
        <v/>
      </c>
      <c r="L36" s="19" t="str">
        <f>IF(A36="","",IFERROR(IF(SUMPRODUCT((ISNUMBER(A$2:A36))*(A$2:A36&gt;1000)*(MONTH(IF(ISNUMBER(A$2:A36),A$2:A36,1))=MONTH(A36))*(YEAR(IF(ISNUMBER(A$2:A36),A$2:A36,1))=YEAR(A36))*IF(ISNUMBER(K$2:K36),K$2:K36,0))=0,"",SUMPRODUCT((ISNUMBER(A$2:A36))*(A$2:A36&gt;1000)*(MONTH(IF(ISNUMBER(A$2:A36),A$2:A36,1))=MONTH(A36))*(YEAR(IF(ISNUMBER(A$2:A36),A$2:A36,1))=YEAR(A36))*IF(ISNUMBER(K$2:K36),K$2:K36,0))),""))</f>
        <v/>
      </c>
      <c r="M36" s="21" t="str">
        <f>IF(A36="","",IFERROR(IF(SUMIF(N$2:N36,"CASA",K$2:K36)=0,"",SUMIF(N$2:N36,"CASA",K$2:K36)),""))</f>
        <v/>
      </c>
      <c r="N36" s="17" t="str">
        <f>IF(J36="","",IF(J36=0.2,"CASA",IF(Dati!G36="","",Dati!G36)))</f>
        <v/>
      </c>
    </row>
    <row r="37" spans="1:14" ht="15" customHeight="1" x14ac:dyDescent="0.2">
      <c r="A37" s="23" t="str">
        <f>IF(Dati!A37="","",Dati!A37)</f>
        <v/>
      </c>
      <c r="B37" s="17" t="str">
        <f>IF(Dati!B37="","",Dati!B37)</f>
        <v/>
      </c>
      <c r="C37" s="17" t="str">
        <f>IF(B37="","",IF(ISNUMBER(B36),IF(B37-B36&lt;0,B37,IF(B37-B36=0,"",B37-B36)),B37))</f>
        <v/>
      </c>
      <c r="D37" s="18" t="str">
        <f>IF(Dati!C37="","",IF(Dati!C37&gt;1,Dati!C37/100,Dati!C37))</f>
        <v/>
      </c>
      <c r="E37" s="18" t="str">
        <f>IF(Dati!D37="","",IF(Dati!D37&gt;1,Dati!D37/100,Dati!D37))</f>
        <v/>
      </c>
      <c r="F37" s="18" t="str">
        <f>IF(OR(D37="",E37=""),"",IF(OR(D37&gt;1,E37&gt;1),(E37-D37)/100,E37-D37))</f>
        <v/>
      </c>
      <c r="G37" s="17" t="str">
        <f>IF(F37="","",IF(64*F37=0,"",64*F37))</f>
        <v/>
      </c>
      <c r="H37" s="19" t="str">
        <f>IF(Dati!E37="","",Dati!E37)</f>
        <v/>
      </c>
      <c r="I37" s="19" t="str">
        <f>IFERROR(IF(OR(C37="",C37=0),"",H37/C37*100),"")</f>
        <v/>
      </c>
      <c r="J37" s="20" t="str">
        <f>IF(Dati!F37="","",Dati!F37)</f>
        <v/>
      </c>
      <c r="K37" s="19" t="str">
        <f>IF(OR(H37="",J37=""),"",IF(H37*J37=0,"",H37*J37))</f>
        <v/>
      </c>
      <c r="L37" s="19" t="str">
        <f>IF(A37="","",IFERROR(IF(SUMPRODUCT((ISNUMBER(A$2:A37))*(A$2:A37&gt;1000)*(MONTH(IF(ISNUMBER(A$2:A37),A$2:A37,1))=MONTH(A37))*(YEAR(IF(ISNUMBER(A$2:A37),A$2:A37,1))=YEAR(A37))*IF(ISNUMBER(K$2:K37),K$2:K37,0))=0,"",SUMPRODUCT((ISNUMBER(A$2:A37))*(A$2:A37&gt;1000)*(MONTH(IF(ISNUMBER(A$2:A37),A$2:A37,1))=MONTH(A37))*(YEAR(IF(ISNUMBER(A$2:A37),A$2:A37,1))=YEAR(A37))*IF(ISNUMBER(K$2:K37),K$2:K37,0))),""))</f>
        <v/>
      </c>
      <c r="M37" s="21" t="str">
        <f>IF(A37="","",IFERROR(IF(SUMIF(N$2:N37,"CASA",K$2:K37)=0,"",SUMIF(N$2:N37,"CASA",K$2:K37)),""))</f>
        <v/>
      </c>
      <c r="N37" s="17" t="str">
        <f>IF(J37="","",IF(J37=0.2,"CASA",IF(Dati!G37="","",Dati!G37)))</f>
        <v/>
      </c>
    </row>
    <row r="38" spans="1:14" ht="15" customHeight="1" x14ac:dyDescent="0.2">
      <c r="A38" s="23" t="str">
        <f>IF(Dati!A38="","",Dati!A38)</f>
        <v/>
      </c>
      <c r="B38" s="17" t="str">
        <f>IF(Dati!B38="","",Dati!B38)</f>
        <v/>
      </c>
      <c r="C38" s="17" t="str">
        <f>IF(B38="","",IF(ISNUMBER(B37),IF(B38-B37&lt;0,B38,IF(B38-B37=0,"",B38-B37)),B38))</f>
        <v/>
      </c>
      <c r="D38" s="18" t="str">
        <f>IF(Dati!C38="","",IF(Dati!C38&gt;1,Dati!C38/100,Dati!C38))</f>
        <v/>
      </c>
      <c r="E38" s="18" t="str">
        <f>IF(Dati!D38="","",IF(Dati!D38&gt;1,Dati!D38/100,Dati!D38))</f>
        <v/>
      </c>
      <c r="F38" s="18" t="str">
        <f>IF(OR(D38="",E38=""),"",IF(OR(D38&gt;1,E38&gt;1),(E38-D38)/100,E38-D38))</f>
        <v/>
      </c>
      <c r="G38" s="17" t="str">
        <f>IF(F38="","",IF(64*F38=0,"",64*F38))</f>
        <v/>
      </c>
      <c r="H38" s="19" t="str">
        <f>IF(Dati!E38="","",Dati!E38)</f>
        <v/>
      </c>
      <c r="I38" s="19" t="str">
        <f>IFERROR(IF(OR(C38="",C38=0),"",H38/C38*100),"")</f>
        <v/>
      </c>
      <c r="J38" s="20" t="str">
        <f>IF(Dati!F38="","",Dati!F38)</f>
        <v/>
      </c>
      <c r="K38" s="19" t="str">
        <f>IF(OR(H38="",J38=""),"",IF(H38*J38=0,"",H38*J38))</f>
        <v/>
      </c>
      <c r="L38" s="19" t="str">
        <f>IF(A38="","",IFERROR(IF(SUMPRODUCT((ISNUMBER(A$2:A38))*(A$2:A38&gt;1000)*(MONTH(IF(ISNUMBER(A$2:A38),A$2:A38,1))=MONTH(A38))*(YEAR(IF(ISNUMBER(A$2:A38),A$2:A38,1))=YEAR(A38))*IF(ISNUMBER(K$2:K38),K$2:K38,0))=0,"",SUMPRODUCT((ISNUMBER(A$2:A38))*(A$2:A38&gt;1000)*(MONTH(IF(ISNUMBER(A$2:A38),A$2:A38,1))=MONTH(A38))*(YEAR(IF(ISNUMBER(A$2:A38),A$2:A38,1))=YEAR(A38))*IF(ISNUMBER(K$2:K38),K$2:K38,0))),""))</f>
        <v/>
      </c>
      <c r="M38" s="21" t="str">
        <f>IF(A38="","",IFERROR(IF(SUMIF(N$2:N38,"CASA",K$2:K38)=0,"",SUMIF(N$2:N38,"CASA",K$2:K38)),""))</f>
        <v/>
      </c>
      <c r="N38" s="17" t="str">
        <f>IF(J38="","",IF(J38=0.2,"CASA",IF(Dati!G38="","",Dati!G38)))</f>
        <v/>
      </c>
    </row>
    <row r="39" spans="1:14" ht="15" customHeight="1" x14ac:dyDescent="0.2">
      <c r="A39" s="23" t="str">
        <f>IF(Dati!A39="","",Dati!A39)</f>
        <v/>
      </c>
      <c r="B39" s="17" t="str">
        <f>IF(Dati!B39="","",Dati!B39)</f>
        <v/>
      </c>
      <c r="C39" s="17" t="str">
        <f>IF(B39="","",IF(ISNUMBER(B38),IF(B39-B38&lt;0,B39,IF(B39-B38=0,"",B39-B38)),B39))</f>
        <v/>
      </c>
      <c r="D39" s="18" t="str">
        <f>IF(Dati!C39="","",IF(Dati!C39&gt;1,Dati!C39/100,Dati!C39))</f>
        <v/>
      </c>
      <c r="E39" s="18" t="str">
        <f>IF(Dati!D39="","",IF(Dati!D39&gt;1,Dati!D39/100,Dati!D39))</f>
        <v/>
      </c>
      <c r="F39" s="18" t="str">
        <f>IF(OR(D39="",E39=""),"",IF(OR(D39&gt;1,E39&gt;1),(E39-D39)/100,E39-D39))</f>
        <v/>
      </c>
      <c r="G39" s="17" t="str">
        <f>IF(F39="","",IF(64*F39=0,"",64*F39))</f>
        <v/>
      </c>
      <c r="H39" s="19" t="str">
        <f>IF(Dati!E39="","",Dati!E39)</f>
        <v/>
      </c>
      <c r="I39" s="19" t="str">
        <f>IFERROR(IF(OR(C39="",C39=0),"",H39/C39*100),"")</f>
        <v/>
      </c>
      <c r="J39" s="20" t="str">
        <f>IF(Dati!F39="","",Dati!F39)</f>
        <v/>
      </c>
      <c r="K39" s="19" t="str">
        <f>IF(OR(H39="",J39=""),"",IF(H39*J39=0,"",H39*J39))</f>
        <v/>
      </c>
      <c r="L39" s="19" t="str">
        <f>IF(A39="","",IFERROR(IF(SUMPRODUCT((ISNUMBER(A$2:A39))*(A$2:A39&gt;1000)*(MONTH(IF(ISNUMBER(A$2:A39),A$2:A39,1))=MONTH(A39))*(YEAR(IF(ISNUMBER(A$2:A39),A$2:A39,1))=YEAR(A39))*IF(ISNUMBER(K$2:K39),K$2:K39,0))=0,"",SUMPRODUCT((ISNUMBER(A$2:A39))*(A$2:A39&gt;1000)*(MONTH(IF(ISNUMBER(A$2:A39),A$2:A39,1))=MONTH(A39))*(YEAR(IF(ISNUMBER(A$2:A39),A$2:A39,1))=YEAR(A39))*IF(ISNUMBER(K$2:K39),K$2:K39,0))),""))</f>
        <v/>
      </c>
      <c r="M39" s="21" t="str">
        <f>IF(A39="","",IFERROR(IF(SUMIF(N$2:N39,"CASA",K$2:K39)=0,"",SUMIF(N$2:N39,"CASA",K$2:K39)),""))</f>
        <v/>
      </c>
      <c r="N39" s="17" t="str">
        <f>IF(J39="","",IF(J39=0.2,"CASA",IF(Dati!G39="","",Dati!G39)))</f>
        <v/>
      </c>
    </row>
    <row r="40" spans="1:14" ht="15" customHeight="1" x14ac:dyDescent="0.2">
      <c r="A40" s="23" t="str">
        <f>IF(Dati!A40="","",Dati!A40)</f>
        <v/>
      </c>
      <c r="B40" s="17" t="str">
        <f>IF(Dati!B40="","",Dati!B40)</f>
        <v/>
      </c>
      <c r="C40" s="17" t="str">
        <f>IF(B40="","",IF(ISNUMBER(B39),IF(B40-B39&lt;0,B40,IF(B40-B39=0,"",B40-B39)),B40))</f>
        <v/>
      </c>
      <c r="D40" s="18" t="str">
        <f>IF(Dati!C40="","",IF(Dati!C40&gt;1,Dati!C40/100,Dati!C40))</f>
        <v/>
      </c>
      <c r="E40" s="18" t="str">
        <f>IF(Dati!D40="","",IF(Dati!D40&gt;1,Dati!D40/100,Dati!D40))</f>
        <v/>
      </c>
      <c r="F40" s="18" t="str">
        <f>IF(OR(D40="",E40=""),"",IF(OR(D40&gt;1,E40&gt;1),(E40-D40)/100,E40-D40))</f>
        <v/>
      </c>
      <c r="G40" s="17" t="str">
        <f>IF(F40="","",IF(64*F40=0,"",64*F40))</f>
        <v/>
      </c>
      <c r="H40" s="19" t="str">
        <f>IF(Dati!E40="","",Dati!E40)</f>
        <v/>
      </c>
      <c r="I40" s="19" t="str">
        <f>IFERROR(IF(OR(C40="",C40=0),"",H40/C40*100),"")</f>
        <v/>
      </c>
      <c r="J40" s="20" t="str">
        <f>IF(Dati!F40="","",Dati!F40)</f>
        <v/>
      </c>
      <c r="K40" s="19" t="str">
        <f>IF(OR(H40="",J40=""),"",IF(H40*J40=0,"",H40*J40))</f>
        <v/>
      </c>
      <c r="L40" s="19" t="str">
        <f>IF(A40="","",IFERROR(IF(SUMPRODUCT((ISNUMBER(A$2:A40))*(A$2:A40&gt;1000)*(MONTH(IF(ISNUMBER(A$2:A40),A$2:A40,1))=MONTH(A40))*(YEAR(IF(ISNUMBER(A$2:A40),A$2:A40,1))=YEAR(A40))*IF(ISNUMBER(K$2:K40),K$2:K40,0))=0,"",SUMPRODUCT((ISNUMBER(A$2:A40))*(A$2:A40&gt;1000)*(MONTH(IF(ISNUMBER(A$2:A40),A$2:A40,1))=MONTH(A40))*(YEAR(IF(ISNUMBER(A$2:A40),A$2:A40,1))=YEAR(A40))*IF(ISNUMBER(K$2:K40),K$2:K40,0))),""))</f>
        <v/>
      </c>
      <c r="M40" s="21" t="str">
        <f>IF(A40="","",IFERROR(IF(SUMIF(N$2:N40,"CASA",K$2:K40)=0,"",SUMIF(N$2:N40,"CASA",K$2:K40)),""))</f>
        <v/>
      </c>
      <c r="N40" s="17" t="str">
        <f>IF(J40="","",IF(J40=0.2,"CASA",IF(Dati!G40="","",Dati!G40)))</f>
        <v/>
      </c>
    </row>
    <row r="41" spans="1:14" ht="15" customHeight="1" x14ac:dyDescent="0.2">
      <c r="A41" s="23" t="str">
        <f>IF(Dati!A41="","",Dati!A41)</f>
        <v/>
      </c>
      <c r="B41" s="17" t="str">
        <f>IF(Dati!B41="","",Dati!B41)</f>
        <v/>
      </c>
      <c r="C41" s="17" t="str">
        <f>IF(B41="","",IF(ISNUMBER(B40),IF(B41-B40&lt;0,B41,IF(B41-B40=0,"",B41-B40)),B41))</f>
        <v/>
      </c>
      <c r="D41" s="18" t="str">
        <f>IF(Dati!C41="","",IF(Dati!C41&gt;1,Dati!C41/100,Dati!C41))</f>
        <v/>
      </c>
      <c r="E41" s="18" t="str">
        <f>IF(Dati!D41="","",IF(Dati!D41&gt;1,Dati!D41/100,Dati!D41))</f>
        <v/>
      </c>
      <c r="F41" s="18" t="str">
        <f>IF(OR(D41="",E41=""),"",IF(OR(D41&gt;1,E41&gt;1),(E41-D41)/100,E41-D41))</f>
        <v/>
      </c>
      <c r="G41" s="17" t="str">
        <f>IF(F41="","",IF(64*F41=0,"",64*F41))</f>
        <v/>
      </c>
      <c r="H41" s="19" t="str">
        <f>IF(Dati!E41="","",Dati!E41)</f>
        <v/>
      </c>
      <c r="I41" s="19" t="str">
        <f>IFERROR(IF(OR(C41="",C41=0),"",H41/C41*100),"")</f>
        <v/>
      </c>
      <c r="J41" s="20" t="str">
        <f>IF(Dati!F41="","",Dati!F41)</f>
        <v/>
      </c>
      <c r="K41" s="19" t="str">
        <f>IF(OR(H41="",J41=""),"",IF(H41*J41=0,"",H41*J41))</f>
        <v/>
      </c>
      <c r="L41" s="19" t="str">
        <f>IF(A41="","",IFERROR(IF(SUMPRODUCT((ISNUMBER(A$2:A41))*(A$2:A41&gt;1000)*(MONTH(IF(ISNUMBER(A$2:A41),A$2:A41,1))=MONTH(A41))*(YEAR(IF(ISNUMBER(A$2:A41),A$2:A41,1))=YEAR(A41))*IF(ISNUMBER(K$2:K41),K$2:K41,0))=0,"",SUMPRODUCT((ISNUMBER(A$2:A41))*(A$2:A41&gt;1000)*(MONTH(IF(ISNUMBER(A$2:A41),A$2:A41,1))=MONTH(A41))*(YEAR(IF(ISNUMBER(A$2:A41),A$2:A41,1))=YEAR(A41))*IF(ISNUMBER(K$2:K41),K$2:K41,0))),""))</f>
        <v/>
      </c>
      <c r="M41" s="21" t="str">
        <f>IF(A41="","",IFERROR(IF(SUMIF(N$2:N41,"CASA",K$2:K41)=0,"",SUMIF(N$2:N41,"CASA",K$2:K41)),""))</f>
        <v/>
      </c>
      <c r="N41" s="17" t="str">
        <f>IF(J41="","",IF(J41=0.2,"CASA",IF(Dati!G41="","",Dati!G41)))</f>
        <v/>
      </c>
    </row>
    <row r="42" spans="1:14" ht="15" customHeight="1" x14ac:dyDescent="0.2">
      <c r="A42" s="23" t="str">
        <f>IF(Dati!A42="","",Dati!A42)</f>
        <v/>
      </c>
      <c r="B42" s="17" t="str">
        <f>IF(Dati!B42="","",Dati!B42)</f>
        <v/>
      </c>
      <c r="C42" s="17" t="str">
        <f>IF(B42="","",IF(ISNUMBER(B41),IF(B42-B41&lt;0,B42,IF(B42-B41=0,"",B42-B41)),B42))</f>
        <v/>
      </c>
      <c r="D42" s="18" t="str">
        <f>IF(Dati!C42="","",IF(Dati!C42&gt;1,Dati!C42/100,Dati!C42))</f>
        <v/>
      </c>
      <c r="E42" s="18" t="str">
        <f>IF(Dati!D42="","",IF(Dati!D42&gt;1,Dati!D42/100,Dati!D42))</f>
        <v/>
      </c>
      <c r="F42" s="18" t="str">
        <f>IF(OR(D42="",E42=""),"",IF(OR(D42&gt;1,E42&gt;1),(E42-D42)/100,E42-D42))</f>
        <v/>
      </c>
      <c r="G42" s="17" t="str">
        <f>IF(F42="","",IF(64*F42=0,"",64*F42))</f>
        <v/>
      </c>
      <c r="H42" s="19" t="str">
        <f>IF(Dati!E42="","",Dati!E42)</f>
        <v/>
      </c>
      <c r="I42" s="19" t="str">
        <f>IFERROR(IF(OR(C42="",C42=0),"",H42/C42*100),"")</f>
        <v/>
      </c>
      <c r="J42" s="20" t="str">
        <f>IF(Dati!F42="","",Dati!F42)</f>
        <v/>
      </c>
      <c r="K42" s="19" t="str">
        <f>IF(OR(H42="",J42=""),"",IF(H42*J42=0,"",H42*J42))</f>
        <v/>
      </c>
      <c r="L42" s="19" t="str">
        <f>IF(A42="","",IFERROR(IF(SUMPRODUCT((ISNUMBER(A$2:A42))*(A$2:A42&gt;1000)*(MONTH(IF(ISNUMBER(A$2:A42),A$2:A42,1))=MONTH(A42))*(YEAR(IF(ISNUMBER(A$2:A42),A$2:A42,1))=YEAR(A42))*IF(ISNUMBER(K$2:K42),K$2:K42,0))=0,"",SUMPRODUCT((ISNUMBER(A$2:A42))*(A$2:A42&gt;1000)*(MONTH(IF(ISNUMBER(A$2:A42),A$2:A42,1))=MONTH(A42))*(YEAR(IF(ISNUMBER(A$2:A42),A$2:A42,1))=YEAR(A42))*IF(ISNUMBER(K$2:K42),K$2:K42,0))),""))</f>
        <v/>
      </c>
      <c r="M42" s="21" t="str">
        <f>IF(A42="","",IFERROR(IF(SUMIF(N$2:N42,"CASA",K$2:K42)=0,"",SUMIF(N$2:N42,"CASA",K$2:K42)),""))</f>
        <v/>
      </c>
      <c r="N42" s="17" t="str">
        <f>IF(J42="","",IF(J42=0.2,"CASA",IF(Dati!G42="","",Dati!G42)))</f>
        <v/>
      </c>
    </row>
    <row r="43" spans="1:14" ht="15" customHeight="1" x14ac:dyDescent="0.2">
      <c r="A43" s="23" t="str">
        <f>IF(Dati!A43="","",Dati!A43)</f>
        <v/>
      </c>
      <c r="B43" s="17" t="str">
        <f>IF(Dati!B43="","",Dati!B43)</f>
        <v/>
      </c>
      <c r="C43" s="17" t="str">
        <f>IF(B43="","",IF(ISNUMBER(B42),IF(B43-B42&lt;0,B43,IF(B43-B42=0,"",B43-B42)),B43))</f>
        <v/>
      </c>
      <c r="D43" s="18" t="str">
        <f>IF(Dati!C43="","",IF(Dati!C43&gt;1,Dati!C43/100,Dati!C43))</f>
        <v/>
      </c>
      <c r="E43" s="18" t="str">
        <f>IF(Dati!D43="","",IF(Dati!D43&gt;1,Dati!D43/100,Dati!D43))</f>
        <v/>
      </c>
      <c r="F43" s="18" t="str">
        <f>IF(OR(D43="",E43=""),"",IF(OR(D43&gt;1,E43&gt;1),(E43-D43)/100,E43-D43))</f>
        <v/>
      </c>
      <c r="G43" s="17" t="str">
        <f>IF(F43="","",IF(64*F43=0,"",64*F43))</f>
        <v/>
      </c>
      <c r="H43" s="19" t="str">
        <f>IF(Dati!E43="","",Dati!E43)</f>
        <v/>
      </c>
      <c r="I43" s="19" t="str">
        <f>IFERROR(IF(OR(C43="",C43=0),"",H43/C43*100),"")</f>
        <v/>
      </c>
      <c r="J43" s="20" t="str">
        <f>IF(Dati!F43="","",Dati!F43)</f>
        <v/>
      </c>
      <c r="K43" s="19" t="str">
        <f>IF(OR(H43="",J43=""),"",IF(H43*J43=0,"",H43*J43))</f>
        <v/>
      </c>
      <c r="L43" s="19" t="str">
        <f>IF(A43="","",IFERROR(IF(SUMPRODUCT((ISNUMBER(A$2:A43))*(A$2:A43&gt;1000)*(MONTH(IF(ISNUMBER(A$2:A43),A$2:A43,1))=MONTH(A43))*(YEAR(IF(ISNUMBER(A$2:A43),A$2:A43,1))=YEAR(A43))*IF(ISNUMBER(K$2:K43),K$2:K43,0))=0,"",SUMPRODUCT((ISNUMBER(A$2:A43))*(A$2:A43&gt;1000)*(MONTH(IF(ISNUMBER(A$2:A43),A$2:A43,1))=MONTH(A43))*(YEAR(IF(ISNUMBER(A$2:A43),A$2:A43,1))=YEAR(A43))*IF(ISNUMBER(K$2:K43),K$2:K43,0))),""))</f>
        <v/>
      </c>
      <c r="M43" s="21" t="str">
        <f>IF(A43="","",IFERROR(IF(SUMIF(N$2:N43,"CASA",K$2:K43)=0,"",SUMIF(N$2:N43,"CASA",K$2:K43)),""))</f>
        <v/>
      </c>
      <c r="N43" s="17" t="str">
        <f>IF(J43="","",IF(J43=0.2,"CASA",IF(Dati!G43="","",Dati!G43)))</f>
        <v/>
      </c>
    </row>
    <row r="44" spans="1:14" ht="15" customHeight="1" x14ac:dyDescent="0.2">
      <c r="A44" s="23" t="str">
        <f>IF(Dati!A44="","",Dati!A44)</f>
        <v/>
      </c>
      <c r="B44" s="17" t="str">
        <f>IF(Dati!B44="","",Dati!B44)</f>
        <v/>
      </c>
      <c r="C44" s="17" t="str">
        <f>IF(B44="","",IF(ISNUMBER(B43),IF(B44-B43&lt;0,B44,IF(B44-B43=0,"",B44-B43)),B44))</f>
        <v/>
      </c>
      <c r="D44" s="18" t="str">
        <f>IF(Dati!C44="","",IF(Dati!C44&gt;1,Dati!C44/100,Dati!C44))</f>
        <v/>
      </c>
      <c r="E44" s="18" t="str">
        <f>IF(Dati!D44="","",IF(Dati!D44&gt;1,Dati!D44/100,Dati!D44))</f>
        <v/>
      </c>
      <c r="F44" s="18" t="str">
        <f>IF(OR(D44="",E44=""),"",IF(OR(D44&gt;1,E44&gt;1),(E44-D44)/100,E44-D44))</f>
        <v/>
      </c>
      <c r="G44" s="17" t="str">
        <f>IF(F44="","",IF(64*F44=0,"",64*F44))</f>
        <v/>
      </c>
      <c r="H44" s="19" t="str">
        <f>IF(Dati!E44="","",Dati!E44)</f>
        <v/>
      </c>
      <c r="I44" s="19" t="str">
        <f>IFERROR(IF(OR(C44="",C44=0),"",H44/C44*100),"")</f>
        <v/>
      </c>
      <c r="J44" s="20" t="str">
        <f>IF(Dati!F44="","",Dati!F44)</f>
        <v/>
      </c>
      <c r="K44" s="19" t="str">
        <f>IF(OR(H44="",J44=""),"",IF(H44*J44=0,"",H44*J44))</f>
        <v/>
      </c>
      <c r="L44" s="19" t="str">
        <f>IF(A44="","",IFERROR(IF(SUMPRODUCT((ISNUMBER(A$2:A44))*(A$2:A44&gt;1000)*(MONTH(IF(ISNUMBER(A$2:A44),A$2:A44,1))=MONTH(A44))*(YEAR(IF(ISNUMBER(A$2:A44),A$2:A44,1))=YEAR(A44))*IF(ISNUMBER(K$2:K44),K$2:K44,0))=0,"",SUMPRODUCT((ISNUMBER(A$2:A44))*(A$2:A44&gt;1000)*(MONTH(IF(ISNUMBER(A$2:A44),A$2:A44,1))=MONTH(A44))*(YEAR(IF(ISNUMBER(A$2:A44),A$2:A44,1))=YEAR(A44))*IF(ISNUMBER(K$2:K44),K$2:K44,0))),""))</f>
        <v/>
      </c>
      <c r="M44" s="21" t="str">
        <f>IF(A44="","",IFERROR(IF(SUMIF(N$2:N44,"CASA",K$2:K44)=0,"",SUMIF(N$2:N44,"CASA",K$2:K44)),""))</f>
        <v/>
      </c>
      <c r="N44" s="17" t="str">
        <f>IF(J44="","",IF(J44=0.2,"CASA",IF(Dati!G44="","",Dati!G44)))</f>
        <v/>
      </c>
    </row>
    <row r="45" spans="1:14" ht="15" customHeight="1" x14ac:dyDescent="0.2">
      <c r="A45" s="23" t="str">
        <f>IF(Dati!A45="","",Dati!A45)</f>
        <v/>
      </c>
      <c r="B45" s="17" t="str">
        <f>IF(Dati!B45="","",Dati!B45)</f>
        <v/>
      </c>
      <c r="C45" s="17" t="str">
        <f>IF(B45="","",IF(ISNUMBER(B44),IF(B45-B44&lt;0,B45,IF(B45-B44=0,"",B45-B44)),B45))</f>
        <v/>
      </c>
      <c r="D45" s="18" t="str">
        <f>IF(Dati!C45="","",IF(Dati!C45&gt;1,Dati!C45/100,Dati!C45))</f>
        <v/>
      </c>
      <c r="E45" s="18" t="str">
        <f>IF(Dati!D45="","",IF(Dati!D45&gt;1,Dati!D45/100,Dati!D45))</f>
        <v/>
      </c>
      <c r="F45" s="18" t="str">
        <f>IF(OR(D45="",E45=""),"",IF(OR(D45&gt;1,E45&gt;1),(E45-D45)/100,E45-D45))</f>
        <v/>
      </c>
      <c r="G45" s="17" t="str">
        <f>IF(F45="","",IF(64*F45=0,"",64*F45))</f>
        <v/>
      </c>
      <c r="H45" s="19" t="str">
        <f>IF(Dati!E45="","",Dati!E45)</f>
        <v/>
      </c>
      <c r="I45" s="19" t="str">
        <f>IFERROR(IF(OR(C45="",C45=0),"",H45/C45*100),"")</f>
        <v/>
      </c>
      <c r="J45" s="20" t="str">
        <f>IF(Dati!F45="","",Dati!F45)</f>
        <v/>
      </c>
      <c r="K45" s="19" t="str">
        <f>IF(OR(H45="",J45=""),"",IF(H45*J45=0,"",H45*J45))</f>
        <v/>
      </c>
      <c r="L45" s="19" t="str">
        <f>IF(A45="","",IFERROR(IF(SUMPRODUCT((ISNUMBER(A$2:A45))*(A$2:A45&gt;1000)*(MONTH(IF(ISNUMBER(A$2:A45),A$2:A45,1))=MONTH(A45))*(YEAR(IF(ISNUMBER(A$2:A45),A$2:A45,1))=YEAR(A45))*IF(ISNUMBER(K$2:K45),K$2:K45,0))=0,"",SUMPRODUCT((ISNUMBER(A$2:A45))*(A$2:A45&gt;1000)*(MONTH(IF(ISNUMBER(A$2:A45),A$2:A45,1))=MONTH(A45))*(YEAR(IF(ISNUMBER(A$2:A45),A$2:A45,1))=YEAR(A45))*IF(ISNUMBER(K$2:K45),K$2:K45,0))),""))</f>
        <v/>
      </c>
      <c r="M45" s="21" t="str">
        <f>IF(A45="","",IFERROR(IF(SUMIF(N$2:N45,"CASA",K$2:K45)=0,"",SUMIF(N$2:N45,"CASA",K$2:K45)),""))</f>
        <v/>
      </c>
      <c r="N45" s="17" t="str">
        <f>IF(J45="","",IF(J45=0.2,"CASA",IF(Dati!G45="","",Dati!G45)))</f>
        <v/>
      </c>
    </row>
    <row r="46" spans="1:14" ht="15" customHeight="1" x14ac:dyDescent="0.2">
      <c r="A46" s="23" t="str">
        <f>IF(Dati!A46="","",Dati!A46)</f>
        <v/>
      </c>
      <c r="B46" s="17" t="str">
        <f>IF(Dati!B46="","",Dati!B46)</f>
        <v/>
      </c>
      <c r="C46" s="17" t="str">
        <f>IF(B46="","",IF(ISNUMBER(B45),IF(B46-B45&lt;0,B46,IF(B46-B45=0,"",B46-B45)),B46))</f>
        <v/>
      </c>
      <c r="D46" s="18" t="str">
        <f>IF(Dati!C46="","",IF(Dati!C46&gt;1,Dati!C46/100,Dati!C46))</f>
        <v/>
      </c>
      <c r="E46" s="18" t="str">
        <f>IF(Dati!D46="","",IF(Dati!D46&gt;1,Dati!D46/100,Dati!D46))</f>
        <v/>
      </c>
      <c r="F46" s="18" t="str">
        <f>IF(OR(D46="",E46=""),"",IF(OR(D46&gt;1,E46&gt;1),(E46-D46)/100,E46-D46))</f>
        <v/>
      </c>
      <c r="G46" s="17" t="str">
        <f>IF(F46="","",IF(64*F46=0,"",64*F46))</f>
        <v/>
      </c>
      <c r="H46" s="19" t="str">
        <f>IF(Dati!E46="","",Dati!E46)</f>
        <v/>
      </c>
      <c r="I46" s="19" t="str">
        <f>IFERROR(IF(OR(C46="",C46=0),"",H46/C46*100),"")</f>
        <v/>
      </c>
      <c r="J46" s="20" t="str">
        <f>IF(Dati!F46="","",Dati!F46)</f>
        <v/>
      </c>
      <c r="K46" s="19" t="str">
        <f>IF(OR(H46="",J46=""),"",IF(H46*J46=0,"",H46*J46))</f>
        <v/>
      </c>
      <c r="L46" s="19" t="str">
        <f>IF(A46="","",IFERROR(IF(SUMPRODUCT((ISNUMBER(A$2:A46))*(A$2:A46&gt;1000)*(MONTH(IF(ISNUMBER(A$2:A46),A$2:A46,1))=MONTH(A46))*(YEAR(IF(ISNUMBER(A$2:A46),A$2:A46,1))=YEAR(A46))*IF(ISNUMBER(K$2:K46),K$2:K46,0))=0,"",SUMPRODUCT((ISNUMBER(A$2:A46))*(A$2:A46&gt;1000)*(MONTH(IF(ISNUMBER(A$2:A46),A$2:A46,1))=MONTH(A46))*(YEAR(IF(ISNUMBER(A$2:A46),A$2:A46,1))=YEAR(A46))*IF(ISNUMBER(K$2:K46),K$2:K46,0))),""))</f>
        <v/>
      </c>
      <c r="M46" s="21" t="str">
        <f>IF(A46="","",IFERROR(IF(SUMIF(N$2:N46,"CASA",K$2:K46)=0,"",SUMIF(N$2:N46,"CASA",K$2:K46)),""))</f>
        <v/>
      </c>
      <c r="N46" s="17" t="str">
        <f>IF(J46="","",IF(J46=0.2,"CASA",IF(Dati!G46="","",Dati!G46)))</f>
        <v/>
      </c>
    </row>
    <row r="47" spans="1:14" ht="15" customHeight="1" x14ac:dyDescent="0.2">
      <c r="A47" s="23" t="str">
        <f>IF(Dati!A47="","",Dati!A47)</f>
        <v/>
      </c>
      <c r="B47" s="17" t="str">
        <f>IF(Dati!B47="","",Dati!B47)</f>
        <v/>
      </c>
      <c r="C47" s="17" t="str">
        <f>IF(B47="","",IF(ISNUMBER(B46),IF(B47-B46&lt;0,B47,IF(B47-B46=0,"",B47-B46)),B47))</f>
        <v/>
      </c>
      <c r="D47" s="18" t="str">
        <f>IF(Dati!C47="","",IF(Dati!C47&gt;1,Dati!C47/100,Dati!C47))</f>
        <v/>
      </c>
      <c r="E47" s="18" t="str">
        <f>IF(Dati!D47="","",IF(Dati!D47&gt;1,Dati!D47/100,Dati!D47))</f>
        <v/>
      </c>
      <c r="F47" s="18" t="str">
        <f>IF(OR(D47="",E47=""),"",IF(OR(D47&gt;1,E47&gt;1),(E47-D47)/100,E47-D47))</f>
        <v/>
      </c>
      <c r="G47" s="17" t="str">
        <f>IF(F47="","",IF(64*F47=0,"",64*F47))</f>
        <v/>
      </c>
      <c r="H47" s="19" t="str">
        <f>IF(Dati!E47="","",Dati!E47)</f>
        <v/>
      </c>
      <c r="I47" s="19" t="str">
        <f>IFERROR(IF(OR(C47="",C47=0),"",H47/C47*100),"")</f>
        <v/>
      </c>
      <c r="J47" s="20" t="str">
        <f>IF(Dati!F47="","",Dati!F47)</f>
        <v/>
      </c>
      <c r="K47" s="19" t="str">
        <f>IF(OR(H47="",J47=""),"",IF(H47*J47=0,"",H47*J47))</f>
        <v/>
      </c>
      <c r="L47" s="19" t="str">
        <f>IF(A47="","",IFERROR(IF(SUMPRODUCT((ISNUMBER(A$2:A47))*(A$2:A47&gt;1000)*(MONTH(IF(ISNUMBER(A$2:A47),A$2:A47,1))=MONTH(A47))*(YEAR(IF(ISNUMBER(A$2:A47),A$2:A47,1))=YEAR(A47))*IF(ISNUMBER(K$2:K47),K$2:K47,0))=0,"",SUMPRODUCT((ISNUMBER(A$2:A47))*(A$2:A47&gt;1000)*(MONTH(IF(ISNUMBER(A$2:A47),A$2:A47,1))=MONTH(A47))*(YEAR(IF(ISNUMBER(A$2:A47),A$2:A47,1))=YEAR(A47))*IF(ISNUMBER(K$2:K47),K$2:K47,0))),""))</f>
        <v/>
      </c>
      <c r="M47" s="21" t="str">
        <f>IF(A47="","",IFERROR(IF(SUMIF(N$2:N47,"CASA",K$2:K47)=0,"",SUMIF(N$2:N47,"CASA",K$2:K47)),""))</f>
        <v/>
      </c>
      <c r="N47" s="17" t="str">
        <f>IF(J47="","",IF(J47=0.2,"CASA",IF(Dati!G47="","",Dati!G47)))</f>
        <v/>
      </c>
    </row>
    <row r="48" spans="1:14" ht="15" customHeight="1" x14ac:dyDescent="0.2">
      <c r="A48" s="23" t="str">
        <f>IF(Dati!A48="","",Dati!A48)</f>
        <v/>
      </c>
      <c r="B48" s="17" t="str">
        <f>IF(Dati!B48="","",Dati!B48)</f>
        <v/>
      </c>
      <c r="C48" s="17" t="str">
        <f>IF(B48="","",IF(ISNUMBER(B47),IF(B48-B47&lt;0,B48,IF(B48-B47=0,"",B48-B47)),B48))</f>
        <v/>
      </c>
      <c r="D48" s="18" t="str">
        <f>IF(Dati!C48="","",IF(Dati!C48&gt;1,Dati!C48/100,Dati!C48))</f>
        <v/>
      </c>
      <c r="E48" s="18" t="str">
        <f>IF(Dati!D48="","",IF(Dati!D48&gt;1,Dati!D48/100,Dati!D48))</f>
        <v/>
      </c>
      <c r="F48" s="18" t="str">
        <f>IF(OR(D48="",E48=""),"",IF(OR(D48&gt;1,E48&gt;1),(E48-D48)/100,E48-D48))</f>
        <v/>
      </c>
      <c r="G48" s="17" t="str">
        <f>IF(F48="","",IF(64*F48=0,"",64*F48))</f>
        <v/>
      </c>
      <c r="H48" s="19" t="str">
        <f>IF(Dati!E48="","",Dati!E48)</f>
        <v/>
      </c>
      <c r="I48" s="19" t="str">
        <f>IFERROR(IF(OR(C48="",C48=0),"",H48/C48*100),"")</f>
        <v/>
      </c>
      <c r="J48" s="20" t="str">
        <f>IF(Dati!F48="","",Dati!F48)</f>
        <v/>
      </c>
      <c r="K48" s="19" t="str">
        <f>IF(OR(H48="",J48=""),"",IF(H48*J48=0,"",H48*J48))</f>
        <v/>
      </c>
      <c r="L48" s="19" t="str">
        <f>IF(A48="","",IFERROR(IF(SUMPRODUCT((ISNUMBER(A$2:A48))*(A$2:A48&gt;1000)*(MONTH(IF(ISNUMBER(A$2:A48),A$2:A48,1))=MONTH(A48))*(YEAR(IF(ISNUMBER(A$2:A48),A$2:A48,1))=YEAR(A48))*IF(ISNUMBER(K$2:K48),K$2:K48,0))=0,"",SUMPRODUCT((ISNUMBER(A$2:A48))*(A$2:A48&gt;1000)*(MONTH(IF(ISNUMBER(A$2:A48),A$2:A48,1))=MONTH(A48))*(YEAR(IF(ISNUMBER(A$2:A48),A$2:A48,1))=YEAR(A48))*IF(ISNUMBER(K$2:K48),K$2:K48,0))),""))</f>
        <v/>
      </c>
      <c r="M48" s="21" t="str">
        <f>IF(A48="","",IFERROR(IF(SUMIF(N$2:N48,"CASA",K$2:K48)=0,"",SUMIF(N$2:N48,"CASA",K$2:K48)),""))</f>
        <v/>
      </c>
      <c r="N48" s="17" t="str">
        <f>IF(J48="","",IF(J48=0.2,"CASA",IF(Dati!G48="","",Dati!G48)))</f>
        <v/>
      </c>
    </row>
    <row r="49" spans="1:14" ht="15" customHeight="1" x14ac:dyDescent="0.2">
      <c r="A49" s="23" t="str">
        <f>IF(Dati!A49="","",Dati!A49)</f>
        <v/>
      </c>
      <c r="B49" s="17" t="str">
        <f>IF(Dati!B49="","",Dati!B49)</f>
        <v/>
      </c>
      <c r="C49" s="17" t="str">
        <f>IF(B49="","",IF(ISNUMBER(B48),IF(B49-B48&lt;0,B49,IF(B49-B48=0,"",B49-B48)),B49))</f>
        <v/>
      </c>
      <c r="D49" s="18" t="str">
        <f>IF(Dati!C49="","",IF(Dati!C49&gt;1,Dati!C49/100,Dati!C49))</f>
        <v/>
      </c>
      <c r="E49" s="18" t="str">
        <f>IF(Dati!D49="","",IF(Dati!D49&gt;1,Dati!D49/100,Dati!D49))</f>
        <v/>
      </c>
      <c r="F49" s="18" t="str">
        <f>IF(OR(D49="",E49=""),"",IF(OR(D49&gt;1,E49&gt;1),(E49-D49)/100,E49-D49))</f>
        <v/>
      </c>
      <c r="G49" s="17" t="str">
        <f>IF(F49="","",IF(64*F49=0,"",64*F49))</f>
        <v/>
      </c>
      <c r="H49" s="19" t="str">
        <f>IF(Dati!E49="","",Dati!E49)</f>
        <v/>
      </c>
      <c r="I49" s="19" t="str">
        <f>IFERROR(IF(OR(C49="",C49=0),"",H49/C49*100),"")</f>
        <v/>
      </c>
      <c r="J49" s="20" t="str">
        <f>IF(Dati!F49="","",Dati!F49)</f>
        <v/>
      </c>
      <c r="K49" s="19" t="str">
        <f>IF(OR(H49="",J49=""),"",IF(H49*J49=0,"",H49*J49))</f>
        <v/>
      </c>
      <c r="L49" s="19" t="str">
        <f>IF(A49="","",IFERROR(IF(SUMPRODUCT((ISNUMBER(A$2:A49))*(A$2:A49&gt;1000)*(MONTH(IF(ISNUMBER(A$2:A49),A$2:A49,1))=MONTH(A49))*(YEAR(IF(ISNUMBER(A$2:A49),A$2:A49,1))=YEAR(A49))*IF(ISNUMBER(K$2:K49),K$2:K49,0))=0,"",SUMPRODUCT((ISNUMBER(A$2:A49))*(A$2:A49&gt;1000)*(MONTH(IF(ISNUMBER(A$2:A49),A$2:A49,1))=MONTH(A49))*(YEAR(IF(ISNUMBER(A$2:A49),A$2:A49,1))=YEAR(A49))*IF(ISNUMBER(K$2:K49),K$2:K49,0))),""))</f>
        <v/>
      </c>
      <c r="M49" s="21" t="str">
        <f>IF(A49="","",IFERROR(IF(SUMIF(N$2:N49,"CASA",K$2:K49)=0,"",SUMIF(N$2:N49,"CASA",K$2:K49)),""))</f>
        <v/>
      </c>
      <c r="N49" s="17" t="str">
        <f>IF(J49="","",IF(J49=0.2,"CASA",IF(Dati!G49="","",Dati!G49)))</f>
        <v/>
      </c>
    </row>
    <row r="50" spans="1:14" ht="15" customHeight="1" x14ac:dyDescent="0.2">
      <c r="A50" s="23" t="str">
        <f>IF(Dati!A50="","",Dati!A50)</f>
        <v/>
      </c>
      <c r="B50" s="17" t="str">
        <f>IF(Dati!B50="","",Dati!B50)</f>
        <v/>
      </c>
      <c r="C50" s="17" t="str">
        <f>IF(B50="","",IF(ISNUMBER(B49),IF(B50-B49&lt;0,B50,IF(B50-B49=0,"",B50-B49)),B50))</f>
        <v/>
      </c>
      <c r="D50" s="18" t="str">
        <f>IF(Dati!C50="","",IF(Dati!C50&gt;1,Dati!C50/100,Dati!C50))</f>
        <v/>
      </c>
      <c r="E50" s="18" t="str">
        <f>IF(Dati!D50="","",IF(Dati!D50&gt;1,Dati!D50/100,Dati!D50))</f>
        <v/>
      </c>
      <c r="F50" s="18" t="str">
        <f>IF(OR(D50="",E50=""),"",IF(OR(D50&gt;1,E50&gt;1),(E50-D50)/100,E50-D50))</f>
        <v/>
      </c>
      <c r="G50" s="17" t="str">
        <f>IF(F50="","",IF(64*F50=0,"",64*F50))</f>
        <v/>
      </c>
      <c r="H50" s="19" t="str">
        <f>IF(Dati!E50="","",Dati!E50)</f>
        <v/>
      </c>
      <c r="I50" s="19" t="str">
        <f>IFERROR(IF(OR(C50="",C50=0),"",H50/C50*100),"")</f>
        <v/>
      </c>
      <c r="J50" s="20" t="str">
        <f>IF(Dati!F50="","",Dati!F50)</f>
        <v/>
      </c>
      <c r="K50" s="19" t="str">
        <f>IF(OR(H50="",J50=""),"",IF(H50*J50=0,"",H50*J50))</f>
        <v/>
      </c>
      <c r="L50" s="19" t="str">
        <f>IF(A50="","",IFERROR(IF(SUMPRODUCT((ISNUMBER(A$2:A50))*(A$2:A50&gt;1000)*(MONTH(IF(ISNUMBER(A$2:A50),A$2:A50,1))=MONTH(A50))*(YEAR(IF(ISNUMBER(A$2:A50),A$2:A50,1))=YEAR(A50))*IF(ISNUMBER(K$2:K50),K$2:K50,0))=0,"",SUMPRODUCT((ISNUMBER(A$2:A50))*(A$2:A50&gt;1000)*(MONTH(IF(ISNUMBER(A$2:A50),A$2:A50,1))=MONTH(A50))*(YEAR(IF(ISNUMBER(A$2:A50),A$2:A50,1))=YEAR(A50))*IF(ISNUMBER(K$2:K50),K$2:K50,0))),""))</f>
        <v/>
      </c>
      <c r="M50" s="21" t="str">
        <f>IF(A50="","",IFERROR(IF(SUMIF(N$2:N50,"CASA",K$2:K50)=0,"",SUMIF(N$2:N50,"CASA",K$2:K50)),""))</f>
        <v/>
      </c>
      <c r="N50" s="17" t="str">
        <f>IF(J50="","",IF(J50=0.2,"CASA",IF(Dati!G50="","",Dati!G50)))</f>
        <v/>
      </c>
    </row>
    <row r="51" spans="1:14" ht="15" customHeight="1" x14ac:dyDescent="0.2">
      <c r="A51" s="23" t="str">
        <f>IF(Dati!A51="","",Dati!A51)</f>
        <v/>
      </c>
      <c r="B51" s="17" t="str">
        <f>IF(Dati!B51="","",Dati!B51)</f>
        <v/>
      </c>
      <c r="C51" s="17" t="str">
        <f>IF(B51="","",IF(ISNUMBER(B50),IF(B51-B50&lt;0,B51,IF(B51-B50=0,"",B51-B50)),B51))</f>
        <v/>
      </c>
      <c r="D51" s="18" t="str">
        <f>IF(Dati!C51="","",IF(Dati!C51&gt;1,Dati!C51/100,Dati!C51))</f>
        <v/>
      </c>
      <c r="E51" s="18" t="str">
        <f>IF(Dati!D51="","",IF(Dati!D51&gt;1,Dati!D51/100,Dati!D51))</f>
        <v/>
      </c>
      <c r="F51" s="18" t="str">
        <f>IF(OR(D51="",E51=""),"",IF(OR(D51&gt;1,E51&gt;1),(E51-D51)/100,E51-D51))</f>
        <v/>
      </c>
      <c r="G51" s="17" t="str">
        <f>IF(F51="","",IF(64*F51=0,"",64*F51))</f>
        <v/>
      </c>
      <c r="H51" s="19" t="str">
        <f>IF(Dati!E51="","",Dati!E51)</f>
        <v/>
      </c>
      <c r="I51" s="19" t="str">
        <f>IFERROR(IF(OR(C51="",C51=0),"",H51/C51*100),"")</f>
        <v/>
      </c>
      <c r="J51" s="20" t="str">
        <f>IF(Dati!F51="","",Dati!F51)</f>
        <v/>
      </c>
      <c r="K51" s="19" t="str">
        <f>IF(OR(H51="",J51=""),"",IF(H51*J51=0,"",H51*J51))</f>
        <v/>
      </c>
      <c r="L51" s="19" t="str">
        <f>IF(A51="","",IFERROR(IF(SUMPRODUCT((ISNUMBER(A$2:A51))*(A$2:A51&gt;1000)*(MONTH(IF(ISNUMBER(A$2:A51),A$2:A51,1))=MONTH(A51))*(YEAR(IF(ISNUMBER(A$2:A51),A$2:A51,1))=YEAR(A51))*IF(ISNUMBER(K$2:K51),K$2:K51,0))=0,"",SUMPRODUCT((ISNUMBER(A$2:A51))*(A$2:A51&gt;1000)*(MONTH(IF(ISNUMBER(A$2:A51),A$2:A51,1))=MONTH(A51))*(YEAR(IF(ISNUMBER(A$2:A51),A$2:A51,1))=YEAR(A51))*IF(ISNUMBER(K$2:K51),K$2:K51,0))),""))</f>
        <v/>
      </c>
      <c r="M51" s="21" t="str">
        <f>IF(A51="","",IFERROR(IF(SUMIF(N$2:N51,"CASA",K$2:K51)=0,"",SUMIF(N$2:N51,"CASA",K$2:K51)),""))</f>
        <v/>
      </c>
      <c r="N51" s="17" t="str">
        <f>IF(J51="","",IF(J51=0.2,"CASA",IF(Dati!G51="","",Dati!G51)))</f>
        <v/>
      </c>
    </row>
    <row r="52" spans="1:14" ht="15" customHeight="1" x14ac:dyDescent="0.2">
      <c r="A52" s="23" t="str">
        <f>IF(Dati!A52="","",Dati!A52)</f>
        <v/>
      </c>
      <c r="B52" s="17" t="str">
        <f>IF(Dati!B52="","",Dati!B52)</f>
        <v/>
      </c>
      <c r="C52" s="17" t="str">
        <f>IF(B52="","",IF(ISNUMBER(B51),IF(B52-B51&lt;0,B52,IF(B52-B51=0,"",B52-B51)),B52))</f>
        <v/>
      </c>
      <c r="D52" s="18" t="str">
        <f>IF(Dati!C52="","",IF(Dati!C52&gt;1,Dati!C52/100,Dati!C52))</f>
        <v/>
      </c>
      <c r="E52" s="18" t="str">
        <f>IF(Dati!D52="","",IF(Dati!D52&gt;1,Dati!D52/100,Dati!D52))</f>
        <v/>
      </c>
      <c r="F52" s="18" t="str">
        <f>IF(OR(D52="",E52=""),"",IF(OR(D52&gt;1,E52&gt;1),(E52-D52)/100,E52-D52))</f>
        <v/>
      </c>
      <c r="G52" s="17" t="str">
        <f>IF(F52="","",IF(64*F52=0,"",64*F52))</f>
        <v/>
      </c>
      <c r="H52" s="19" t="str">
        <f>IF(Dati!E52="","",Dati!E52)</f>
        <v/>
      </c>
      <c r="I52" s="19" t="str">
        <f>IFERROR(IF(OR(C52="",C52=0),"",H52/C52*100),"")</f>
        <v/>
      </c>
      <c r="J52" s="20" t="str">
        <f>IF(Dati!F52="","",Dati!F52)</f>
        <v/>
      </c>
      <c r="K52" s="19" t="str">
        <f>IF(OR(H52="",J52=""),"",IF(H52*J52=0,"",H52*J52))</f>
        <v/>
      </c>
      <c r="L52" s="19" t="str">
        <f>IF(A52="","",IFERROR(IF(SUMPRODUCT((ISNUMBER(A$2:A52))*(A$2:A52&gt;1000)*(MONTH(IF(ISNUMBER(A$2:A52),A$2:A52,1))=MONTH(A52))*(YEAR(IF(ISNUMBER(A$2:A52),A$2:A52,1))=YEAR(A52))*IF(ISNUMBER(K$2:K52),K$2:K52,0))=0,"",SUMPRODUCT((ISNUMBER(A$2:A52))*(A$2:A52&gt;1000)*(MONTH(IF(ISNUMBER(A$2:A52),A$2:A52,1))=MONTH(A52))*(YEAR(IF(ISNUMBER(A$2:A52),A$2:A52,1))=YEAR(A52))*IF(ISNUMBER(K$2:K52),K$2:K52,0))),""))</f>
        <v/>
      </c>
      <c r="M52" s="21" t="str">
        <f>IF(A52="","",IFERROR(IF(SUMIF(N$2:N52,"CASA",K$2:K52)=0,"",SUMIF(N$2:N52,"CASA",K$2:K52)),""))</f>
        <v/>
      </c>
      <c r="N52" s="17" t="str">
        <f>IF(J52="","",IF(J52=0.2,"CASA",IF(Dati!G52="","",Dati!G52)))</f>
        <v/>
      </c>
    </row>
    <row r="53" spans="1:14" ht="15" customHeight="1" x14ac:dyDescent="0.2">
      <c r="A53" s="23" t="str">
        <f>IF(Dati!A53="","",Dati!A53)</f>
        <v/>
      </c>
      <c r="B53" s="17" t="str">
        <f>IF(Dati!B53="","",Dati!B53)</f>
        <v/>
      </c>
      <c r="C53" s="17" t="str">
        <f>IF(B53="","",IF(ISNUMBER(B52),IF(B53-B52&lt;0,B53,IF(B53-B52=0,"",B53-B52)),B53))</f>
        <v/>
      </c>
      <c r="D53" s="18" t="str">
        <f>IF(Dati!C53="","",IF(Dati!C53&gt;1,Dati!C53/100,Dati!C53))</f>
        <v/>
      </c>
      <c r="E53" s="18" t="str">
        <f>IF(Dati!D53="","",IF(Dati!D53&gt;1,Dati!D53/100,Dati!D53))</f>
        <v/>
      </c>
      <c r="F53" s="18" t="str">
        <f>IF(OR(D53="",E53=""),"",IF(OR(D53&gt;1,E53&gt;1),(E53-D53)/100,E53-D53))</f>
        <v/>
      </c>
      <c r="G53" s="17" t="str">
        <f>IF(F53="","",IF(64*F53=0,"",64*F53))</f>
        <v/>
      </c>
      <c r="H53" s="19" t="str">
        <f>IF(Dati!E53="","",Dati!E53)</f>
        <v/>
      </c>
      <c r="I53" s="19" t="str">
        <f>IFERROR(IF(OR(C53="",C53=0),"",H53/C53*100),"")</f>
        <v/>
      </c>
      <c r="J53" s="20" t="str">
        <f>IF(Dati!F53="","",Dati!F53)</f>
        <v/>
      </c>
      <c r="K53" s="19" t="str">
        <f>IF(OR(H53="",J53=""),"",IF(H53*J53=0,"",H53*J53))</f>
        <v/>
      </c>
      <c r="L53" s="19" t="str">
        <f>IF(A53="","",IFERROR(IF(SUMPRODUCT((ISNUMBER(A$2:A53))*(A$2:A53&gt;1000)*(MONTH(IF(ISNUMBER(A$2:A53),A$2:A53,1))=MONTH(A53))*(YEAR(IF(ISNUMBER(A$2:A53),A$2:A53,1))=YEAR(A53))*IF(ISNUMBER(K$2:K53),K$2:K53,0))=0,"",SUMPRODUCT((ISNUMBER(A$2:A53))*(A$2:A53&gt;1000)*(MONTH(IF(ISNUMBER(A$2:A53),A$2:A53,1))=MONTH(A53))*(YEAR(IF(ISNUMBER(A$2:A53),A$2:A53,1))=YEAR(A53))*IF(ISNUMBER(K$2:K53),K$2:K53,0))),""))</f>
        <v/>
      </c>
      <c r="M53" s="21" t="str">
        <f>IF(A53="","",IFERROR(IF(SUMIF(N$2:N53,"CASA",K$2:K53)=0,"",SUMIF(N$2:N53,"CASA",K$2:K53)),""))</f>
        <v/>
      </c>
      <c r="N53" s="17" t="str">
        <f>IF(J53="","",IF(J53=0.2,"CASA",IF(Dati!G53="","",Dati!G53)))</f>
        <v/>
      </c>
    </row>
    <row r="54" spans="1:14" ht="15" customHeight="1" x14ac:dyDescent="0.2">
      <c r="A54" s="23" t="str">
        <f>IF(Dati!A54="","",Dati!A54)</f>
        <v/>
      </c>
      <c r="B54" s="17" t="str">
        <f>IF(Dati!B54="","",Dati!B54)</f>
        <v/>
      </c>
      <c r="C54" s="17" t="str">
        <f>IF(B54="","",IF(ISNUMBER(B53),IF(B54-B53&lt;0,B54,IF(B54-B53=0,"",B54-B53)),B54))</f>
        <v/>
      </c>
      <c r="D54" s="18" t="str">
        <f>IF(Dati!C54="","",IF(Dati!C54&gt;1,Dati!C54/100,Dati!C54))</f>
        <v/>
      </c>
      <c r="E54" s="18" t="str">
        <f>IF(Dati!D54="","",IF(Dati!D54&gt;1,Dati!D54/100,Dati!D54))</f>
        <v/>
      </c>
      <c r="F54" s="18" t="str">
        <f>IF(OR(D54="",E54=""),"",IF(OR(D54&gt;1,E54&gt;1),(E54-D54)/100,E54-D54))</f>
        <v/>
      </c>
      <c r="G54" s="17" t="str">
        <f>IF(F54="","",IF(64*F54=0,"",64*F54))</f>
        <v/>
      </c>
      <c r="H54" s="19" t="str">
        <f>IF(Dati!E54="","",Dati!E54)</f>
        <v/>
      </c>
      <c r="I54" s="19" t="str">
        <f>IFERROR(IF(OR(C54="",C54=0),"",H54/C54*100),"")</f>
        <v/>
      </c>
      <c r="J54" s="20" t="str">
        <f>IF(Dati!F54="","",Dati!F54)</f>
        <v/>
      </c>
      <c r="K54" s="19" t="str">
        <f>IF(OR(H54="",J54=""),"",IF(H54*J54=0,"",H54*J54))</f>
        <v/>
      </c>
      <c r="L54" s="19" t="str">
        <f>IF(A54="","",IFERROR(IF(SUMPRODUCT((ISNUMBER(A$2:A54))*(A$2:A54&gt;1000)*(MONTH(IF(ISNUMBER(A$2:A54),A$2:A54,1))=MONTH(A54))*(YEAR(IF(ISNUMBER(A$2:A54),A$2:A54,1))=YEAR(A54))*IF(ISNUMBER(K$2:K54),K$2:K54,0))=0,"",SUMPRODUCT((ISNUMBER(A$2:A54))*(A$2:A54&gt;1000)*(MONTH(IF(ISNUMBER(A$2:A54),A$2:A54,1))=MONTH(A54))*(YEAR(IF(ISNUMBER(A$2:A54),A$2:A54,1))=YEAR(A54))*IF(ISNUMBER(K$2:K54),K$2:K54,0))),""))</f>
        <v/>
      </c>
      <c r="M54" s="21" t="str">
        <f>IF(A54="","",IFERROR(IF(SUMIF(N$2:N54,"CASA",K$2:K54)=0,"",SUMIF(N$2:N54,"CASA",K$2:K54)),""))</f>
        <v/>
      </c>
      <c r="N54" s="17" t="str">
        <f>IF(J54="","",IF(J54=0.2,"CASA",IF(Dati!G54="","",Dati!G54)))</f>
        <v/>
      </c>
    </row>
    <row r="55" spans="1:14" ht="15" customHeight="1" x14ac:dyDescent="0.2">
      <c r="A55" s="23" t="str">
        <f>IF(Dati!A55="","",Dati!A55)</f>
        <v/>
      </c>
      <c r="B55" s="17" t="str">
        <f>IF(Dati!B55="","",Dati!B55)</f>
        <v/>
      </c>
      <c r="C55" s="17" t="str">
        <f>IF(B55="","",IF(ISNUMBER(B54),IF(B55-B54&lt;0,B55,IF(B55-B54=0,"",B55-B54)),B55))</f>
        <v/>
      </c>
      <c r="D55" s="18" t="str">
        <f>IF(Dati!C55="","",IF(Dati!C55&gt;1,Dati!C55/100,Dati!C55))</f>
        <v/>
      </c>
      <c r="E55" s="18" t="str">
        <f>IF(Dati!D55="","",IF(Dati!D55&gt;1,Dati!D55/100,Dati!D55))</f>
        <v/>
      </c>
      <c r="F55" s="18" t="str">
        <f>IF(OR(D55="",E55=""),"",IF(OR(D55&gt;1,E55&gt;1),(E55-D55)/100,E55-D55))</f>
        <v/>
      </c>
      <c r="G55" s="17" t="str">
        <f>IF(F55="","",IF(64*F55=0,"",64*F55))</f>
        <v/>
      </c>
      <c r="H55" s="19" t="str">
        <f>IF(Dati!E55="","",Dati!E55)</f>
        <v/>
      </c>
      <c r="I55" s="19" t="str">
        <f>IFERROR(IF(OR(C55="",C55=0),"",H55/C55*100),"")</f>
        <v/>
      </c>
      <c r="J55" s="20" t="str">
        <f>IF(Dati!F55="","",Dati!F55)</f>
        <v/>
      </c>
      <c r="K55" s="19" t="str">
        <f>IF(OR(H55="",J55=""),"",IF(H55*J55=0,"",H55*J55))</f>
        <v/>
      </c>
      <c r="L55" s="19" t="str">
        <f>IF(A55="","",IFERROR(IF(SUMPRODUCT((ISNUMBER(A$2:A55))*(A$2:A55&gt;1000)*(MONTH(IF(ISNUMBER(A$2:A55),A$2:A55,1))=MONTH(A55))*(YEAR(IF(ISNUMBER(A$2:A55),A$2:A55,1))=YEAR(A55))*IF(ISNUMBER(K$2:K55),K$2:K55,0))=0,"",SUMPRODUCT((ISNUMBER(A$2:A55))*(A$2:A55&gt;1000)*(MONTH(IF(ISNUMBER(A$2:A55),A$2:A55,1))=MONTH(A55))*(YEAR(IF(ISNUMBER(A$2:A55),A$2:A55,1))=YEAR(A55))*IF(ISNUMBER(K$2:K55),K$2:K55,0))),""))</f>
        <v/>
      </c>
      <c r="M55" s="21" t="str">
        <f>IF(A55="","",IFERROR(IF(SUMIF(N$2:N55,"CASA",K$2:K55)=0,"",SUMIF(N$2:N55,"CASA",K$2:K55)),""))</f>
        <v/>
      </c>
      <c r="N55" s="17" t="str">
        <f>IF(J55="","",IF(J55=0.2,"CASA",IF(Dati!G55="","",Dati!G55)))</f>
        <v/>
      </c>
    </row>
    <row r="56" spans="1:14" ht="15" customHeight="1" x14ac:dyDescent="0.2">
      <c r="A56" s="23" t="str">
        <f>IF(Dati!A56="","",Dati!A56)</f>
        <v/>
      </c>
      <c r="B56" s="17" t="str">
        <f>IF(Dati!B56="","",Dati!B56)</f>
        <v/>
      </c>
      <c r="C56" s="17" t="str">
        <f>IF(B56="","",IF(ISNUMBER(B55),IF(B56-B55&lt;0,B56,IF(B56-B55=0,"",B56-B55)),B56))</f>
        <v/>
      </c>
      <c r="D56" s="18" t="str">
        <f>IF(Dati!C56="","",IF(Dati!C56&gt;1,Dati!C56/100,Dati!C56))</f>
        <v/>
      </c>
      <c r="E56" s="18" t="str">
        <f>IF(Dati!D56="","",IF(Dati!D56&gt;1,Dati!D56/100,Dati!D56))</f>
        <v/>
      </c>
      <c r="F56" s="18" t="str">
        <f>IF(OR(D56="",E56=""),"",IF(OR(D56&gt;1,E56&gt;1),(E56-D56)/100,E56-D56))</f>
        <v/>
      </c>
      <c r="G56" s="17" t="str">
        <f>IF(F56="","",IF(64*F56=0,"",64*F56))</f>
        <v/>
      </c>
      <c r="H56" s="19" t="str">
        <f>IF(Dati!E56="","",Dati!E56)</f>
        <v/>
      </c>
      <c r="I56" s="19" t="str">
        <f>IFERROR(IF(OR(C56="",C56=0),"",H56/C56*100),"")</f>
        <v/>
      </c>
      <c r="J56" s="20" t="str">
        <f>IF(Dati!F56="","",Dati!F56)</f>
        <v/>
      </c>
      <c r="K56" s="19" t="str">
        <f>IF(OR(H56="",J56=""),"",IF(H56*J56=0,"",H56*J56))</f>
        <v/>
      </c>
      <c r="L56" s="19" t="str">
        <f>IF(A56="","",IFERROR(IF(SUMPRODUCT((ISNUMBER(A$2:A56))*(A$2:A56&gt;1000)*(MONTH(IF(ISNUMBER(A$2:A56),A$2:A56,1))=MONTH(A56))*(YEAR(IF(ISNUMBER(A$2:A56),A$2:A56,1))=YEAR(A56))*IF(ISNUMBER(K$2:K56),K$2:K56,0))=0,"",SUMPRODUCT((ISNUMBER(A$2:A56))*(A$2:A56&gt;1000)*(MONTH(IF(ISNUMBER(A$2:A56),A$2:A56,1))=MONTH(A56))*(YEAR(IF(ISNUMBER(A$2:A56),A$2:A56,1))=YEAR(A56))*IF(ISNUMBER(K$2:K56),K$2:K56,0))),""))</f>
        <v/>
      </c>
      <c r="M56" s="21" t="str">
        <f>IF(A56="","",IFERROR(IF(SUMIF(N$2:N56,"CASA",K$2:K56)=0,"",SUMIF(N$2:N56,"CASA",K$2:K56)),""))</f>
        <v/>
      </c>
      <c r="N56" s="17" t="str">
        <f>IF(J56="","",IF(J56=0.2,"CASA",IF(Dati!G56="","",Dati!G56)))</f>
        <v/>
      </c>
    </row>
    <row r="57" spans="1:14" ht="15" customHeight="1" x14ac:dyDescent="0.2">
      <c r="A57" s="23" t="str">
        <f>IF(Dati!A57="","",Dati!A57)</f>
        <v/>
      </c>
      <c r="B57" s="17" t="str">
        <f>IF(Dati!B57="","",Dati!B57)</f>
        <v/>
      </c>
      <c r="C57" s="17" t="str">
        <f>IF(B57="","",IF(ISNUMBER(B56),IF(B57-B56&lt;0,B57,IF(B57-B56=0,"",B57-B56)),B57))</f>
        <v/>
      </c>
      <c r="D57" s="18" t="str">
        <f>IF(Dati!C57="","",IF(Dati!C57&gt;1,Dati!C57/100,Dati!C57))</f>
        <v/>
      </c>
      <c r="E57" s="18" t="str">
        <f>IF(Dati!D57="","",IF(Dati!D57&gt;1,Dati!D57/100,Dati!D57))</f>
        <v/>
      </c>
      <c r="F57" s="18" t="str">
        <f>IF(OR(D57="",E57=""),"",IF(OR(D57&gt;1,E57&gt;1),(E57-D57)/100,E57-D57))</f>
        <v/>
      </c>
      <c r="G57" s="17" t="str">
        <f>IF(F57="","",IF(64*F57=0,"",64*F57))</f>
        <v/>
      </c>
      <c r="H57" s="19" t="str">
        <f>IF(Dati!E57="","",Dati!E57)</f>
        <v/>
      </c>
      <c r="I57" s="19" t="str">
        <f>IFERROR(IF(OR(C57="",C57=0),"",H57/C57*100),"")</f>
        <v/>
      </c>
      <c r="J57" s="20" t="str">
        <f>IF(Dati!F57="","",Dati!F57)</f>
        <v/>
      </c>
      <c r="K57" s="19" t="str">
        <f>IF(OR(H57="",J57=""),"",IF(H57*J57=0,"",H57*J57))</f>
        <v/>
      </c>
      <c r="L57" s="19" t="str">
        <f>IF(A57="","",IFERROR(IF(SUMPRODUCT((ISNUMBER(A$2:A57))*(A$2:A57&gt;1000)*(MONTH(IF(ISNUMBER(A$2:A57),A$2:A57,1))=MONTH(A57))*(YEAR(IF(ISNUMBER(A$2:A57),A$2:A57,1))=YEAR(A57))*IF(ISNUMBER(K$2:K57),K$2:K57,0))=0,"",SUMPRODUCT((ISNUMBER(A$2:A57))*(A$2:A57&gt;1000)*(MONTH(IF(ISNUMBER(A$2:A57),A$2:A57,1))=MONTH(A57))*(YEAR(IF(ISNUMBER(A$2:A57),A$2:A57,1))=YEAR(A57))*IF(ISNUMBER(K$2:K57),K$2:K57,0))),""))</f>
        <v/>
      </c>
      <c r="M57" s="21" t="str">
        <f>IF(A57="","",IFERROR(IF(SUMIF(N$2:N57,"CASA",K$2:K57)=0,"",SUMIF(N$2:N57,"CASA",K$2:K57)),""))</f>
        <v/>
      </c>
      <c r="N57" s="17" t="str">
        <f>IF(J57="","",IF(J57=0.2,"CASA",IF(Dati!G57="","",Dati!G57)))</f>
        <v/>
      </c>
    </row>
    <row r="58" spans="1:14" ht="15" customHeight="1" x14ac:dyDescent="0.2">
      <c r="A58" s="23" t="str">
        <f>IF(Dati!A58="","",Dati!A58)</f>
        <v/>
      </c>
      <c r="B58" s="17" t="str">
        <f>IF(Dati!B58="","",Dati!B58)</f>
        <v/>
      </c>
      <c r="C58" s="17" t="str">
        <f>IF(B58="","",IF(ISNUMBER(B57),IF(B58-B57&lt;0,B58,IF(B58-B57=0,"",B58-B57)),B58))</f>
        <v/>
      </c>
      <c r="D58" s="18" t="str">
        <f>IF(Dati!C58="","",IF(Dati!C58&gt;1,Dati!C58/100,Dati!C58))</f>
        <v/>
      </c>
      <c r="E58" s="18" t="str">
        <f>IF(Dati!D58="","",IF(Dati!D58&gt;1,Dati!D58/100,Dati!D58))</f>
        <v/>
      </c>
      <c r="F58" s="18" t="str">
        <f>IF(OR(D58="",E58=""),"",IF(OR(D58&gt;1,E58&gt;1),(E58-D58)/100,E58-D58))</f>
        <v/>
      </c>
      <c r="G58" s="17" t="str">
        <f>IF(F58="","",IF(64*F58=0,"",64*F58))</f>
        <v/>
      </c>
      <c r="H58" s="19" t="str">
        <f>IF(Dati!E58="","",Dati!E58)</f>
        <v/>
      </c>
      <c r="I58" s="19" t="str">
        <f>IFERROR(IF(OR(C58="",C58=0),"",H58/C58*100),"")</f>
        <v/>
      </c>
      <c r="J58" s="20" t="str">
        <f>IF(Dati!F58="","",Dati!F58)</f>
        <v/>
      </c>
      <c r="K58" s="19" t="str">
        <f>IF(OR(H58="",J58=""),"",IF(H58*J58=0,"",H58*J58))</f>
        <v/>
      </c>
      <c r="L58" s="19" t="str">
        <f>IF(A58="","",IFERROR(IF(SUMPRODUCT((ISNUMBER(A$2:A58))*(A$2:A58&gt;1000)*(MONTH(IF(ISNUMBER(A$2:A58),A$2:A58,1))=MONTH(A58))*(YEAR(IF(ISNUMBER(A$2:A58),A$2:A58,1))=YEAR(A58))*IF(ISNUMBER(K$2:K58),K$2:K58,0))=0,"",SUMPRODUCT((ISNUMBER(A$2:A58))*(A$2:A58&gt;1000)*(MONTH(IF(ISNUMBER(A$2:A58),A$2:A58,1))=MONTH(A58))*(YEAR(IF(ISNUMBER(A$2:A58),A$2:A58,1))=YEAR(A58))*IF(ISNUMBER(K$2:K58),K$2:K58,0))),""))</f>
        <v/>
      </c>
      <c r="M58" s="21" t="str">
        <f>IF(A58="","",IFERROR(IF(SUMIF(N$2:N58,"CASA",K$2:K58)=0,"",SUMIF(N$2:N58,"CASA",K$2:K58)),""))</f>
        <v/>
      </c>
      <c r="N58" s="17" t="str">
        <f>IF(J58="","",IF(J58=0.2,"CASA",IF(Dati!G58="","",Dati!G58)))</f>
        <v/>
      </c>
    </row>
    <row r="59" spans="1:14" ht="15" customHeight="1" x14ac:dyDescent="0.2">
      <c r="A59" s="23" t="str">
        <f>IF(Dati!A59="","",Dati!A59)</f>
        <v/>
      </c>
      <c r="B59" s="17" t="str">
        <f>IF(Dati!B59="","",Dati!B59)</f>
        <v/>
      </c>
      <c r="C59" s="17" t="str">
        <f>IF(B59="","",IF(ISNUMBER(B58),IF(B59-B58&lt;0,B59,IF(B59-B58=0,"",B59-B58)),B59))</f>
        <v/>
      </c>
      <c r="D59" s="18" t="str">
        <f>IF(Dati!C59="","",IF(Dati!C59&gt;1,Dati!C59/100,Dati!C59))</f>
        <v/>
      </c>
      <c r="E59" s="18" t="str">
        <f>IF(Dati!D59="","",IF(Dati!D59&gt;1,Dati!D59/100,Dati!D59))</f>
        <v/>
      </c>
      <c r="F59" s="18" t="str">
        <f>IF(OR(D59="",E59=""),"",IF(OR(D59&gt;1,E59&gt;1),(E59-D59)/100,E59-D59))</f>
        <v/>
      </c>
      <c r="G59" s="17" t="str">
        <f>IF(F59="","",IF(64*F59=0,"",64*F59))</f>
        <v/>
      </c>
      <c r="H59" s="19" t="str">
        <f>IF(Dati!E59="","",Dati!E59)</f>
        <v/>
      </c>
      <c r="I59" s="19" t="str">
        <f>IFERROR(IF(OR(C59="",C59=0),"",H59/C59*100),"")</f>
        <v/>
      </c>
      <c r="J59" s="20" t="str">
        <f>IF(Dati!F59="","",Dati!F59)</f>
        <v/>
      </c>
      <c r="K59" s="19" t="str">
        <f>IF(OR(H59="",J59=""),"",IF(H59*J59=0,"",H59*J59))</f>
        <v/>
      </c>
      <c r="L59" s="19" t="str">
        <f>IF(A59="","",IFERROR(IF(SUMPRODUCT((ISNUMBER(A$2:A59))*(A$2:A59&gt;1000)*(MONTH(IF(ISNUMBER(A$2:A59),A$2:A59,1))=MONTH(A59))*(YEAR(IF(ISNUMBER(A$2:A59),A$2:A59,1))=YEAR(A59))*IF(ISNUMBER(K$2:K59),K$2:K59,0))=0,"",SUMPRODUCT((ISNUMBER(A$2:A59))*(A$2:A59&gt;1000)*(MONTH(IF(ISNUMBER(A$2:A59),A$2:A59,1))=MONTH(A59))*(YEAR(IF(ISNUMBER(A$2:A59),A$2:A59,1))=YEAR(A59))*IF(ISNUMBER(K$2:K59),K$2:K59,0))),""))</f>
        <v/>
      </c>
      <c r="M59" s="21" t="str">
        <f>IF(A59="","",IFERROR(IF(SUMIF(N$2:N59,"CASA",K$2:K59)=0,"",SUMIF(N$2:N59,"CASA",K$2:K59)),""))</f>
        <v/>
      </c>
      <c r="N59" s="17" t="str">
        <f>IF(J59="","",IF(J59=0.2,"CASA",IF(Dati!G59="","",Dati!G59)))</f>
        <v/>
      </c>
    </row>
    <row r="60" spans="1:14" ht="15" customHeight="1" x14ac:dyDescent="0.2">
      <c r="A60" s="23" t="str">
        <f>IF(Dati!A60="","",Dati!A60)</f>
        <v/>
      </c>
      <c r="B60" s="17" t="str">
        <f>IF(Dati!B60="","",Dati!B60)</f>
        <v/>
      </c>
      <c r="C60" s="17" t="str">
        <f>IF(B60="","",IF(ISNUMBER(B59),IF(B60-B59&lt;0,B60,IF(B60-B59=0,"",B60-B59)),B60))</f>
        <v/>
      </c>
      <c r="D60" s="18" t="str">
        <f>IF(Dati!C60="","",IF(Dati!C60&gt;1,Dati!C60/100,Dati!C60))</f>
        <v/>
      </c>
      <c r="E60" s="18" t="str">
        <f>IF(Dati!D60="","",IF(Dati!D60&gt;1,Dati!D60/100,Dati!D60))</f>
        <v/>
      </c>
      <c r="F60" s="18" t="str">
        <f>IF(OR(D60="",E60=""),"",IF(OR(D60&gt;1,E60&gt;1),(E60-D60)/100,E60-D60))</f>
        <v/>
      </c>
      <c r="G60" s="17" t="str">
        <f>IF(F60="","",IF(64*F60=0,"",64*F60))</f>
        <v/>
      </c>
      <c r="H60" s="19" t="str">
        <f>IF(Dati!E60="","",Dati!E60)</f>
        <v/>
      </c>
      <c r="I60" s="19" t="str">
        <f>IFERROR(IF(OR(C60="",C60=0),"",H60/C60*100),"")</f>
        <v/>
      </c>
      <c r="J60" s="20" t="str">
        <f>IF(Dati!F60="","",Dati!F60)</f>
        <v/>
      </c>
      <c r="K60" s="19" t="str">
        <f>IF(OR(H60="",J60=""),"",IF(H60*J60=0,"",H60*J60))</f>
        <v/>
      </c>
      <c r="L60" s="19" t="str">
        <f>IF(A60="","",IFERROR(IF(SUMPRODUCT((ISNUMBER(A$2:A60))*(A$2:A60&gt;1000)*(MONTH(IF(ISNUMBER(A$2:A60),A$2:A60,1))=MONTH(A60))*(YEAR(IF(ISNUMBER(A$2:A60),A$2:A60,1))=YEAR(A60))*IF(ISNUMBER(K$2:K60),K$2:K60,0))=0,"",SUMPRODUCT((ISNUMBER(A$2:A60))*(A$2:A60&gt;1000)*(MONTH(IF(ISNUMBER(A$2:A60),A$2:A60,1))=MONTH(A60))*(YEAR(IF(ISNUMBER(A$2:A60),A$2:A60,1))=YEAR(A60))*IF(ISNUMBER(K$2:K60),K$2:K60,0))),""))</f>
        <v/>
      </c>
      <c r="M60" s="21" t="str">
        <f>IF(A60="","",IFERROR(IF(SUMIF(N$2:N60,"CASA",K$2:K60)=0,"",SUMIF(N$2:N60,"CASA",K$2:K60)),""))</f>
        <v/>
      </c>
      <c r="N60" s="17" t="str">
        <f>IF(J60="","",IF(J60=0.2,"CASA",IF(Dati!G60="","",Dati!G60)))</f>
        <v/>
      </c>
    </row>
    <row r="61" spans="1:14" ht="15" customHeight="1" x14ac:dyDescent="0.2">
      <c r="A61" s="23" t="str">
        <f>IF(Dati!A61="","",Dati!A61)</f>
        <v/>
      </c>
      <c r="B61" s="17" t="str">
        <f>IF(Dati!B61="","",Dati!B61)</f>
        <v/>
      </c>
      <c r="C61" s="17" t="str">
        <f>IF(B61="","",IF(ISNUMBER(B60),IF(B61-B60&lt;0,B61,IF(B61-B60=0,"",B61-B60)),B61))</f>
        <v/>
      </c>
      <c r="D61" s="18" t="str">
        <f>IF(Dati!C61="","",IF(Dati!C61&gt;1,Dati!C61/100,Dati!C61))</f>
        <v/>
      </c>
      <c r="E61" s="18" t="str">
        <f>IF(Dati!D61="","",IF(Dati!D61&gt;1,Dati!D61/100,Dati!D61))</f>
        <v/>
      </c>
      <c r="F61" s="18" t="str">
        <f>IF(OR(D61="",E61=""),"",IF(OR(D61&gt;1,E61&gt;1),(E61-D61)/100,E61-D61))</f>
        <v/>
      </c>
      <c r="G61" s="17" t="str">
        <f>IF(F61="","",IF(64*F61=0,"",64*F61))</f>
        <v/>
      </c>
      <c r="H61" s="19" t="str">
        <f>IF(Dati!E61="","",Dati!E61)</f>
        <v/>
      </c>
      <c r="I61" s="19" t="str">
        <f>IFERROR(IF(OR(C61="",C61=0),"",H61/C61*100),"")</f>
        <v/>
      </c>
      <c r="J61" s="20" t="str">
        <f>IF(Dati!F61="","",Dati!F61)</f>
        <v/>
      </c>
      <c r="K61" s="19" t="str">
        <f>IF(OR(H61="",J61=""),"",IF(H61*J61=0,"",H61*J61))</f>
        <v/>
      </c>
      <c r="L61" s="19" t="str">
        <f>IF(A61="","",IFERROR(IF(SUMPRODUCT((ISNUMBER(A$2:A61))*(A$2:A61&gt;1000)*(MONTH(IF(ISNUMBER(A$2:A61),A$2:A61,1))=MONTH(A61))*(YEAR(IF(ISNUMBER(A$2:A61),A$2:A61,1))=YEAR(A61))*IF(ISNUMBER(K$2:K61),K$2:K61,0))=0,"",SUMPRODUCT((ISNUMBER(A$2:A61))*(A$2:A61&gt;1000)*(MONTH(IF(ISNUMBER(A$2:A61),A$2:A61,1))=MONTH(A61))*(YEAR(IF(ISNUMBER(A$2:A61),A$2:A61,1))=YEAR(A61))*IF(ISNUMBER(K$2:K61),K$2:K61,0))),""))</f>
        <v/>
      </c>
      <c r="M61" s="21" t="str">
        <f>IF(A61="","",IFERROR(IF(SUMIF(N$2:N61,"CASA",K$2:K61)=0,"",SUMIF(N$2:N61,"CASA",K$2:K61)),""))</f>
        <v/>
      </c>
      <c r="N61" s="17" t="str">
        <f>IF(J61="","",IF(J61=0.2,"CASA",IF(Dati!G61="","",Dati!G61)))</f>
        <v/>
      </c>
    </row>
    <row r="62" spans="1:14" ht="15" customHeight="1" x14ac:dyDescent="0.2">
      <c r="A62" s="23" t="str">
        <f>IF(Dati!A62="","",Dati!A62)</f>
        <v/>
      </c>
      <c r="B62" s="17" t="str">
        <f>IF(Dati!B62="","",Dati!B62)</f>
        <v/>
      </c>
      <c r="C62" s="17" t="str">
        <f>IF(B62="","",IF(ISNUMBER(B61),IF(B62-B61&lt;0,B62,IF(B62-B61=0,"",B62-B61)),B62))</f>
        <v/>
      </c>
      <c r="D62" s="18" t="str">
        <f>IF(Dati!C62="","",IF(Dati!C62&gt;1,Dati!C62/100,Dati!C62))</f>
        <v/>
      </c>
      <c r="E62" s="18" t="str">
        <f>IF(Dati!D62="","",IF(Dati!D62&gt;1,Dati!D62/100,Dati!D62))</f>
        <v/>
      </c>
      <c r="F62" s="18" t="str">
        <f>IF(OR(D62="",E62=""),"",IF(OR(D62&gt;1,E62&gt;1),(E62-D62)/100,E62-D62))</f>
        <v/>
      </c>
      <c r="G62" s="17" t="str">
        <f>IF(F62="","",IF(64*F62=0,"",64*F62))</f>
        <v/>
      </c>
      <c r="H62" s="19" t="str">
        <f>IF(Dati!E62="","",Dati!E62)</f>
        <v/>
      </c>
      <c r="I62" s="19" t="str">
        <f>IFERROR(IF(OR(C62="",C62=0),"",H62/C62*100),"")</f>
        <v/>
      </c>
      <c r="J62" s="20" t="str">
        <f>IF(Dati!F62="","",Dati!F62)</f>
        <v/>
      </c>
      <c r="K62" s="19" t="str">
        <f>IF(OR(H62="",J62=""),"",IF(H62*J62=0,"",H62*J62))</f>
        <v/>
      </c>
      <c r="L62" s="19" t="str">
        <f>IF(A62="","",IFERROR(IF(SUMPRODUCT((ISNUMBER(A$2:A62))*(A$2:A62&gt;1000)*(MONTH(IF(ISNUMBER(A$2:A62),A$2:A62,1))=MONTH(A62))*(YEAR(IF(ISNUMBER(A$2:A62),A$2:A62,1))=YEAR(A62))*IF(ISNUMBER(K$2:K62),K$2:K62,0))=0,"",SUMPRODUCT((ISNUMBER(A$2:A62))*(A$2:A62&gt;1000)*(MONTH(IF(ISNUMBER(A$2:A62),A$2:A62,1))=MONTH(A62))*(YEAR(IF(ISNUMBER(A$2:A62),A$2:A62,1))=YEAR(A62))*IF(ISNUMBER(K$2:K62),K$2:K62,0))),""))</f>
        <v/>
      </c>
      <c r="M62" s="21" t="str">
        <f>IF(A62="","",IFERROR(IF(SUMIF(N$2:N62,"CASA",K$2:K62)=0,"",SUMIF(N$2:N62,"CASA",K$2:K62)),""))</f>
        <v/>
      </c>
      <c r="N62" s="17" t="str">
        <f>IF(J62="","",IF(J62=0.2,"CASA",IF(Dati!G62="","",Dati!G62)))</f>
        <v/>
      </c>
    </row>
    <row r="63" spans="1:14" ht="15" customHeight="1" x14ac:dyDescent="0.2">
      <c r="A63" s="23" t="str">
        <f>IF(Dati!A63="","",Dati!A63)</f>
        <v/>
      </c>
      <c r="B63" s="17" t="str">
        <f>IF(Dati!B63="","",Dati!B63)</f>
        <v/>
      </c>
      <c r="C63" s="17" t="str">
        <f>IF(B63="","",IF(ISNUMBER(B62),IF(B63-B62&lt;0,B63,IF(B63-B62=0,"",B63-B62)),B63))</f>
        <v/>
      </c>
      <c r="D63" s="18" t="str">
        <f>IF(Dati!C63="","",IF(Dati!C63&gt;1,Dati!C63/100,Dati!C63))</f>
        <v/>
      </c>
      <c r="E63" s="18" t="str">
        <f>IF(Dati!D63="","",IF(Dati!D63&gt;1,Dati!D63/100,Dati!D63))</f>
        <v/>
      </c>
      <c r="F63" s="18" t="str">
        <f>IF(OR(D63="",E63=""),"",IF(OR(D63&gt;1,E63&gt;1),(E63-D63)/100,E63-D63))</f>
        <v/>
      </c>
      <c r="G63" s="17" t="str">
        <f>IF(F63="","",IF(64*F63=0,"",64*F63))</f>
        <v/>
      </c>
      <c r="H63" s="19" t="str">
        <f>IF(Dati!E63="","",Dati!E63)</f>
        <v/>
      </c>
      <c r="I63" s="19" t="str">
        <f>IFERROR(IF(OR(C63="",C63=0),"",H63/C63*100),"")</f>
        <v/>
      </c>
      <c r="J63" s="20" t="str">
        <f>IF(Dati!F63="","",Dati!F63)</f>
        <v/>
      </c>
      <c r="K63" s="19" t="str">
        <f>IF(OR(H63="",J63=""),"",IF(H63*J63=0,"",H63*J63))</f>
        <v/>
      </c>
      <c r="L63" s="19" t="str">
        <f>IF(A63="","",IFERROR(IF(SUMPRODUCT((ISNUMBER(A$2:A63))*(A$2:A63&gt;1000)*(MONTH(IF(ISNUMBER(A$2:A63),A$2:A63,1))=MONTH(A63))*(YEAR(IF(ISNUMBER(A$2:A63),A$2:A63,1))=YEAR(A63))*IF(ISNUMBER(K$2:K63),K$2:K63,0))=0,"",SUMPRODUCT((ISNUMBER(A$2:A63))*(A$2:A63&gt;1000)*(MONTH(IF(ISNUMBER(A$2:A63),A$2:A63,1))=MONTH(A63))*(YEAR(IF(ISNUMBER(A$2:A63),A$2:A63,1))=YEAR(A63))*IF(ISNUMBER(K$2:K63),K$2:K63,0))),""))</f>
        <v/>
      </c>
      <c r="M63" s="21" t="str">
        <f>IF(A63="","",IFERROR(IF(SUMIF(N$2:N63,"CASA",K$2:K63)=0,"",SUMIF(N$2:N63,"CASA",K$2:K63)),""))</f>
        <v/>
      </c>
      <c r="N63" s="17" t="str">
        <f>IF(J63="","",IF(J63=0.2,"CASA",IF(Dati!G63="","",Dati!G63)))</f>
        <v/>
      </c>
    </row>
    <row r="64" spans="1:14" ht="15" customHeight="1" x14ac:dyDescent="0.2">
      <c r="A64" s="23" t="str">
        <f>IF(Dati!A64="","",Dati!A64)</f>
        <v/>
      </c>
      <c r="B64" s="17" t="str">
        <f>IF(Dati!B64="","",Dati!B64)</f>
        <v/>
      </c>
      <c r="C64" s="17" t="str">
        <f>IF(B64="","",IF(ISNUMBER(B63),IF(B64-B63&lt;0,B64,IF(B64-B63=0,"",B64-B63)),B64))</f>
        <v/>
      </c>
      <c r="D64" s="18" t="str">
        <f>IF(Dati!C64="","",IF(Dati!C64&gt;1,Dati!C64/100,Dati!C64))</f>
        <v/>
      </c>
      <c r="E64" s="18" t="str">
        <f>IF(Dati!D64="","",IF(Dati!D64&gt;1,Dati!D64/100,Dati!D64))</f>
        <v/>
      </c>
      <c r="F64" s="18" t="str">
        <f>IF(OR(D64="",E64=""),"",IF(OR(D64&gt;1,E64&gt;1),(E64-D64)/100,E64-D64))</f>
        <v/>
      </c>
      <c r="G64" s="17" t="str">
        <f>IF(F64="","",IF(64*F64=0,"",64*F64))</f>
        <v/>
      </c>
      <c r="H64" s="19" t="str">
        <f>IF(Dati!E64="","",Dati!E64)</f>
        <v/>
      </c>
      <c r="I64" s="19" t="str">
        <f>IFERROR(IF(OR(C64="",C64=0),"",H64/C64*100),"")</f>
        <v/>
      </c>
      <c r="J64" s="20" t="str">
        <f>IF(Dati!F64="","",Dati!F64)</f>
        <v/>
      </c>
      <c r="K64" s="19" t="str">
        <f>IF(OR(H64="",J64=""),"",IF(H64*J64=0,"",H64*J64))</f>
        <v/>
      </c>
      <c r="L64" s="19" t="str">
        <f>IF(A64="","",IFERROR(IF(SUMPRODUCT((ISNUMBER(A$2:A64))*(A$2:A64&gt;1000)*(MONTH(IF(ISNUMBER(A$2:A64),A$2:A64,1))=MONTH(A64))*(YEAR(IF(ISNUMBER(A$2:A64),A$2:A64,1))=YEAR(A64))*IF(ISNUMBER(K$2:K64),K$2:K64,0))=0,"",SUMPRODUCT((ISNUMBER(A$2:A64))*(A$2:A64&gt;1000)*(MONTH(IF(ISNUMBER(A$2:A64),A$2:A64,1))=MONTH(A64))*(YEAR(IF(ISNUMBER(A$2:A64),A$2:A64,1))=YEAR(A64))*IF(ISNUMBER(K$2:K64),K$2:K64,0))),""))</f>
        <v/>
      </c>
      <c r="M64" s="21" t="str">
        <f>IF(A64="","",IFERROR(IF(SUMIF(N$2:N64,"CASA",K$2:K64)=0,"",SUMIF(N$2:N64,"CASA",K$2:K64)),""))</f>
        <v/>
      </c>
      <c r="N64" s="17" t="str">
        <f>IF(J64="","",IF(J64=0.2,"CASA",IF(Dati!G64="","",Dati!G64)))</f>
        <v/>
      </c>
    </row>
    <row r="65" spans="1:14" ht="15" customHeight="1" x14ac:dyDescent="0.2">
      <c r="A65" s="23" t="str">
        <f>IF(Dati!A65="","",Dati!A65)</f>
        <v/>
      </c>
      <c r="B65" s="17" t="str">
        <f>IF(Dati!B65="","",Dati!B65)</f>
        <v/>
      </c>
      <c r="C65" s="17" t="str">
        <f>IF(B65="","",IF(ISNUMBER(B64),IF(B65-B64&lt;0,B65,IF(B65-B64=0,"",B65-B64)),B65))</f>
        <v/>
      </c>
      <c r="D65" s="18" t="str">
        <f>IF(Dati!C65="","",IF(Dati!C65&gt;1,Dati!C65/100,Dati!C65))</f>
        <v/>
      </c>
      <c r="E65" s="18" t="str">
        <f>IF(Dati!D65="","",IF(Dati!D65&gt;1,Dati!D65/100,Dati!D65))</f>
        <v/>
      </c>
      <c r="F65" s="18" t="str">
        <f>IF(OR(D65="",E65=""),"",IF(OR(D65&gt;1,E65&gt;1),(E65-D65)/100,E65-D65))</f>
        <v/>
      </c>
      <c r="G65" s="17" t="str">
        <f>IF(F65="","",IF(64*F65=0,"",64*F65))</f>
        <v/>
      </c>
      <c r="H65" s="19" t="str">
        <f>IF(Dati!E65="","",Dati!E65)</f>
        <v/>
      </c>
      <c r="I65" s="19" t="str">
        <f>IFERROR(IF(OR(C65="",C65=0),"",H65/C65*100),"")</f>
        <v/>
      </c>
      <c r="J65" s="20" t="str">
        <f>IF(Dati!F65="","",Dati!F65)</f>
        <v/>
      </c>
      <c r="K65" s="19" t="str">
        <f>IF(OR(H65="",J65=""),"",IF(H65*J65=0,"",H65*J65))</f>
        <v/>
      </c>
      <c r="L65" s="19" t="str">
        <f>IF(A65="","",IFERROR(IF(SUMPRODUCT((ISNUMBER(A$2:A65))*(A$2:A65&gt;1000)*(MONTH(IF(ISNUMBER(A$2:A65),A$2:A65,1))=MONTH(A65))*(YEAR(IF(ISNUMBER(A$2:A65),A$2:A65,1))=YEAR(A65))*IF(ISNUMBER(K$2:K65),K$2:K65,0))=0,"",SUMPRODUCT((ISNUMBER(A$2:A65))*(A$2:A65&gt;1000)*(MONTH(IF(ISNUMBER(A$2:A65),A$2:A65,1))=MONTH(A65))*(YEAR(IF(ISNUMBER(A$2:A65),A$2:A65,1))=YEAR(A65))*IF(ISNUMBER(K$2:K65),K$2:K65,0))),""))</f>
        <v/>
      </c>
      <c r="M65" s="21" t="str">
        <f>IF(A65="","",IFERROR(IF(SUMIF(N$2:N65,"CASA",K$2:K65)=0,"",SUMIF(N$2:N65,"CASA",K$2:K65)),""))</f>
        <v/>
      </c>
      <c r="N65" s="17" t="str">
        <f>IF(J65="","",IF(J65=0.2,"CASA",IF(Dati!G65="","",Dati!G65)))</f>
        <v/>
      </c>
    </row>
    <row r="66" spans="1:14" ht="15" customHeight="1" x14ac:dyDescent="0.2">
      <c r="A66" s="23" t="str">
        <f>IF(Dati!A66="","",Dati!A66)</f>
        <v/>
      </c>
      <c r="B66" s="17" t="str">
        <f>IF(Dati!B66="","",Dati!B66)</f>
        <v/>
      </c>
      <c r="C66" s="17" t="str">
        <f>IF(B66="","",IF(ISNUMBER(B65),IF(B66-B65&lt;0,B66,IF(B66-B65=0,"",B66-B65)),B66))</f>
        <v/>
      </c>
      <c r="D66" s="18" t="str">
        <f>IF(Dati!C66="","",IF(Dati!C66&gt;1,Dati!C66/100,Dati!C66))</f>
        <v/>
      </c>
      <c r="E66" s="18" t="str">
        <f>IF(Dati!D66="","",IF(Dati!D66&gt;1,Dati!D66/100,Dati!D66))</f>
        <v/>
      </c>
      <c r="F66" s="18" t="str">
        <f>IF(OR(D66="",E66=""),"",IF(OR(D66&gt;1,E66&gt;1),(E66-D66)/100,E66-D66))</f>
        <v/>
      </c>
      <c r="G66" s="17" t="str">
        <f>IF(F66="","",IF(64*F66=0,"",64*F66))</f>
        <v/>
      </c>
      <c r="H66" s="19" t="str">
        <f>IF(Dati!E66="","",Dati!E66)</f>
        <v/>
      </c>
      <c r="I66" s="19" t="str">
        <f>IFERROR(IF(OR(C66="",C66=0),"",H66/C66*100),"")</f>
        <v/>
      </c>
      <c r="J66" s="20" t="str">
        <f>IF(Dati!F66="","",Dati!F66)</f>
        <v/>
      </c>
      <c r="K66" s="19" t="str">
        <f>IF(OR(H66="",J66=""),"",IF(H66*J66=0,"",H66*J66))</f>
        <v/>
      </c>
      <c r="L66" s="19" t="str">
        <f>IF(A66="","",IFERROR(IF(SUMPRODUCT((ISNUMBER(A$2:A66))*(A$2:A66&gt;1000)*(MONTH(IF(ISNUMBER(A$2:A66),A$2:A66,1))=MONTH(A66))*(YEAR(IF(ISNUMBER(A$2:A66),A$2:A66,1))=YEAR(A66))*IF(ISNUMBER(K$2:K66),K$2:K66,0))=0,"",SUMPRODUCT((ISNUMBER(A$2:A66))*(A$2:A66&gt;1000)*(MONTH(IF(ISNUMBER(A$2:A66),A$2:A66,1))=MONTH(A66))*(YEAR(IF(ISNUMBER(A$2:A66),A$2:A66,1))=YEAR(A66))*IF(ISNUMBER(K$2:K66),K$2:K66,0))),""))</f>
        <v/>
      </c>
      <c r="M66" s="21" t="str">
        <f>IF(A66="","",IFERROR(IF(SUMIF(N$2:N66,"CASA",K$2:K66)=0,"",SUMIF(N$2:N66,"CASA",K$2:K66)),""))</f>
        <v/>
      </c>
      <c r="N66" s="17" t="str">
        <f>IF(J66="","",IF(J66=0.2,"CASA",IF(Dati!G66="","",Dati!G66)))</f>
        <v/>
      </c>
    </row>
    <row r="67" spans="1:14" ht="15" customHeight="1" x14ac:dyDescent="0.2">
      <c r="A67" s="23" t="str">
        <f>IF(Dati!A67="","",Dati!A67)</f>
        <v/>
      </c>
      <c r="B67" s="17" t="str">
        <f>IF(Dati!B67="","",Dati!B67)</f>
        <v/>
      </c>
      <c r="C67" s="17" t="str">
        <f>IF(B67="","",IF(ISNUMBER(B66),IF(B67-B66&lt;0,B67,IF(B67-B66=0,"",B67-B66)),B67))</f>
        <v/>
      </c>
      <c r="D67" s="18" t="str">
        <f>IF(Dati!C67="","",IF(Dati!C67&gt;1,Dati!C67/100,Dati!C67))</f>
        <v/>
      </c>
      <c r="E67" s="18" t="str">
        <f>IF(Dati!D67="","",IF(Dati!D67&gt;1,Dati!D67/100,Dati!D67))</f>
        <v/>
      </c>
      <c r="F67" s="18" t="str">
        <f>IF(OR(D67="",E67=""),"",IF(OR(D67&gt;1,E67&gt;1),(E67-D67)/100,E67-D67))</f>
        <v/>
      </c>
      <c r="G67" s="17" t="str">
        <f>IF(F67="","",IF(64*F67=0,"",64*F67))</f>
        <v/>
      </c>
      <c r="H67" s="19" t="str">
        <f>IF(Dati!E67="","",Dati!E67)</f>
        <v/>
      </c>
      <c r="I67" s="19" t="str">
        <f>IFERROR(IF(OR(C67="",C67=0),"",H67/C67*100),"")</f>
        <v/>
      </c>
      <c r="J67" s="20" t="str">
        <f>IF(Dati!F67="","",Dati!F67)</f>
        <v/>
      </c>
      <c r="K67" s="19" t="str">
        <f>IF(OR(H67="",J67=""),"",IF(H67*J67=0,"",H67*J67))</f>
        <v/>
      </c>
      <c r="L67" s="19" t="str">
        <f>IF(A67="","",IFERROR(IF(SUMPRODUCT((ISNUMBER(A$2:A67))*(A$2:A67&gt;1000)*(MONTH(IF(ISNUMBER(A$2:A67),A$2:A67,1))=MONTH(A67))*(YEAR(IF(ISNUMBER(A$2:A67),A$2:A67,1))=YEAR(A67))*IF(ISNUMBER(K$2:K67),K$2:K67,0))=0,"",SUMPRODUCT((ISNUMBER(A$2:A67))*(A$2:A67&gt;1000)*(MONTH(IF(ISNUMBER(A$2:A67),A$2:A67,1))=MONTH(A67))*(YEAR(IF(ISNUMBER(A$2:A67),A$2:A67,1))=YEAR(A67))*IF(ISNUMBER(K$2:K67),K$2:K67,0))),""))</f>
        <v/>
      </c>
      <c r="M67" s="21" t="str">
        <f>IF(A67="","",IFERROR(IF(SUMIF(N$2:N67,"CASA",K$2:K67)=0,"",SUMIF(N$2:N67,"CASA",K$2:K67)),""))</f>
        <v/>
      </c>
      <c r="N67" s="17" t="str">
        <f>IF(J67="","",IF(J67=0.2,"CASA",IF(Dati!G67="","",Dati!G67)))</f>
        <v/>
      </c>
    </row>
    <row r="68" spans="1:14" ht="15" customHeight="1" x14ac:dyDescent="0.2">
      <c r="A68" s="23" t="str">
        <f>IF(Dati!A68="","",Dati!A68)</f>
        <v/>
      </c>
      <c r="B68" s="17" t="str">
        <f>IF(Dati!B68="","",Dati!B68)</f>
        <v/>
      </c>
      <c r="C68" s="17" t="str">
        <f>IF(B68="","",IF(ISNUMBER(B67),IF(B68-B67&lt;0,B68,IF(B68-B67=0,"",B68-B67)),B68))</f>
        <v/>
      </c>
      <c r="D68" s="18" t="str">
        <f>IF(Dati!C68="","",IF(Dati!C68&gt;1,Dati!C68/100,Dati!C68))</f>
        <v/>
      </c>
      <c r="E68" s="18" t="str">
        <f>IF(Dati!D68="","",IF(Dati!D68&gt;1,Dati!D68/100,Dati!D68))</f>
        <v/>
      </c>
      <c r="F68" s="18" t="str">
        <f>IF(OR(D68="",E68=""),"",IF(OR(D68&gt;1,E68&gt;1),(E68-D68)/100,E68-D68))</f>
        <v/>
      </c>
      <c r="G68" s="17" t="str">
        <f>IF(F68="","",IF(64*F68=0,"",64*F68))</f>
        <v/>
      </c>
      <c r="H68" s="19" t="str">
        <f>IF(Dati!E68="","",Dati!E68)</f>
        <v/>
      </c>
      <c r="I68" s="19" t="str">
        <f>IFERROR(IF(OR(C68="",C68=0),"",H68/C68*100),"")</f>
        <v/>
      </c>
      <c r="J68" s="20" t="str">
        <f>IF(Dati!F68="","",Dati!F68)</f>
        <v/>
      </c>
      <c r="K68" s="19" t="str">
        <f>IF(OR(H68="",J68=""),"",IF(H68*J68=0,"",H68*J68))</f>
        <v/>
      </c>
      <c r="L68" s="19" t="str">
        <f>IF(A68="","",IFERROR(IF(SUMPRODUCT((ISNUMBER(A$2:A68))*(A$2:A68&gt;1000)*(MONTH(IF(ISNUMBER(A$2:A68),A$2:A68,1))=MONTH(A68))*(YEAR(IF(ISNUMBER(A$2:A68),A$2:A68,1))=YEAR(A68))*IF(ISNUMBER(K$2:K68),K$2:K68,0))=0,"",SUMPRODUCT((ISNUMBER(A$2:A68))*(A$2:A68&gt;1000)*(MONTH(IF(ISNUMBER(A$2:A68),A$2:A68,1))=MONTH(A68))*(YEAR(IF(ISNUMBER(A$2:A68),A$2:A68,1))=YEAR(A68))*IF(ISNUMBER(K$2:K68),K$2:K68,0))),""))</f>
        <v/>
      </c>
      <c r="M68" s="21" t="str">
        <f>IF(A68="","",IFERROR(IF(SUMIF(N$2:N68,"CASA",K$2:K68)=0,"",SUMIF(N$2:N68,"CASA",K$2:K68)),""))</f>
        <v/>
      </c>
      <c r="N68" s="17" t="str">
        <f>IF(J68="","",IF(J68=0.2,"CASA",IF(Dati!G68="","",Dati!G68)))</f>
        <v/>
      </c>
    </row>
    <row r="69" spans="1:14" ht="15" customHeight="1" x14ac:dyDescent="0.2">
      <c r="A69" s="23" t="str">
        <f>IF(Dati!A69="","",Dati!A69)</f>
        <v/>
      </c>
      <c r="B69" s="17" t="str">
        <f>IF(Dati!B69="","",Dati!B69)</f>
        <v/>
      </c>
      <c r="C69" s="17" t="str">
        <f>IF(B69="","",IF(ISNUMBER(B68),IF(B69-B68&lt;0,B69,IF(B69-B68=0,"",B69-B68)),B69))</f>
        <v/>
      </c>
      <c r="D69" s="18" t="str">
        <f>IF(Dati!C69="","",IF(Dati!C69&gt;1,Dati!C69/100,Dati!C69))</f>
        <v/>
      </c>
      <c r="E69" s="18" t="str">
        <f>IF(Dati!D69="","",IF(Dati!D69&gt;1,Dati!D69/100,Dati!D69))</f>
        <v/>
      </c>
      <c r="F69" s="18" t="str">
        <f>IF(OR(D69="",E69=""),"",IF(OR(D69&gt;1,E69&gt;1),(E69-D69)/100,E69-D69))</f>
        <v/>
      </c>
      <c r="G69" s="17" t="str">
        <f>IF(F69="","",IF(64*F69=0,"",64*F69))</f>
        <v/>
      </c>
      <c r="H69" s="19" t="str">
        <f>IF(Dati!E69="","",Dati!E69)</f>
        <v/>
      </c>
      <c r="I69" s="19" t="str">
        <f>IFERROR(IF(OR(C69="",C69=0),"",H69/C69*100),"")</f>
        <v/>
      </c>
      <c r="J69" s="20" t="str">
        <f>IF(Dati!F69="","",Dati!F69)</f>
        <v/>
      </c>
      <c r="K69" s="19" t="str">
        <f>IF(OR(H69="",J69=""),"",IF(H69*J69=0,"",H69*J69))</f>
        <v/>
      </c>
      <c r="L69" s="19" t="str">
        <f>IF(A69="","",IFERROR(IF(SUMPRODUCT((ISNUMBER(A$2:A69))*(A$2:A69&gt;1000)*(MONTH(IF(ISNUMBER(A$2:A69),A$2:A69,1))=MONTH(A69))*(YEAR(IF(ISNUMBER(A$2:A69),A$2:A69,1))=YEAR(A69))*IF(ISNUMBER(K$2:K69),K$2:K69,0))=0,"",SUMPRODUCT((ISNUMBER(A$2:A69))*(A$2:A69&gt;1000)*(MONTH(IF(ISNUMBER(A$2:A69),A$2:A69,1))=MONTH(A69))*(YEAR(IF(ISNUMBER(A$2:A69),A$2:A69,1))=YEAR(A69))*IF(ISNUMBER(K$2:K69),K$2:K69,0))),""))</f>
        <v/>
      </c>
      <c r="M69" s="21" t="str">
        <f>IF(A69="","",IFERROR(IF(SUMIF(N$2:N69,"CASA",K$2:K69)=0,"",SUMIF(N$2:N69,"CASA",K$2:K69)),""))</f>
        <v/>
      </c>
      <c r="N69" s="17" t="str">
        <f>IF(J69="","",IF(J69=0.2,"CASA",IF(Dati!G69="","",Dati!G69)))</f>
        <v/>
      </c>
    </row>
    <row r="70" spans="1:14" ht="15" customHeight="1" x14ac:dyDescent="0.2">
      <c r="A70" s="23" t="str">
        <f>IF(Dati!A70="","",Dati!A70)</f>
        <v/>
      </c>
      <c r="B70" s="17" t="str">
        <f>IF(Dati!B70="","",Dati!B70)</f>
        <v/>
      </c>
      <c r="C70" s="17" t="str">
        <f>IF(B70="","",IF(ISNUMBER(B69),IF(B70-B69&lt;0,B70,IF(B70-B69=0,"",B70-B69)),B70))</f>
        <v/>
      </c>
      <c r="D70" s="18" t="str">
        <f>IF(Dati!C70="","",IF(Dati!C70&gt;1,Dati!C70/100,Dati!C70))</f>
        <v/>
      </c>
      <c r="E70" s="18" t="str">
        <f>IF(Dati!D70="","",IF(Dati!D70&gt;1,Dati!D70/100,Dati!D70))</f>
        <v/>
      </c>
      <c r="F70" s="18" t="str">
        <f>IF(OR(D70="",E70=""),"",IF(OR(D70&gt;1,E70&gt;1),(E70-D70)/100,E70-D70))</f>
        <v/>
      </c>
      <c r="G70" s="17" t="str">
        <f>IF(F70="","",IF(64*F70=0,"",64*F70))</f>
        <v/>
      </c>
      <c r="H70" s="19" t="str">
        <f>IF(Dati!E70="","",Dati!E70)</f>
        <v/>
      </c>
      <c r="I70" s="19" t="str">
        <f>IFERROR(IF(OR(C70="",C70=0),"",H70/C70*100),"")</f>
        <v/>
      </c>
      <c r="J70" s="20" t="str">
        <f>IF(Dati!F70="","",Dati!F70)</f>
        <v/>
      </c>
      <c r="K70" s="19" t="str">
        <f>IF(OR(H70="",J70=""),"",IF(H70*J70=0,"",H70*J70))</f>
        <v/>
      </c>
      <c r="L70" s="19" t="str">
        <f>IF(A70="","",IFERROR(IF(SUMPRODUCT((ISNUMBER(A$2:A70))*(A$2:A70&gt;1000)*(MONTH(IF(ISNUMBER(A$2:A70),A$2:A70,1))=MONTH(A70))*(YEAR(IF(ISNUMBER(A$2:A70),A$2:A70,1))=YEAR(A70))*IF(ISNUMBER(K$2:K70),K$2:K70,0))=0,"",SUMPRODUCT((ISNUMBER(A$2:A70))*(A$2:A70&gt;1000)*(MONTH(IF(ISNUMBER(A$2:A70),A$2:A70,1))=MONTH(A70))*(YEAR(IF(ISNUMBER(A$2:A70),A$2:A70,1))=YEAR(A70))*IF(ISNUMBER(K$2:K70),K$2:K70,0))),""))</f>
        <v/>
      </c>
      <c r="M70" s="21" t="str">
        <f>IF(A70="","",IFERROR(IF(SUMIF(N$2:N70,"CASA",K$2:K70)=0,"",SUMIF(N$2:N70,"CASA",K$2:K70)),""))</f>
        <v/>
      </c>
      <c r="N70" s="17" t="str">
        <f>IF(J70="","",IF(J70=0.2,"CASA",IF(Dati!G70="","",Dati!G70)))</f>
        <v/>
      </c>
    </row>
    <row r="71" spans="1:14" ht="15" customHeight="1" x14ac:dyDescent="0.2">
      <c r="A71" s="23" t="str">
        <f>IF(Dati!A71="","",Dati!A71)</f>
        <v/>
      </c>
      <c r="B71" s="17" t="str">
        <f>IF(Dati!B71="","",Dati!B71)</f>
        <v/>
      </c>
      <c r="C71" s="17" t="str">
        <f>IF(B71="","",IF(ISNUMBER(B70),IF(B71-B70&lt;0,B71,IF(B71-B70=0,"",B71-B70)),B71))</f>
        <v/>
      </c>
      <c r="D71" s="18" t="str">
        <f>IF(Dati!C71="","",IF(Dati!C71&gt;1,Dati!C71/100,Dati!C71))</f>
        <v/>
      </c>
      <c r="E71" s="18" t="str">
        <f>IF(Dati!D71="","",IF(Dati!D71&gt;1,Dati!D71/100,Dati!D71))</f>
        <v/>
      </c>
      <c r="F71" s="18" t="str">
        <f>IF(OR(D71="",E71=""),"",IF(OR(D71&gt;1,E71&gt;1),(E71-D71)/100,E71-D71))</f>
        <v/>
      </c>
      <c r="G71" s="17" t="str">
        <f>IF(F71="","",IF(64*F71=0,"",64*F71))</f>
        <v/>
      </c>
      <c r="H71" s="19" t="str">
        <f>IF(Dati!E71="","",Dati!E71)</f>
        <v/>
      </c>
      <c r="I71" s="19" t="str">
        <f>IFERROR(IF(OR(C71="",C71=0),"",H71/C71*100),"")</f>
        <v/>
      </c>
      <c r="J71" s="20" t="str">
        <f>IF(Dati!F71="","",Dati!F71)</f>
        <v/>
      </c>
      <c r="K71" s="19" t="str">
        <f>IF(OR(H71="",J71=""),"",IF(H71*J71=0,"",H71*J71))</f>
        <v/>
      </c>
      <c r="L71" s="19" t="str">
        <f>IF(A71="","",IFERROR(IF(SUMPRODUCT((ISNUMBER(A$2:A71))*(A$2:A71&gt;1000)*(MONTH(IF(ISNUMBER(A$2:A71),A$2:A71,1))=MONTH(A71))*(YEAR(IF(ISNUMBER(A$2:A71),A$2:A71,1))=YEAR(A71))*IF(ISNUMBER(K$2:K71),K$2:K71,0))=0,"",SUMPRODUCT((ISNUMBER(A$2:A71))*(A$2:A71&gt;1000)*(MONTH(IF(ISNUMBER(A$2:A71),A$2:A71,1))=MONTH(A71))*(YEAR(IF(ISNUMBER(A$2:A71),A$2:A71,1))=YEAR(A71))*IF(ISNUMBER(K$2:K71),K$2:K71,0))),""))</f>
        <v/>
      </c>
      <c r="M71" s="21" t="str">
        <f>IF(A71="","",IFERROR(IF(SUMIF(N$2:N71,"CASA",K$2:K71)=0,"",SUMIF(N$2:N71,"CASA",K$2:K71)),""))</f>
        <v/>
      </c>
      <c r="N71" s="17" t="str">
        <f>IF(J71="","",IF(J71=0.2,"CASA",IF(Dati!G71="","",Dati!G71)))</f>
        <v/>
      </c>
    </row>
    <row r="72" spans="1:14" ht="15" customHeight="1" x14ac:dyDescent="0.2">
      <c r="A72" s="23" t="str">
        <f>IF(Dati!A72="","",Dati!A72)</f>
        <v/>
      </c>
      <c r="B72" s="17" t="str">
        <f>IF(Dati!B72="","",Dati!B72)</f>
        <v/>
      </c>
      <c r="C72" s="17" t="str">
        <f>IF(B72="","",IF(ISNUMBER(B71),IF(B72-B71&lt;0,B72,IF(B72-B71=0,"",B72-B71)),B72))</f>
        <v/>
      </c>
      <c r="D72" s="18" t="str">
        <f>IF(Dati!C72="","",IF(Dati!C72&gt;1,Dati!C72/100,Dati!C72))</f>
        <v/>
      </c>
      <c r="E72" s="18" t="str">
        <f>IF(Dati!D72="","",IF(Dati!D72&gt;1,Dati!D72/100,Dati!D72))</f>
        <v/>
      </c>
      <c r="F72" s="18" t="str">
        <f>IF(OR(D72="",E72=""),"",IF(OR(D72&gt;1,E72&gt;1),(E72-D72)/100,E72-D72))</f>
        <v/>
      </c>
      <c r="G72" s="17" t="str">
        <f>IF(F72="","",IF(64*F72=0,"",64*F72))</f>
        <v/>
      </c>
      <c r="H72" s="19" t="str">
        <f>IF(Dati!E72="","",Dati!E72)</f>
        <v/>
      </c>
      <c r="I72" s="19" t="str">
        <f>IFERROR(IF(OR(C72="",C72=0),"",H72/C72*100),"")</f>
        <v/>
      </c>
      <c r="J72" s="20" t="str">
        <f>IF(Dati!F72="","",Dati!F72)</f>
        <v/>
      </c>
      <c r="K72" s="19" t="str">
        <f>IF(OR(H72="",J72=""),"",IF(H72*J72=0,"",H72*J72))</f>
        <v/>
      </c>
      <c r="L72" s="19" t="str">
        <f>IF(A72="","",IFERROR(IF(SUMPRODUCT((ISNUMBER(A$2:A72))*(A$2:A72&gt;1000)*(MONTH(IF(ISNUMBER(A$2:A72),A$2:A72,1))=MONTH(A72))*(YEAR(IF(ISNUMBER(A$2:A72),A$2:A72,1))=YEAR(A72))*IF(ISNUMBER(K$2:K72),K$2:K72,0))=0,"",SUMPRODUCT((ISNUMBER(A$2:A72))*(A$2:A72&gt;1000)*(MONTH(IF(ISNUMBER(A$2:A72),A$2:A72,1))=MONTH(A72))*(YEAR(IF(ISNUMBER(A$2:A72),A$2:A72,1))=YEAR(A72))*IF(ISNUMBER(K$2:K72),K$2:K72,0))),""))</f>
        <v/>
      </c>
      <c r="M72" s="21" t="str">
        <f>IF(A72="","",IFERROR(IF(SUMIF(N$2:N72,"CASA",K$2:K72)=0,"",SUMIF(N$2:N72,"CASA",K$2:K72)),""))</f>
        <v/>
      </c>
      <c r="N72" s="17" t="str">
        <f>IF(J72="","",IF(J72=0.2,"CASA",IF(Dati!G72="","",Dati!G72)))</f>
        <v/>
      </c>
    </row>
    <row r="73" spans="1:14" ht="15" customHeight="1" x14ac:dyDescent="0.2">
      <c r="A73" s="23" t="str">
        <f>IF(Dati!A73="","",Dati!A73)</f>
        <v/>
      </c>
      <c r="B73" s="17" t="str">
        <f>IF(Dati!B73="","",Dati!B73)</f>
        <v/>
      </c>
      <c r="C73" s="17" t="str">
        <f>IF(B73="","",IF(ISNUMBER(B72),IF(B73-B72&lt;0,B73,IF(B73-B72=0,"",B73-B72)),B73))</f>
        <v/>
      </c>
      <c r="D73" s="18" t="str">
        <f>IF(Dati!C73="","",IF(Dati!C73&gt;1,Dati!C73/100,Dati!C73))</f>
        <v/>
      </c>
      <c r="E73" s="18" t="str">
        <f>IF(Dati!D73="","",IF(Dati!D73&gt;1,Dati!D73/100,Dati!D73))</f>
        <v/>
      </c>
      <c r="F73" s="18" t="str">
        <f>IF(OR(D73="",E73=""),"",IF(OR(D73&gt;1,E73&gt;1),(E73-D73)/100,E73-D73))</f>
        <v/>
      </c>
      <c r="G73" s="17" t="str">
        <f>IF(F73="","",IF(64*F73=0,"",64*F73))</f>
        <v/>
      </c>
      <c r="H73" s="19" t="str">
        <f>IF(Dati!E73="","",Dati!E73)</f>
        <v/>
      </c>
      <c r="I73" s="19" t="str">
        <f>IFERROR(IF(OR(C73="",C73=0),"",H73/C73*100),"")</f>
        <v/>
      </c>
      <c r="J73" s="20" t="str">
        <f>IF(Dati!F73="","",Dati!F73)</f>
        <v/>
      </c>
      <c r="K73" s="19" t="str">
        <f>IF(OR(H73="",J73=""),"",IF(H73*J73=0,"",H73*J73))</f>
        <v/>
      </c>
      <c r="L73" s="19" t="str">
        <f>IF(A73="","",IFERROR(IF(SUMPRODUCT((ISNUMBER(A$2:A73))*(A$2:A73&gt;1000)*(MONTH(IF(ISNUMBER(A$2:A73),A$2:A73,1))=MONTH(A73))*(YEAR(IF(ISNUMBER(A$2:A73),A$2:A73,1))=YEAR(A73))*IF(ISNUMBER(K$2:K73),K$2:K73,0))=0,"",SUMPRODUCT((ISNUMBER(A$2:A73))*(A$2:A73&gt;1000)*(MONTH(IF(ISNUMBER(A$2:A73),A$2:A73,1))=MONTH(A73))*(YEAR(IF(ISNUMBER(A$2:A73),A$2:A73,1))=YEAR(A73))*IF(ISNUMBER(K$2:K73),K$2:K73,0))),""))</f>
        <v/>
      </c>
      <c r="M73" s="21" t="str">
        <f>IF(A73="","",IFERROR(IF(SUMIF(N$2:N73,"CASA",K$2:K73)=0,"",SUMIF(N$2:N73,"CASA",K$2:K73)),""))</f>
        <v/>
      </c>
      <c r="N73" s="17" t="str">
        <f>IF(J73="","",IF(J73=0.2,"CASA",IF(Dati!G73="","",Dati!G73)))</f>
        <v/>
      </c>
    </row>
    <row r="74" spans="1:14" ht="15" customHeight="1" x14ac:dyDescent="0.2">
      <c r="A74" s="23" t="str">
        <f>IF(Dati!A74="","",Dati!A74)</f>
        <v/>
      </c>
      <c r="B74" s="17" t="str">
        <f>IF(Dati!B74="","",Dati!B74)</f>
        <v/>
      </c>
      <c r="C74" s="17" t="str">
        <f>IF(B74="","",IF(ISNUMBER(B73),IF(B74-B73&lt;0,B74,IF(B74-B73=0,"",B74-B73)),B74))</f>
        <v/>
      </c>
      <c r="D74" s="18" t="str">
        <f>IF(Dati!C74="","",IF(Dati!C74&gt;1,Dati!C74/100,Dati!C74))</f>
        <v/>
      </c>
      <c r="E74" s="18" t="str">
        <f>IF(Dati!D74="","",IF(Dati!D74&gt;1,Dati!D74/100,Dati!D74))</f>
        <v/>
      </c>
      <c r="F74" s="18" t="str">
        <f>IF(OR(D74="",E74=""),"",IF(OR(D74&gt;1,E74&gt;1),(E74-D74)/100,E74-D74))</f>
        <v/>
      </c>
      <c r="G74" s="17" t="str">
        <f>IF(F74="","",IF(64*F74=0,"",64*F74))</f>
        <v/>
      </c>
      <c r="H74" s="19" t="str">
        <f>IF(Dati!E74="","",Dati!E74)</f>
        <v/>
      </c>
      <c r="I74" s="19" t="str">
        <f>IFERROR(IF(OR(C74="",C74=0),"",H74/C74*100),"")</f>
        <v/>
      </c>
      <c r="J74" s="20" t="str">
        <f>IF(Dati!F74="","",Dati!F74)</f>
        <v/>
      </c>
      <c r="K74" s="19" t="str">
        <f>IF(OR(H74="",J74=""),"",IF(H74*J74=0,"",H74*J74))</f>
        <v/>
      </c>
      <c r="L74" s="19" t="str">
        <f>IF(A74="","",IFERROR(IF(SUMPRODUCT((ISNUMBER(A$2:A74))*(A$2:A74&gt;1000)*(MONTH(IF(ISNUMBER(A$2:A74),A$2:A74,1))=MONTH(A74))*(YEAR(IF(ISNUMBER(A$2:A74),A$2:A74,1))=YEAR(A74))*IF(ISNUMBER(K$2:K74),K$2:K74,0))=0,"",SUMPRODUCT((ISNUMBER(A$2:A74))*(A$2:A74&gt;1000)*(MONTH(IF(ISNUMBER(A$2:A74),A$2:A74,1))=MONTH(A74))*(YEAR(IF(ISNUMBER(A$2:A74),A$2:A74,1))=YEAR(A74))*IF(ISNUMBER(K$2:K74),K$2:K74,0))),""))</f>
        <v/>
      </c>
      <c r="M74" s="21" t="str">
        <f>IF(A74="","",IFERROR(IF(SUMIF(N$2:N74,"CASA",K$2:K74)=0,"",SUMIF(N$2:N74,"CASA",K$2:K74)),""))</f>
        <v/>
      </c>
      <c r="N74" s="17" t="str">
        <f>IF(J74="","",IF(J74=0.2,"CASA",IF(Dati!G74="","",Dati!G74)))</f>
        <v/>
      </c>
    </row>
    <row r="75" spans="1:14" ht="15" customHeight="1" x14ac:dyDescent="0.2">
      <c r="A75" s="23" t="str">
        <f>IF(Dati!A75="","",Dati!A75)</f>
        <v/>
      </c>
      <c r="B75" s="17" t="str">
        <f>IF(Dati!B75="","",Dati!B75)</f>
        <v/>
      </c>
      <c r="C75" s="17" t="str">
        <f>IF(B75="","",IF(ISNUMBER(B74),IF(B75-B74&lt;0,B75,IF(B75-B74=0,"",B75-B74)),B75))</f>
        <v/>
      </c>
      <c r="D75" s="18" t="str">
        <f>IF(Dati!C75="","",IF(Dati!C75&gt;1,Dati!C75/100,Dati!C75))</f>
        <v/>
      </c>
      <c r="E75" s="18" t="str">
        <f>IF(Dati!D75="","",IF(Dati!D75&gt;1,Dati!D75/100,Dati!D75))</f>
        <v/>
      </c>
      <c r="F75" s="18" t="str">
        <f>IF(OR(D75="",E75=""),"",IF(OR(D75&gt;1,E75&gt;1),(E75-D75)/100,E75-D75))</f>
        <v/>
      </c>
      <c r="G75" s="17" t="str">
        <f>IF(F75="","",IF(64*F75=0,"",64*F75))</f>
        <v/>
      </c>
      <c r="H75" s="19" t="str">
        <f>IF(Dati!E75="","",Dati!E75)</f>
        <v/>
      </c>
      <c r="I75" s="19" t="str">
        <f>IFERROR(IF(OR(C75="",C75=0),"",H75/C75*100),"")</f>
        <v/>
      </c>
      <c r="J75" s="20" t="str">
        <f>IF(Dati!F75="","",Dati!F75)</f>
        <v/>
      </c>
      <c r="K75" s="19" t="str">
        <f>IF(OR(H75="",J75=""),"",IF(H75*J75=0,"",H75*J75))</f>
        <v/>
      </c>
      <c r="L75" s="19" t="str">
        <f>IF(A75="","",IFERROR(IF(SUMPRODUCT((ISNUMBER(A$2:A75))*(A$2:A75&gt;1000)*(MONTH(IF(ISNUMBER(A$2:A75),A$2:A75,1))=MONTH(A75))*(YEAR(IF(ISNUMBER(A$2:A75),A$2:A75,1))=YEAR(A75))*IF(ISNUMBER(K$2:K75),K$2:K75,0))=0,"",SUMPRODUCT((ISNUMBER(A$2:A75))*(A$2:A75&gt;1000)*(MONTH(IF(ISNUMBER(A$2:A75),A$2:A75,1))=MONTH(A75))*(YEAR(IF(ISNUMBER(A$2:A75),A$2:A75,1))=YEAR(A75))*IF(ISNUMBER(K$2:K75),K$2:K75,0))),""))</f>
        <v/>
      </c>
      <c r="M75" s="21" t="str">
        <f>IF(A75="","",IFERROR(IF(SUMIF(N$2:N75,"CASA",K$2:K75)=0,"",SUMIF(N$2:N75,"CASA",K$2:K75)),""))</f>
        <v/>
      </c>
      <c r="N75" s="17" t="str">
        <f>IF(J75="","",IF(J75=0.2,"CASA",IF(Dati!G75="","",Dati!G75)))</f>
        <v/>
      </c>
    </row>
    <row r="76" spans="1:14" ht="15" customHeight="1" x14ac:dyDescent="0.2">
      <c r="A76" s="23" t="str">
        <f>IF(Dati!A76="","",Dati!A76)</f>
        <v/>
      </c>
      <c r="B76" s="17" t="str">
        <f>IF(Dati!B76="","",Dati!B76)</f>
        <v/>
      </c>
      <c r="C76" s="17" t="str">
        <f>IF(B76="","",IF(ISNUMBER(B75),IF(B76-B75&lt;0,B76,IF(B76-B75=0,"",B76-B75)),B76))</f>
        <v/>
      </c>
      <c r="D76" s="18" t="str">
        <f>IF(Dati!C76="","",IF(Dati!C76&gt;1,Dati!C76/100,Dati!C76))</f>
        <v/>
      </c>
      <c r="E76" s="18" t="str">
        <f>IF(Dati!D76="","",IF(Dati!D76&gt;1,Dati!D76/100,Dati!D76))</f>
        <v/>
      </c>
      <c r="F76" s="18" t="str">
        <f>IF(OR(D76="",E76=""),"",IF(OR(D76&gt;1,E76&gt;1),(E76-D76)/100,E76-D76))</f>
        <v/>
      </c>
      <c r="G76" s="17" t="str">
        <f>IF(F76="","",IF(64*F76=0,"",64*F76))</f>
        <v/>
      </c>
      <c r="H76" s="19" t="str">
        <f>IF(Dati!E76="","",Dati!E76)</f>
        <v/>
      </c>
      <c r="I76" s="19" t="str">
        <f>IFERROR(IF(OR(C76="",C76=0),"",H76/C76*100),"")</f>
        <v/>
      </c>
      <c r="J76" s="20" t="str">
        <f>IF(Dati!F76="","",Dati!F76)</f>
        <v/>
      </c>
      <c r="K76" s="19" t="str">
        <f>IF(OR(H76="",J76=""),"",IF(H76*J76=0,"",H76*J76))</f>
        <v/>
      </c>
      <c r="L76" s="19" t="str">
        <f>IF(A76="","",IFERROR(IF(SUMPRODUCT((ISNUMBER(A$2:A76))*(A$2:A76&gt;1000)*(MONTH(IF(ISNUMBER(A$2:A76),A$2:A76,1))=MONTH(A76))*(YEAR(IF(ISNUMBER(A$2:A76),A$2:A76,1))=YEAR(A76))*IF(ISNUMBER(K$2:K76),K$2:K76,0))=0,"",SUMPRODUCT((ISNUMBER(A$2:A76))*(A$2:A76&gt;1000)*(MONTH(IF(ISNUMBER(A$2:A76),A$2:A76,1))=MONTH(A76))*(YEAR(IF(ISNUMBER(A$2:A76),A$2:A76,1))=YEAR(A76))*IF(ISNUMBER(K$2:K76),K$2:K76,0))),""))</f>
        <v/>
      </c>
      <c r="M76" s="21" t="str">
        <f>IF(A76="","",IFERROR(IF(SUMIF(N$2:N76,"CASA",K$2:K76)=0,"",SUMIF(N$2:N76,"CASA",K$2:K76)),""))</f>
        <v/>
      </c>
      <c r="N76" s="17" t="str">
        <f>IF(J76="","",IF(J76=0.2,"CASA",IF(Dati!G76="","",Dati!G76)))</f>
        <v/>
      </c>
    </row>
    <row r="77" spans="1:14" ht="15" customHeight="1" x14ac:dyDescent="0.2">
      <c r="A77" s="23" t="str">
        <f>IF(Dati!A77="","",Dati!A77)</f>
        <v/>
      </c>
      <c r="B77" s="17" t="str">
        <f>IF(Dati!B77="","",Dati!B77)</f>
        <v/>
      </c>
      <c r="C77" s="17" t="str">
        <f>IF(B77="","",IF(ISNUMBER(B76),IF(B77-B76&lt;0,B77,IF(B77-B76=0,"",B77-B76)),B77))</f>
        <v/>
      </c>
      <c r="D77" s="18" t="str">
        <f>IF(Dati!C77="","",IF(Dati!C77&gt;1,Dati!C77/100,Dati!C77))</f>
        <v/>
      </c>
      <c r="E77" s="18" t="str">
        <f>IF(Dati!D77="","",IF(Dati!D77&gt;1,Dati!D77/100,Dati!D77))</f>
        <v/>
      </c>
      <c r="F77" s="18" t="str">
        <f>IF(OR(D77="",E77=""),"",IF(OR(D77&gt;1,E77&gt;1),(E77-D77)/100,E77-D77))</f>
        <v/>
      </c>
      <c r="G77" s="17" t="str">
        <f>IF(F77="","",IF(64*F77=0,"",64*F77))</f>
        <v/>
      </c>
      <c r="H77" s="19" t="str">
        <f>IF(Dati!E77="","",Dati!E77)</f>
        <v/>
      </c>
      <c r="I77" s="19" t="str">
        <f>IFERROR(IF(OR(C77="",C77=0),"",H77/C77*100),"")</f>
        <v/>
      </c>
      <c r="J77" s="20" t="str">
        <f>IF(Dati!F77="","",Dati!F77)</f>
        <v/>
      </c>
      <c r="K77" s="19" t="str">
        <f>IF(OR(H77="",J77=""),"",IF(H77*J77=0,"",H77*J77))</f>
        <v/>
      </c>
      <c r="L77" s="19" t="str">
        <f>IF(A77="","",IFERROR(IF(SUMPRODUCT((ISNUMBER(A$2:A77))*(A$2:A77&gt;1000)*(MONTH(IF(ISNUMBER(A$2:A77),A$2:A77,1))=MONTH(A77))*(YEAR(IF(ISNUMBER(A$2:A77),A$2:A77,1))=YEAR(A77))*IF(ISNUMBER(K$2:K77),K$2:K77,0))=0,"",SUMPRODUCT((ISNUMBER(A$2:A77))*(A$2:A77&gt;1000)*(MONTH(IF(ISNUMBER(A$2:A77),A$2:A77,1))=MONTH(A77))*(YEAR(IF(ISNUMBER(A$2:A77),A$2:A77,1))=YEAR(A77))*IF(ISNUMBER(K$2:K77),K$2:K77,0))),""))</f>
        <v/>
      </c>
      <c r="M77" s="21" t="str">
        <f>IF(A77="","",IFERROR(IF(SUMIF(N$2:N77,"CASA",K$2:K77)=0,"",SUMIF(N$2:N77,"CASA",K$2:K77)),""))</f>
        <v/>
      </c>
      <c r="N77" s="17" t="str">
        <f>IF(J77="","",IF(J77=0.2,"CASA",IF(Dati!G77="","",Dati!G77)))</f>
        <v/>
      </c>
    </row>
    <row r="78" spans="1:14" ht="15" customHeight="1" x14ac:dyDescent="0.2">
      <c r="A78" s="23" t="str">
        <f>IF(Dati!A78="","",Dati!A78)</f>
        <v/>
      </c>
      <c r="B78" s="17" t="str">
        <f>IF(Dati!B78="","",Dati!B78)</f>
        <v/>
      </c>
      <c r="C78" s="17" t="str">
        <f>IF(B78="","",IF(ISNUMBER(B77),IF(B78-B77&lt;0,B78,IF(B78-B77=0,"",B78-B77)),B78))</f>
        <v/>
      </c>
      <c r="D78" s="18" t="str">
        <f>IF(Dati!C78="","",IF(Dati!C78&gt;1,Dati!C78/100,Dati!C78))</f>
        <v/>
      </c>
      <c r="E78" s="18" t="str">
        <f>IF(Dati!D78="","",IF(Dati!D78&gt;1,Dati!D78/100,Dati!D78))</f>
        <v/>
      </c>
      <c r="F78" s="18" t="str">
        <f>IF(OR(D78="",E78=""),"",IF(OR(D78&gt;1,E78&gt;1),(E78-D78)/100,E78-D78))</f>
        <v/>
      </c>
      <c r="G78" s="17" t="str">
        <f>IF(F78="","",IF(64*F78=0,"",64*F78))</f>
        <v/>
      </c>
      <c r="H78" s="19" t="str">
        <f>IF(Dati!E78="","",Dati!E78)</f>
        <v/>
      </c>
      <c r="I78" s="19" t="str">
        <f>IFERROR(IF(OR(C78="",C78=0),"",H78/C78*100),"")</f>
        <v/>
      </c>
      <c r="J78" s="20" t="str">
        <f>IF(Dati!F78="","",Dati!F78)</f>
        <v/>
      </c>
      <c r="K78" s="19" t="str">
        <f>IF(OR(H78="",J78=""),"",IF(H78*J78=0,"",H78*J78))</f>
        <v/>
      </c>
      <c r="L78" s="19" t="str">
        <f>IF(A78="","",IFERROR(IF(SUMPRODUCT((ISNUMBER(A$2:A78))*(A$2:A78&gt;1000)*(MONTH(IF(ISNUMBER(A$2:A78),A$2:A78,1))=MONTH(A78))*(YEAR(IF(ISNUMBER(A$2:A78),A$2:A78,1))=YEAR(A78))*IF(ISNUMBER(K$2:K78),K$2:K78,0))=0,"",SUMPRODUCT((ISNUMBER(A$2:A78))*(A$2:A78&gt;1000)*(MONTH(IF(ISNUMBER(A$2:A78),A$2:A78,1))=MONTH(A78))*(YEAR(IF(ISNUMBER(A$2:A78),A$2:A78,1))=YEAR(A78))*IF(ISNUMBER(K$2:K78),K$2:K78,0))),""))</f>
        <v/>
      </c>
      <c r="M78" s="21" t="str">
        <f>IF(A78="","",IFERROR(IF(SUMIF(N$2:N78,"CASA",K$2:K78)=0,"",SUMIF(N$2:N78,"CASA",K$2:K78)),""))</f>
        <v/>
      </c>
      <c r="N78" s="17" t="str">
        <f>IF(J78="","",IF(J78=0.2,"CASA",IF(Dati!G78="","",Dati!G78)))</f>
        <v/>
      </c>
    </row>
    <row r="79" spans="1:14" ht="15" customHeight="1" x14ac:dyDescent="0.2">
      <c r="A79" s="23" t="str">
        <f>IF(Dati!A79="","",Dati!A79)</f>
        <v/>
      </c>
      <c r="B79" s="17" t="str">
        <f>IF(Dati!B79="","",Dati!B79)</f>
        <v/>
      </c>
      <c r="C79" s="17" t="str">
        <f>IF(B79="","",IF(ISNUMBER(B78),IF(B79-B78&lt;0,B79,IF(B79-B78=0,"",B79-B78)),B79))</f>
        <v/>
      </c>
      <c r="D79" s="18" t="str">
        <f>IF(Dati!C79="","",IF(Dati!C79&gt;1,Dati!C79/100,Dati!C79))</f>
        <v/>
      </c>
      <c r="E79" s="18" t="str">
        <f>IF(Dati!D79="","",IF(Dati!D79&gt;1,Dati!D79/100,Dati!D79))</f>
        <v/>
      </c>
      <c r="F79" s="18" t="str">
        <f>IF(OR(D79="",E79=""),"",IF(OR(D79&gt;1,E79&gt;1),(E79-D79)/100,E79-D79))</f>
        <v/>
      </c>
      <c r="G79" s="17" t="str">
        <f>IF(F79="","",IF(64*F79=0,"",64*F79))</f>
        <v/>
      </c>
      <c r="H79" s="19" t="str">
        <f>IF(Dati!E79="","",Dati!E79)</f>
        <v/>
      </c>
      <c r="I79" s="19" t="str">
        <f>IFERROR(IF(OR(C79="",C79=0),"",H79/C79*100),"")</f>
        <v/>
      </c>
      <c r="J79" s="20" t="str">
        <f>IF(Dati!F79="","",Dati!F79)</f>
        <v/>
      </c>
      <c r="K79" s="19" t="str">
        <f>IF(OR(H79="",J79=""),"",IF(H79*J79=0,"",H79*J79))</f>
        <v/>
      </c>
      <c r="L79" s="19" t="str">
        <f>IF(A79="","",IFERROR(IF(SUMPRODUCT((ISNUMBER(A$2:A79))*(A$2:A79&gt;1000)*(MONTH(IF(ISNUMBER(A$2:A79),A$2:A79,1))=MONTH(A79))*(YEAR(IF(ISNUMBER(A$2:A79),A$2:A79,1))=YEAR(A79))*IF(ISNUMBER(K$2:K79),K$2:K79,0))=0,"",SUMPRODUCT((ISNUMBER(A$2:A79))*(A$2:A79&gt;1000)*(MONTH(IF(ISNUMBER(A$2:A79),A$2:A79,1))=MONTH(A79))*(YEAR(IF(ISNUMBER(A$2:A79),A$2:A79,1))=YEAR(A79))*IF(ISNUMBER(K$2:K79),K$2:K79,0))),""))</f>
        <v/>
      </c>
      <c r="M79" s="21" t="str">
        <f>IF(A79="","",IFERROR(IF(SUMIF(N$2:N79,"CASA",K$2:K79)=0,"",SUMIF(N$2:N79,"CASA",K$2:K79)),""))</f>
        <v/>
      </c>
      <c r="N79" s="17" t="str">
        <f>IF(J79="","",IF(J79=0.2,"CASA",IF(Dati!G79="","",Dati!G79)))</f>
        <v/>
      </c>
    </row>
    <row r="80" spans="1:14" ht="15" customHeight="1" x14ac:dyDescent="0.2">
      <c r="A80" s="23" t="str">
        <f>IF(Dati!A80="","",Dati!A80)</f>
        <v/>
      </c>
      <c r="B80" s="17" t="str">
        <f>IF(Dati!B80="","",Dati!B80)</f>
        <v/>
      </c>
      <c r="C80" s="17" t="str">
        <f>IF(B80="","",IF(ISNUMBER(B79),IF(B80-B79&lt;0,B80,IF(B80-B79=0,"",B80-B79)),B80))</f>
        <v/>
      </c>
      <c r="D80" s="18" t="str">
        <f>IF(Dati!C80="","",IF(Dati!C80&gt;1,Dati!C80/100,Dati!C80))</f>
        <v/>
      </c>
      <c r="E80" s="18" t="str">
        <f>IF(Dati!D80="","",IF(Dati!D80&gt;1,Dati!D80/100,Dati!D80))</f>
        <v/>
      </c>
      <c r="F80" s="18" t="str">
        <f>IF(OR(D80="",E80=""),"",IF(OR(D80&gt;1,E80&gt;1),(E80-D80)/100,E80-D80))</f>
        <v/>
      </c>
      <c r="G80" s="17" t="str">
        <f>IF(F80="","",IF(64*F80=0,"",64*F80))</f>
        <v/>
      </c>
      <c r="H80" s="19" t="str">
        <f>IF(Dati!E80="","",Dati!E80)</f>
        <v/>
      </c>
      <c r="I80" s="19" t="str">
        <f>IFERROR(IF(OR(C80="",C80=0),"",H80/C80*100),"")</f>
        <v/>
      </c>
      <c r="J80" s="20" t="str">
        <f>IF(Dati!F80="","",Dati!F80)</f>
        <v/>
      </c>
      <c r="K80" s="19" t="str">
        <f>IF(OR(H80="",J80=""),"",IF(H80*J80=0,"",H80*J80))</f>
        <v/>
      </c>
      <c r="L80" s="19" t="str">
        <f>IF(A80="","",IFERROR(IF(SUMPRODUCT((ISNUMBER(A$2:A80))*(A$2:A80&gt;1000)*(MONTH(IF(ISNUMBER(A$2:A80),A$2:A80,1))=MONTH(A80))*(YEAR(IF(ISNUMBER(A$2:A80),A$2:A80,1))=YEAR(A80))*IF(ISNUMBER(K$2:K80),K$2:K80,0))=0,"",SUMPRODUCT((ISNUMBER(A$2:A80))*(A$2:A80&gt;1000)*(MONTH(IF(ISNUMBER(A$2:A80),A$2:A80,1))=MONTH(A80))*(YEAR(IF(ISNUMBER(A$2:A80),A$2:A80,1))=YEAR(A80))*IF(ISNUMBER(K$2:K80),K$2:K80,0))),""))</f>
        <v/>
      </c>
      <c r="M80" s="21" t="str">
        <f>IF(A80="","",IFERROR(IF(SUMIF(N$2:N80,"CASA",K$2:K80)=0,"",SUMIF(N$2:N80,"CASA",K$2:K80)),""))</f>
        <v/>
      </c>
      <c r="N80" s="17" t="str">
        <f>IF(J80="","",IF(J80=0.2,"CASA",IF(Dati!G80="","",Dati!G80)))</f>
        <v/>
      </c>
    </row>
    <row r="81" spans="1:14" ht="15" customHeight="1" x14ac:dyDescent="0.2">
      <c r="A81" s="23" t="str">
        <f>IF(Dati!A81="","",Dati!A81)</f>
        <v/>
      </c>
      <c r="B81" s="17" t="str">
        <f>IF(Dati!B81="","",Dati!B81)</f>
        <v/>
      </c>
      <c r="C81" s="17" t="str">
        <f>IF(B81="","",IF(ISNUMBER(B80),IF(B81-B80&lt;0,B81,IF(B81-B80=0,"",B81-B80)),B81))</f>
        <v/>
      </c>
      <c r="D81" s="18" t="str">
        <f>IF(Dati!C81="","",IF(Dati!C81&gt;1,Dati!C81/100,Dati!C81))</f>
        <v/>
      </c>
      <c r="E81" s="18" t="str">
        <f>IF(Dati!D81="","",IF(Dati!D81&gt;1,Dati!D81/100,Dati!D81))</f>
        <v/>
      </c>
      <c r="F81" s="18" t="str">
        <f>IF(OR(D81="",E81=""),"",IF(OR(D81&gt;1,E81&gt;1),(E81-D81)/100,E81-D81))</f>
        <v/>
      </c>
      <c r="G81" s="17" t="str">
        <f>IF(F81="","",IF(64*F81=0,"",64*F81))</f>
        <v/>
      </c>
      <c r="H81" s="19" t="str">
        <f>IF(Dati!E81="","",Dati!E81)</f>
        <v/>
      </c>
      <c r="I81" s="19" t="str">
        <f>IFERROR(IF(OR(C81="",C81=0),"",H81/C81*100),"")</f>
        <v/>
      </c>
      <c r="J81" s="20" t="str">
        <f>IF(Dati!F81="","",Dati!F81)</f>
        <v/>
      </c>
      <c r="K81" s="19" t="str">
        <f>IF(OR(H81="",J81=""),"",IF(H81*J81=0,"",H81*J81))</f>
        <v/>
      </c>
      <c r="L81" s="19" t="str">
        <f>IF(A81="","",IFERROR(IF(SUMPRODUCT((ISNUMBER(A$2:A81))*(A$2:A81&gt;1000)*(MONTH(IF(ISNUMBER(A$2:A81),A$2:A81,1))=MONTH(A81))*(YEAR(IF(ISNUMBER(A$2:A81),A$2:A81,1))=YEAR(A81))*IF(ISNUMBER(K$2:K81),K$2:K81,0))=0,"",SUMPRODUCT((ISNUMBER(A$2:A81))*(A$2:A81&gt;1000)*(MONTH(IF(ISNUMBER(A$2:A81),A$2:A81,1))=MONTH(A81))*(YEAR(IF(ISNUMBER(A$2:A81),A$2:A81,1))=YEAR(A81))*IF(ISNUMBER(K$2:K81),K$2:K81,0))),""))</f>
        <v/>
      </c>
      <c r="M81" s="21" t="str">
        <f>IF(A81="","",IFERROR(IF(SUMIF(N$2:N81,"CASA",K$2:K81)=0,"",SUMIF(N$2:N81,"CASA",K$2:K81)),""))</f>
        <v/>
      </c>
      <c r="N81" s="17" t="str">
        <f>IF(J81="","",IF(J81=0.2,"CASA",IF(Dati!G81="","",Dati!G81)))</f>
        <v/>
      </c>
    </row>
    <row r="82" spans="1:14" ht="15" customHeight="1" x14ac:dyDescent="0.2">
      <c r="A82" s="23" t="str">
        <f>IF(Dati!A82="","",Dati!A82)</f>
        <v/>
      </c>
      <c r="B82" s="17" t="str">
        <f>IF(Dati!B82="","",Dati!B82)</f>
        <v/>
      </c>
      <c r="C82" s="17" t="str">
        <f>IF(B82="","",IF(ISNUMBER(B81),IF(B82-B81&lt;0,B82,IF(B82-B81=0,"",B82-B81)),B82))</f>
        <v/>
      </c>
      <c r="D82" s="18" t="str">
        <f>IF(Dati!C82="","",IF(Dati!C82&gt;1,Dati!C82/100,Dati!C82))</f>
        <v/>
      </c>
      <c r="E82" s="18" t="str">
        <f>IF(Dati!D82="","",IF(Dati!D82&gt;1,Dati!D82/100,Dati!D82))</f>
        <v/>
      </c>
      <c r="F82" s="18" t="str">
        <f>IF(OR(D82="",E82=""),"",IF(OR(D82&gt;1,E82&gt;1),(E82-D82)/100,E82-D82))</f>
        <v/>
      </c>
      <c r="G82" s="17" t="str">
        <f>IF(F82="","",IF(64*F82=0,"",64*F82))</f>
        <v/>
      </c>
      <c r="H82" s="19" t="str">
        <f>IF(Dati!E82="","",Dati!E82)</f>
        <v/>
      </c>
      <c r="I82" s="19" t="str">
        <f>IFERROR(IF(OR(C82="",C82=0),"",H82/C82*100),"")</f>
        <v/>
      </c>
      <c r="J82" s="20" t="str">
        <f>IF(Dati!F82="","",Dati!F82)</f>
        <v/>
      </c>
      <c r="K82" s="19" t="str">
        <f>IF(OR(H82="",J82=""),"",IF(H82*J82=0,"",H82*J82))</f>
        <v/>
      </c>
      <c r="L82" s="19" t="str">
        <f>IF(A82="","",IFERROR(IF(SUMPRODUCT((ISNUMBER(A$2:A82))*(A$2:A82&gt;1000)*(MONTH(IF(ISNUMBER(A$2:A82),A$2:A82,1))=MONTH(A82))*(YEAR(IF(ISNUMBER(A$2:A82),A$2:A82,1))=YEAR(A82))*IF(ISNUMBER(K$2:K82),K$2:K82,0))=0,"",SUMPRODUCT((ISNUMBER(A$2:A82))*(A$2:A82&gt;1000)*(MONTH(IF(ISNUMBER(A$2:A82),A$2:A82,1))=MONTH(A82))*(YEAR(IF(ISNUMBER(A$2:A82),A$2:A82,1))=YEAR(A82))*IF(ISNUMBER(K$2:K82),K$2:K82,0))),""))</f>
        <v/>
      </c>
      <c r="M82" s="21" t="str">
        <f>IF(A82="","",IFERROR(IF(SUMIF(N$2:N82,"CASA",K$2:K82)=0,"",SUMIF(N$2:N82,"CASA",K$2:K82)),""))</f>
        <v/>
      </c>
      <c r="N82" s="17" t="str">
        <f>IF(J82="","",IF(J82=0.2,"CASA",IF(Dati!G82="","",Dati!G82)))</f>
        <v/>
      </c>
    </row>
    <row r="83" spans="1:14" ht="15" customHeight="1" x14ac:dyDescent="0.2">
      <c r="A83" s="23" t="str">
        <f>IF(Dati!A83="","",Dati!A83)</f>
        <v/>
      </c>
      <c r="B83" s="17" t="str">
        <f>IF(Dati!B83="","",Dati!B83)</f>
        <v/>
      </c>
      <c r="C83" s="17" t="str">
        <f>IF(B83="","",IF(ISNUMBER(B82),IF(B83-B82&lt;0,B83,IF(B83-B82=0,"",B83-B82)),B83))</f>
        <v/>
      </c>
      <c r="D83" s="18" t="str">
        <f>IF(Dati!C83="","",IF(Dati!C83&gt;1,Dati!C83/100,Dati!C83))</f>
        <v/>
      </c>
      <c r="E83" s="18" t="str">
        <f>IF(Dati!D83="","",IF(Dati!D83&gt;1,Dati!D83/100,Dati!D83))</f>
        <v/>
      </c>
      <c r="F83" s="18" t="str">
        <f>IF(OR(D83="",E83=""),"",IF(OR(D83&gt;1,E83&gt;1),(E83-D83)/100,E83-D83))</f>
        <v/>
      </c>
      <c r="G83" s="17" t="str">
        <f>IF(F83="","",IF(64*F83=0,"",64*F83))</f>
        <v/>
      </c>
      <c r="H83" s="19" t="str">
        <f>IF(Dati!E83="","",Dati!E83)</f>
        <v/>
      </c>
      <c r="I83" s="19" t="str">
        <f>IFERROR(IF(OR(C83="",C83=0),"",H83/C83*100),"")</f>
        <v/>
      </c>
      <c r="J83" s="20" t="str">
        <f>IF(Dati!F83="","",Dati!F83)</f>
        <v/>
      </c>
      <c r="K83" s="19" t="str">
        <f>IF(OR(H83="",J83=""),"",IF(H83*J83=0,"",H83*J83))</f>
        <v/>
      </c>
      <c r="L83" s="19" t="str">
        <f>IF(A83="","",IFERROR(IF(SUMPRODUCT((ISNUMBER(A$2:A83))*(A$2:A83&gt;1000)*(MONTH(IF(ISNUMBER(A$2:A83),A$2:A83,1))=MONTH(A83))*(YEAR(IF(ISNUMBER(A$2:A83),A$2:A83,1))=YEAR(A83))*IF(ISNUMBER(K$2:K83),K$2:K83,0))=0,"",SUMPRODUCT((ISNUMBER(A$2:A83))*(A$2:A83&gt;1000)*(MONTH(IF(ISNUMBER(A$2:A83),A$2:A83,1))=MONTH(A83))*(YEAR(IF(ISNUMBER(A$2:A83),A$2:A83,1))=YEAR(A83))*IF(ISNUMBER(K$2:K83),K$2:K83,0))),""))</f>
        <v/>
      </c>
      <c r="M83" s="21" t="str">
        <f>IF(A83="","",IFERROR(IF(SUMIF(N$2:N83,"CASA",K$2:K83)=0,"",SUMIF(N$2:N83,"CASA",K$2:K83)),""))</f>
        <v/>
      </c>
      <c r="N83" s="17" t="str">
        <f>IF(J83="","",IF(J83=0.2,"CASA",IF(Dati!G83="","",Dati!G83)))</f>
        <v/>
      </c>
    </row>
    <row r="84" spans="1:14" ht="15" customHeight="1" x14ac:dyDescent="0.2">
      <c r="A84" s="23" t="str">
        <f>IF(Dati!A84="","",Dati!A84)</f>
        <v/>
      </c>
      <c r="B84" s="17" t="str">
        <f>IF(Dati!B84="","",Dati!B84)</f>
        <v/>
      </c>
      <c r="C84" s="17" t="str">
        <f>IF(B84="","",IF(ISNUMBER(B83),IF(B84-B83&lt;0,B84,IF(B84-B83=0,"",B84-B83)),B84))</f>
        <v/>
      </c>
      <c r="D84" s="18" t="str">
        <f>IF(Dati!C84="","",IF(Dati!C84&gt;1,Dati!C84/100,Dati!C84))</f>
        <v/>
      </c>
      <c r="E84" s="18" t="str">
        <f>IF(Dati!D84="","",IF(Dati!D84&gt;1,Dati!D84/100,Dati!D84))</f>
        <v/>
      </c>
      <c r="F84" s="18" t="str">
        <f>IF(OR(D84="",E84=""),"",IF(OR(D84&gt;1,E84&gt;1),(E84-D84)/100,E84-D84))</f>
        <v/>
      </c>
      <c r="G84" s="17" t="str">
        <f>IF(F84="","",IF(64*F84=0,"",64*F84))</f>
        <v/>
      </c>
      <c r="H84" s="19" t="str">
        <f>IF(Dati!E84="","",Dati!E84)</f>
        <v/>
      </c>
      <c r="I84" s="19" t="str">
        <f>IFERROR(IF(OR(C84="",C84=0),"",H84/C84*100),"")</f>
        <v/>
      </c>
      <c r="J84" s="20" t="str">
        <f>IF(Dati!F84="","",Dati!F84)</f>
        <v/>
      </c>
      <c r="K84" s="19" t="str">
        <f>IF(OR(H84="",J84=""),"",IF(H84*J84=0,"",H84*J84))</f>
        <v/>
      </c>
      <c r="L84" s="19" t="str">
        <f>IF(A84="","",IFERROR(IF(SUMPRODUCT((ISNUMBER(A$2:A84))*(A$2:A84&gt;1000)*(MONTH(IF(ISNUMBER(A$2:A84),A$2:A84,1))=MONTH(A84))*(YEAR(IF(ISNUMBER(A$2:A84),A$2:A84,1))=YEAR(A84))*IF(ISNUMBER(K$2:K84),K$2:K84,0))=0,"",SUMPRODUCT((ISNUMBER(A$2:A84))*(A$2:A84&gt;1000)*(MONTH(IF(ISNUMBER(A$2:A84),A$2:A84,1))=MONTH(A84))*(YEAR(IF(ISNUMBER(A$2:A84),A$2:A84,1))=YEAR(A84))*IF(ISNUMBER(K$2:K84),K$2:K84,0))),""))</f>
        <v/>
      </c>
      <c r="M84" s="21" t="str">
        <f>IF(A84="","",IFERROR(IF(SUMIF(N$2:N84,"CASA",K$2:K84)=0,"",SUMIF(N$2:N84,"CASA",K$2:K84)),""))</f>
        <v/>
      </c>
      <c r="N84" s="17" t="str">
        <f>IF(J84="","",IF(J84=0.2,"CASA",IF(Dati!G84="","",Dati!G84)))</f>
        <v/>
      </c>
    </row>
    <row r="85" spans="1:14" ht="15" customHeight="1" x14ac:dyDescent="0.2">
      <c r="A85" s="23" t="str">
        <f>IF(Dati!A85="","",Dati!A85)</f>
        <v/>
      </c>
      <c r="B85" s="17" t="str">
        <f>IF(Dati!B85="","",Dati!B85)</f>
        <v/>
      </c>
      <c r="C85" s="17" t="str">
        <f>IF(B85="","",IF(ISNUMBER(B84),IF(B85-B84&lt;0,B85,IF(B85-B84=0,"",B85-B84)),B85))</f>
        <v/>
      </c>
      <c r="D85" s="18" t="str">
        <f>IF(Dati!C85="","",IF(Dati!C85&gt;1,Dati!C85/100,Dati!C85))</f>
        <v/>
      </c>
      <c r="E85" s="18" t="str">
        <f>IF(Dati!D85="","",IF(Dati!D85&gt;1,Dati!D85/100,Dati!D85))</f>
        <v/>
      </c>
      <c r="F85" s="18" t="str">
        <f>IF(OR(D85="",E85=""),"",IF(OR(D85&gt;1,E85&gt;1),(E85-D85)/100,E85-D85))</f>
        <v/>
      </c>
      <c r="G85" s="17" t="str">
        <f>IF(F85="","",IF(64*F85=0,"",64*F85))</f>
        <v/>
      </c>
      <c r="H85" s="19" t="str">
        <f>IF(Dati!E85="","",Dati!E85)</f>
        <v/>
      </c>
      <c r="I85" s="19" t="str">
        <f>IFERROR(IF(OR(C85="",C85=0),"",H85/C85*100),"")</f>
        <v/>
      </c>
      <c r="J85" s="20" t="str">
        <f>IF(Dati!F85="","",Dati!F85)</f>
        <v/>
      </c>
      <c r="K85" s="19" t="str">
        <f>IF(OR(H85="",J85=""),"",IF(H85*J85=0,"",H85*J85))</f>
        <v/>
      </c>
      <c r="L85" s="19" t="str">
        <f>IF(A85="","",IFERROR(IF(SUMPRODUCT((ISNUMBER(A$2:A85))*(A$2:A85&gt;1000)*(MONTH(IF(ISNUMBER(A$2:A85),A$2:A85,1))=MONTH(A85))*(YEAR(IF(ISNUMBER(A$2:A85),A$2:A85,1))=YEAR(A85))*IF(ISNUMBER(K$2:K85),K$2:K85,0))=0,"",SUMPRODUCT((ISNUMBER(A$2:A85))*(A$2:A85&gt;1000)*(MONTH(IF(ISNUMBER(A$2:A85),A$2:A85,1))=MONTH(A85))*(YEAR(IF(ISNUMBER(A$2:A85),A$2:A85,1))=YEAR(A85))*IF(ISNUMBER(K$2:K85),K$2:K85,0))),""))</f>
        <v/>
      </c>
      <c r="M85" s="21" t="str">
        <f>IF(A85="","",IFERROR(IF(SUMIF(N$2:N85,"CASA",K$2:K85)=0,"",SUMIF(N$2:N85,"CASA",K$2:K85)),""))</f>
        <v/>
      </c>
      <c r="N85" s="17" t="str">
        <f>IF(J85="","",IF(J85=0.2,"CASA",IF(Dati!G85="","",Dati!G85)))</f>
        <v/>
      </c>
    </row>
    <row r="86" spans="1:14" ht="15" customHeight="1" x14ac:dyDescent="0.2">
      <c r="A86" s="23" t="str">
        <f>IF(Dati!A86="","",Dati!A86)</f>
        <v/>
      </c>
      <c r="B86" s="17" t="str">
        <f>IF(Dati!B86="","",Dati!B86)</f>
        <v/>
      </c>
      <c r="C86" s="17" t="str">
        <f>IF(B86="","",IF(ISNUMBER(B85),IF(B86-B85&lt;0,B86,IF(B86-B85=0,"",B86-B85)),B86))</f>
        <v/>
      </c>
      <c r="D86" s="18" t="str">
        <f>IF(Dati!C86="","",IF(Dati!C86&gt;1,Dati!C86/100,Dati!C86))</f>
        <v/>
      </c>
      <c r="E86" s="18" t="str">
        <f>IF(Dati!D86="","",IF(Dati!D86&gt;1,Dati!D86/100,Dati!D86))</f>
        <v/>
      </c>
      <c r="F86" s="18" t="str">
        <f>IF(OR(D86="",E86=""),"",IF(OR(D86&gt;1,E86&gt;1),(E86-D86)/100,E86-D86))</f>
        <v/>
      </c>
      <c r="G86" s="17" t="str">
        <f>IF(F86="","",IF(64*F86=0,"",64*F86))</f>
        <v/>
      </c>
      <c r="H86" s="19" t="str">
        <f>IF(Dati!E86="","",Dati!E86)</f>
        <v/>
      </c>
      <c r="I86" s="19" t="str">
        <f>IFERROR(IF(OR(C86="",C86=0),"",H86/C86*100),"")</f>
        <v/>
      </c>
      <c r="J86" s="20" t="str">
        <f>IF(Dati!F86="","",Dati!F86)</f>
        <v/>
      </c>
      <c r="K86" s="19" t="str">
        <f>IF(OR(H86="",J86=""),"",IF(H86*J86=0,"",H86*J86))</f>
        <v/>
      </c>
      <c r="L86" s="19" t="str">
        <f>IF(A86="","",IFERROR(IF(SUMPRODUCT((ISNUMBER(A$2:A86))*(A$2:A86&gt;1000)*(MONTH(IF(ISNUMBER(A$2:A86),A$2:A86,1))=MONTH(A86))*(YEAR(IF(ISNUMBER(A$2:A86),A$2:A86,1))=YEAR(A86))*IF(ISNUMBER(K$2:K86),K$2:K86,0))=0,"",SUMPRODUCT((ISNUMBER(A$2:A86))*(A$2:A86&gt;1000)*(MONTH(IF(ISNUMBER(A$2:A86),A$2:A86,1))=MONTH(A86))*(YEAR(IF(ISNUMBER(A$2:A86),A$2:A86,1))=YEAR(A86))*IF(ISNUMBER(K$2:K86),K$2:K86,0))),""))</f>
        <v/>
      </c>
      <c r="M86" s="21" t="str">
        <f>IF(A86="","",IFERROR(IF(SUMIF(N$2:N86,"CASA",K$2:K86)=0,"",SUMIF(N$2:N86,"CASA",K$2:K86)),""))</f>
        <v/>
      </c>
      <c r="N86" s="17" t="str">
        <f>IF(J86="","",IF(J86=0.2,"CASA",IF(Dati!G86="","",Dati!G86)))</f>
        <v/>
      </c>
    </row>
    <row r="87" spans="1:14" ht="15" customHeight="1" x14ac:dyDescent="0.2">
      <c r="A87" s="23" t="str">
        <f>IF(Dati!A87="","",Dati!A87)</f>
        <v/>
      </c>
      <c r="B87" s="17" t="str">
        <f>IF(Dati!B87="","",Dati!B87)</f>
        <v/>
      </c>
      <c r="C87" s="17" t="str">
        <f>IF(B87="","",IF(ISNUMBER(B86),IF(B87-B86&lt;0,B87,IF(B87-B86=0,"",B87-B86)),B87))</f>
        <v/>
      </c>
      <c r="D87" s="18" t="str">
        <f>IF(Dati!C87="","",IF(Dati!C87&gt;1,Dati!C87/100,Dati!C87))</f>
        <v/>
      </c>
      <c r="E87" s="18" t="str">
        <f>IF(Dati!D87="","",IF(Dati!D87&gt;1,Dati!D87/100,Dati!D87))</f>
        <v/>
      </c>
      <c r="F87" s="18" t="str">
        <f>IF(OR(D87="",E87=""),"",IF(OR(D87&gt;1,E87&gt;1),(E87-D87)/100,E87-D87))</f>
        <v/>
      </c>
      <c r="G87" s="17" t="str">
        <f>IF(F87="","",IF(64*F87=0,"",64*F87))</f>
        <v/>
      </c>
      <c r="H87" s="19" t="str">
        <f>IF(Dati!E87="","",Dati!E87)</f>
        <v/>
      </c>
      <c r="I87" s="19" t="str">
        <f>IFERROR(IF(OR(C87="",C87=0),"",H87/C87*100),"")</f>
        <v/>
      </c>
      <c r="J87" s="20" t="str">
        <f>IF(Dati!F87="","",Dati!F87)</f>
        <v/>
      </c>
      <c r="K87" s="19" t="str">
        <f>IF(OR(H87="",J87=""),"",IF(H87*J87=0,"",H87*J87))</f>
        <v/>
      </c>
      <c r="L87" s="19" t="str">
        <f>IF(A87="","",IFERROR(IF(SUMPRODUCT((ISNUMBER(A$2:A87))*(A$2:A87&gt;1000)*(MONTH(IF(ISNUMBER(A$2:A87),A$2:A87,1))=MONTH(A87))*(YEAR(IF(ISNUMBER(A$2:A87),A$2:A87,1))=YEAR(A87))*IF(ISNUMBER(K$2:K87),K$2:K87,0))=0,"",SUMPRODUCT((ISNUMBER(A$2:A87))*(A$2:A87&gt;1000)*(MONTH(IF(ISNUMBER(A$2:A87),A$2:A87,1))=MONTH(A87))*(YEAR(IF(ISNUMBER(A$2:A87),A$2:A87,1))=YEAR(A87))*IF(ISNUMBER(K$2:K87),K$2:K87,0))),""))</f>
        <v/>
      </c>
      <c r="M87" s="21" t="str">
        <f>IF(A87="","",IFERROR(IF(SUMIF(N$2:N87,"CASA",K$2:K87)=0,"",SUMIF(N$2:N87,"CASA",K$2:K87)),""))</f>
        <v/>
      </c>
      <c r="N87" s="17" t="str">
        <f>IF(J87="","",IF(J87=0.2,"CASA",IF(Dati!G87="","",Dati!G87)))</f>
        <v/>
      </c>
    </row>
    <row r="88" spans="1:14" ht="15" customHeight="1" x14ac:dyDescent="0.2">
      <c r="A88" s="23" t="str">
        <f>IF(Dati!A88="","",Dati!A88)</f>
        <v/>
      </c>
      <c r="B88" s="17" t="str">
        <f>IF(Dati!B88="","",Dati!B88)</f>
        <v/>
      </c>
      <c r="C88" s="17" t="str">
        <f>IF(B88="","",IF(ISNUMBER(B87),IF(B88-B87&lt;0,B88,IF(B88-B87=0,"",B88-B87)),B88))</f>
        <v/>
      </c>
      <c r="D88" s="18" t="str">
        <f>IF(Dati!C88="","",IF(Dati!C88&gt;1,Dati!C88/100,Dati!C88))</f>
        <v/>
      </c>
      <c r="E88" s="18" t="str">
        <f>IF(Dati!D88="","",IF(Dati!D88&gt;1,Dati!D88/100,Dati!D88))</f>
        <v/>
      </c>
      <c r="F88" s="18" t="str">
        <f>IF(OR(D88="",E88=""),"",IF(OR(D88&gt;1,E88&gt;1),(E88-D88)/100,E88-D88))</f>
        <v/>
      </c>
      <c r="G88" s="17" t="str">
        <f>IF(F88="","",IF(64*F88=0,"",64*F88))</f>
        <v/>
      </c>
      <c r="H88" s="19" t="str">
        <f>IF(Dati!E88="","",Dati!E88)</f>
        <v/>
      </c>
      <c r="I88" s="19" t="str">
        <f>IFERROR(IF(OR(C88="",C88=0),"",H88/C88*100),"")</f>
        <v/>
      </c>
      <c r="J88" s="20" t="str">
        <f>IF(Dati!F88="","",Dati!F88)</f>
        <v/>
      </c>
      <c r="K88" s="19" t="str">
        <f>IF(OR(H88="",J88=""),"",IF(H88*J88=0,"",H88*J88))</f>
        <v/>
      </c>
      <c r="L88" s="19" t="str">
        <f>IF(A88="","",IFERROR(IF(SUMPRODUCT((ISNUMBER(A$2:A88))*(A$2:A88&gt;1000)*(MONTH(IF(ISNUMBER(A$2:A88),A$2:A88,1))=MONTH(A88))*(YEAR(IF(ISNUMBER(A$2:A88),A$2:A88,1))=YEAR(A88))*IF(ISNUMBER(K$2:K88),K$2:K88,0))=0,"",SUMPRODUCT((ISNUMBER(A$2:A88))*(A$2:A88&gt;1000)*(MONTH(IF(ISNUMBER(A$2:A88),A$2:A88,1))=MONTH(A88))*(YEAR(IF(ISNUMBER(A$2:A88),A$2:A88,1))=YEAR(A88))*IF(ISNUMBER(K$2:K88),K$2:K88,0))),""))</f>
        <v/>
      </c>
      <c r="M88" s="21" t="str">
        <f>IF(A88="","",IFERROR(IF(SUMIF(N$2:N88,"CASA",K$2:K88)=0,"",SUMIF(N$2:N88,"CASA",K$2:K88)),""))</f>
        <v/>
      </c>
      <c r="N88" s="17" t="str">
        <f>IF(J88="","",IF(J88=0.2,"CASA",IF(Dati!G88="","",Dati!G88)))</f>
        <v/>
      </c>
    </row>
    <row r="89" spans="1:14" ht="15" customHeight="1" x14ac:dyDescent="0.2">
      <c r="A89" s="23" t="str">
        <f>IF(Dati!A89="","",Dati!A89)</f>
        <v/>
      </c>
      <c r="B89" s="17" t="str">
        <f>IF(Dati!B89="","",Dati!B89)</f>
        <v/>
      </c>
      <c r="C89" s="17" t="str">
        <f>IF(B89="","",IF(ISNUMBER(B88),IF(B89-B88&lt;0,B89,IF(B89-B88=0,"",B89-B88)),B89))</f>
        <v/>
      </c>
      <c r="D89" s="18" t="str">
        <f>IF(Dati!C89="","",IF(Dati!C89&gt;1,Dati!C89/100,Dati!C89))</f>
        <v/>
      </c>
      <c r="E89" s="18" t="str">
        <f>IF(Dati!D89="","",IF(Dati!D89&gt;1,Dati!D89/100,Dati!D89))</f>
        <v/>
      </c>
      <c r="F89" s="18" t="str">
        <f>IF(OR(D89="",E89=""),"",IF(OR(D89&gt;1,E89&gt;1),(E89-D89)/100,E89-D89))</f>
        <v/>
      </c>
      <c r="G89" s="17" t="str">
        <f>IF(F89="","",IF(64*F89=0,"",64*F89))</f>
        <v/>
      </c>
      <c r="H89" s="19" t="str">
        <f>IF(Dati!E89="","",Dati!E89)</f>
        <v/>
      </c>
      <c r="I89" s="19" t="str">
        <f>IFERROR(IF(OR(C89="",C89=0),"",H89/C89*100),"")</f>
        <v/>
      </c>
      <c r="J89" s="20" t="str">
        <f>IF(Dati!F89="","",Dati!F89)</f>
        <v/>
      </c>
      <c r="K89" s="19" t="str">
        <f>IF(OR(H89="",J89=""),"",IF(H89*J89=0,"",H89*J89))</f>
        <v/>
      </c>
      <c r="L89" s="19" t="str">
        <f>IF(A89="","",IFERROR(IF(SUMPRODUCT((ISNUMBER(A$2:A89))*(A$2:A89&gt;1000)*(MONTH(IF(ISNUMBER(A$2:A89),A$2:A89,1))=MONTH(A89))*(YEAR(IF(ISNUMBER(A$2:A89),A$2:A89,1))=YEAR(A89))*IF(ISNUMBER(K$2:K89),K$2:K89,0))=0,"",SUMPRODUCT((ISNUMBER(A$2:A89))*(A$2:A89&gt;1000)*(MONTH(IF(ISNUMBER(A$2:A89),A$2:A89,1))=MONTH(A89))*(YEAR(IF(ISNUMBER(A$2:A89),A$2:A89,1))=YEAR(A89))*IF(ISNUMBER(K$2:K89),K$2:K89,0))),""))</f>
        <v/>
      </c>
      <c r="M89" s="21" t="str">
        <f>IF(A89="","",IFERROR(IF(SUMIF(N$2:N89,"CASA",K$2:K89)=0,"",SUMIF(N$2:N89,"CASA",K$2:K89)),""))</f>
        <v/>
      </c>
      <c r="N89" s="17" t="str">
        <f>IF(J89="","",IF(J89=0.2,"CASA",IF(Dati!G89="","",Dati!G89)))</f>
        <v/>
      </c>
    </row>
    <row r="90" spans="1:14" ht="15" customHeight="1" x14ac:dyDescent="0.2">
      <c r="A90" s="23" t="str">
        <f>IF(Dati!A90="","",Dati!A90)</f>
        <v/>
      </c>
      <c r="B90" s="17" t="str">
        <f>IF(Dati!B90="","",Dati!B90)</f>
        <v/>
      </c>
      <c r="C90" s="17" t="str">
        <f>IF(B90="","",IF(ISNUMBER(B89),IF(B90-B89&lt;0,B90,IF(B90-B89=0,"",B90-B89)),B90))</f>
        <v/>
      </c>
      <c r="D90" s="18" t="str">
        <f>IF(Dati!C90="","",IF(Dati!C90&gt;1,Dati!C90/100,Dati!C90))</f>
        <v/>
      </c>
      <c r="E90" s="18" t="str">
        <f>IF(Dati!D90="","",IF(Dati!D90&gt;1,Dati!D90/100,Dati!D90))</f>
        <v/>
      </c>
      <c r="F90" s="18" t="str">
        <f>IF(OR(D90="",E90=""),"",IF(OR(D90&gt;1,E90&gt;1),(E90-D90)/100,E90-D90))</f>
        <v/>
      </c>
      <c r="G90" s="17" t="str">
        <f>IF(F90="","",IF(64*F90=0,"",64*F90))</f>
        <v/>
      </c>
      <c r="H90" s="19" t="str">
        <f>IF(Dati!E90="","",Dati!E90)</f>
        <v/>
      </c>
      <c r="I90" s="19" t="str">
        <f>IFERROR(IF(OR(C90="",C90=0),"",H90/C90*100),"")</f>
        <v/>
      </c>
      <c r="J90" s="20" t="str">
        <f>IF(Dati!F90="","",Dati!F90)</f>
        <v/>
      </c>
      <c r="K90" s="19" t="str">
        <f>IF(OR(H90="",J90=""),"",IF(H90*J90=0,"",H90*J90))</f>
        <v/>
      </c>
      <c r="L90" s="19" t="str">
        <f>IF(A90="","",IFERROR(IF(SUMPRODUCT((ISNUMBER(A$2:A90))*(A$2:A90&gt;1000)*(MONTH(IF(ISNUMBER(A$2:A90),A$2:A90,1))=MONTH(A90))*(YEAR(IF(ISNUMBER(A$2:A90),A$2:A90,1))=YEAR(A90))*IF(ISNUMBER(K$2:K90),K$2:K90,0))=0,"",SUMPRODUCT((ISNUMBER(A$2:A90))*(A$2:A90&gt;1000)*(MONTH(IF(ISNUMBER(A$2:A90),A$2:A90,1))=MONTH(A90))*(YEAR(IF(ISNUMBER(A$2:A90),A$2:A90,1))=YEAR(A90))*IF(ISNUMBER(K$2:K90),K$2:K90,0))),""))</f>
        <v/>
      </c>
      <c r="M90" s="21" t="str">
        <f>IF(A90="","",IFERROR(IF(SUMIF(N$2:N90,"CASA",K$2:K90)=0,"",SUMIF(N$2:N90,"CASA",K$2:K90)),""))</f>
        <v/>
      </c>
      <c r="N90" s="17" t="str">
        <f>IF(J90="","",IF(J90=0.2,"CASA",IF(Dati!G90="","",Dati!G90)))</f>
        <v/>
      </c>
    </row>
    <row r="91" spans="1:14" ht="15" customHeight="1" x14ac:dyDescent="0.2">
      <c r="A91" s="23" t="str">
        <f>IF(Dati!A91="","",Dati!A91)</f>
        <v/>
      </c>
      <c r="B91" s="17" t="str">
        <f>IF(Dati!B91="","",Dati!B91)</f>
        <v/>
      </c>
      <c r="C91" s="17" t="str">
        <f>IF(B91="","",IF(ISNUMBER(B90),IF(B91-B90&lt;0,B91,IF(B91-B90=0,"",B91-B90)),B91))</f>
        <v/>
      </c>
      <c r="D91" s="18" t="str">
        <f>IF(Dati!C91="","",IF(Dati!C91&gt;1,Dati!C91/100,Dati!C91))</f>
        <v/>
      </c>
      <c r="E91" s="18" t="str">
        <f>IF(Dati!D91="","",IF(Dati!D91&gt;1,Dati!D91/100,Dati!D91))</f>
        <v/>
      </c>
      <c r="F91" s="18" t="str">
        <f>IF(OR(D91="",E91=""),"",IF(OR(D91&gt;1,E91&gt;1),(E91-D91)/100,E91-D91))</f>
        <v/>
      </c>
      <c r="G91" s="17" t="str">
        <f>IF(F91="","",IF(64*F91=0,"",64*F91))</f>
        <v/>
      </c>
      <c r="H91" s="19" t="str">
        <f>IF(Dati!E91="","",Dati!E91)</f>
        <v/>
      </c>
      <c r="I91" s="19" t="str">
        <f>IFERROR(IF(OR(C91="",C91=0),"",H91/C91*100),"")</f>
        <v/>
      </c>
      <c r="J91" s="20" t="str">
        <f>IF(Dati!F91="","",Dati!F91)</f>
        <v/>
      </c>
      <c r="K91" s="19" t="str">
        <f>IF(OR(H91="",J91=""),"",IF(H91*J91=0,"",H91*J91))</f>
        <v/>
      </c>
      <c r="L91" s="19" t="str">
        <f>IF(A91="","",IFERROR(IF(SUMPRODUCT((ISNUMBER(A$2:A91))*(A$2:A91&gt;1000)*(MONTH(IF(ISNUMBER(A$2:A91),A$2:A91,1))=MONTH(A91))*(YEAR(IF(ISNUMBER(A$2:A91),A$2:A91,1))=YEAR(A91))*IF(ISNUMBER(K$2:K91),K$2:K91,0))=0,"",SUMPRODUCT((ISNUMBER(A$2:A91))*(A$2:A91&gt;1000)*(MONTH(IF(ISNUMBER(A$2:A91),A$2:A91,1))=MONTH(A91))*(YEAR(IF(ISNUMBER(A$2:A91),A$2:A91,1))=YEAR(A91))*IF(ISNUMBER(K$2:K91),K$2:K91,0))),""))</f>
        <v/>
      </c>
      <c r="M91" s="21" t="str">
        <f>IF(A91="","",IFERROR(IF(SUMIF(N$2:N91,"CASA",K$2:K91)=0,"",SUMIF(N$2:N91,"CASA",K$2:K91)),""))</f>
        <v/>
      </c>
      <c r="N91" s="17" t="str">
        <f>IF(J91="","",IF(J91=0.2,"CASA",IF(Dati!G91="","",Dati!G91)))</f>
        <v/>
      </c>
    </row>
    <row r="92" spans="1:14" ht="15" customHeight="1" x14ac:dyDescent="0.2">
      <c r="A92" s="23" t="str">
        <f>IF(Dati!A92="","",Dati!A92)</f>
        <v/>
      </c>
      <c r="B92" s="17" t="str">
        <f>IF(Dati!B92="","",Dati!B92)</f>
        <v/>
      </c>
      <c r="C92" s="17" t="str">
        <f>IF(B92="","",IF(ISNUMBER(B91),IF(B92-B91&lt;0,B92,IF(B92-B91=0,"",B92-B91)),B92))</f>
        <v/>
      </c>
      <c r="D92" s="18" t="str">
        <f>IF(Dati!C92="","",IF(Dati!C92&gt;1,Dati!C92/100,Dati!C92))</f>
        <v/>
      </c>
      <c r="E92" s="18" t="str">
        <f>IF(Dati!D92="","",IF(Dati!D92&gt;1,Dati!D92/100,Dati!D92))</f>
        <v/>
      </c>
      <c r="F92" s="18" t="str">
        <f>IF(OR(D92="",E92=""),"",IF(OR(D92&gt;1,E92&gt;1),(E92-D92)/100,E92-D92))</f>
        <v/>
      </c>
      <c r="G92" s="17" t="str">
        <f>IF(F92="","",IF(64*F92=0,"",64*F92))</f>
        <v/>
      </c>
      <c r="H92" s="19" t="str">
        <f>IF(Dati!E92="","",Dati!E92)</f>
        <v/>
      </c>
      <c r="I92" s="19" t="str">
        <f>IFERROR(IF(OR(C92="",C92=0),"",H92/C92*100),"")</f>
        <v/>
      </c>
      <c r="J92" s="20" t="str">
        <f>IF(Dati!F92="","",Dati!F92)</f>
        <v/>
      </c>
      <c r="K92" s="19" t="str">
        <f>IF(OR(H92="",J92=""),"",IF(H92*J92=0,"",H92*J92))</f>
        <v/>
      </c>
      <c r="L92" s="19" t="str">
        <f>IF(A92="","",IFERROR(IF(SUMPRODUCT((ISNUMBER(A$2:A92))*(A$2:A92&gt;1000)*(MONTH(IF(ISNUMBER(A$2:A92),A$2:A92,1))=MONTH(A92))*(YEAR(IF(ISNUMBER(A$2:A92),A$2:A92,1))=YEAR(A92))*IF(ISNUMBER(K$2:K92),K$2:K92,0))=0,"",SUMPRODUCT((ISNUMBER(A$2:A92))*(A$2:A92&gt;1000)*(MONTH(IF(ISNUMBER(A$2:A92),A$2:A92,1))=MONTH(A92))*(YEAR(IF(ISNUMBER(A$2:A92),A$2:A92,1))=YEAR(A92))*IF(ISNUMBER(K$2:K92),K$2:K92,0))),""))</f>
        <v/>
      </c>
      <c r="M92" s="21" t="str">
        <f>IF(A92="","",IFERROR(IF(SUMIF(N$2:N92,"CASA",K$2:K92)=0,"",SUMIF(N$2:N92,"CASA",K$2:K92)),""))</f>
        <v/>
      </c>
      <c r="N92" s="17" t="str">
        <f>IF(J92="","",IF(J92=0.2,"CASA",IF(Dati!G92="","",Dati!G92)))</f>
        <v/>
      </c>
    </row>
    <row r="93" spans="1:14" ht="15" customHeight="1" x14ac:dyDescent="0.2">
      <c r="A93" s="23" t="str">
        <f>IF(Dati!A93="","",Dati!A93)</f>
        <v/>
      </c>
      <c r="B93" s="17" t="str">
        <f>IF(Dati!B93="","",Dati!B93)</f>
        <v/>
      </c>
      <c r="C93" s="17" t="str">
        <f>IF(B93="","",IF(ISNUMBER(B92),IF(B93-B92&lt;0,B93,IF(B93-B92=0,"",B93-B92)),B93))</f>
        <v/>
      </c>
      <c r="D93" s="18" t="str">
        <f>IF(Dati!C93="","",IF(Dati!C93&gt;1,Dati!C93/100,Dati!C93))</f>
        <v/>
      </c>
      <c r="E93" s="18" t="str">
        <f>IF(Dati!D93="","",IF(Dati!D93&gt;1,Dati!D93/100,Dati!D93))</f>
        <v/>
      </c>
      <c r="F93" s="18" t="str">
        <f>IF(OR(D93="",E93=""),"",IF(OR(D93&gt;1,E93&gt;1),(E93-D93)/100,E93-D93))</f>
        <v/>
      </c>
      <c r="G93" s="17" t="str">
        <f>IF(F93="","",IF(64*F93=0,"",64*F93))</f>
        <v/>
      </c>
      <c r="H93" s="19" t="str">
        <f>IF(Dati!E93="","",Dati!E93)</f>
        <v/>
      </c>
      <c r="I93" s="19" t="str">
        <f>IFERROR(IF(OR(C93="",C93=0),"",H93/C93*100),"")</f>
        <v/>
      </c>
      <c r="J93" s="20" t="str">
        <f>IF(Dati!F93="","",Dati!F93)</f>
        <v/>
      </c>
      <c r="K93" s="19" t="str">
        <f>IF(OR(H93="",J93=""),"",IF(H93*J93=0,"",H93*J93))</f>
        <v/>
      </c>
      <c r="L93" s="19" t="str">
        <f>IF(A93="","",IFERROR(IF(SUMPRODUCT((ISNUMBER(A$2:A93))*(A$2:A93&gt;1000)*(MONTH(IF(ISNUMBER(A$2:A93),A$2:A93,1))=MONTH(A93))*(YEAR(IF(ISNUMBER(A$2:A93),A$2:A93,1))=YEAR(A93))*IF(ISNUMBER(K$2:K93),K$2:K93,0))=0,"",SUMPRODUCT((ISNUMBER(A$2:A93))*(A$2:A93&gt;1000)*(MONTH(IF(ISNUMBER(A$2:A93),A$2:A93,1))=MONTH(A93))*(YEAR(IF(ISNUMBER(A$2:A93),A$2:A93,1))=YEAR(A93))*IF(ISNUMBER(K$2:K93),K$2:K93,0))),""))</f>
        <v/>
      </c>
      <c r="M93" s="21" t="str">
        <f>IF(A93="","",IFERROR(IF(SUMIF(N$2:N93,"CASA",K$2:K93)=0,"",SUMIF(N$2:N93,"CASA",K$2:K93)),""))</f>
        <v/>
      </c>
      <c r="N93" s="17" t="str">
        <f>IF(J93="","",IF(J93=0.2,"CASA",IF(Dati!G93="","",Dati!G93)))</f>
        <v/>
      </c>
    </row>
    <row r="94" spans="1:14" ht="15" customHeight="1" x14ac:dyDescent="0.2">
      <c r="A94" s="23" t="str">
        <f>IF(Dati!A94="","",Dati!A94)</f>
        <v/>
      </c>
      <c r="B94" s="17" t="str">
        <f>IF(Dati!B94="","",Dati!B94)</f>
        <v/>
      </c>
      <c r="C94" s="17" t="str">
        <f>IF(B94="","",IF(ISNUMBER(B93),IF(B94-B93&lt;0,B94,IF(B94-B93=0,"",B94-B93)),B94))</f>
        <v/>
      </c>
      <c r="D94" s="18" t="str">
        <f>IF(Dati!C94="","",IF(Dati!C94&gt;1,Dati!C94/100,Dati!C94))</f>
        <v/>
      </c>
      <c r="E94" s="18" t="str">
        <f>IF(Dati!D94="","",IF(Dati!D94&gt;1,Dati!D94/100,Dati!D94))</f>
        <v/>
      </c>
      <c r="F94" s="18" t="str">
        <f>IF(OR(D94="",E94=""),"",IF(OR(D94&gt;1,E94&gt;1),(E94-D94)/100,E94-D94))</f>
        <v/>
      </c>
      <c r="G94" s="17" t="str">
        <f>IF(F94="","",IF(64*F94=0,"",64*F94))</f>
        <v/>
      </c>
      <c r="H94" s="19" t="str">
        <f>IF(Dati!E94="","",Dati!E94)</f>
        <v/>
      </c>
      <c r="I94" s="19" t="str">
        <f>IFERROR(IF(OR(C94="",C94=0),"",H94/C94*100),"")</f>
        <v/>
      </c>
      <c r="J94" s="20" t="str">
        <f>IF(Dati!F94="","",Dati!F94)</f>
        <v/>
      </c>
      <c r="K94" s="19" t="str">
        <f>IF(OR(H94="",J94=""),"",IF(H94*J94=0,"",H94*J94))</f>
        <v/>
      </c>
      <c r="L94" s="19" t="str">
        <f>IF(A94="","",IFERROR(IF(SUMPRODUCT((ISNUMBER(A$2:A94))*(A$2:A94&gt;1000)*(MONTH(IF(ISNUMBER(A$2:A94),A$2:A94,1))=MONTH(A94))*(YEAR(IF(ISNUMBER(A$2:A94),A$2:A94,1))=YEAR(A94))*IF(ISNUMBER(K$2:K94),K$2:K94,0))=0,"",SUMPRODUCT((ISNUMBER(A$2:A94))*(A$2:A94&gt;1000)*(MONTH(IF(ISNUMBER(A$2:A94),A$2:A94,1))=MONTH(A94))*(YEAR(IF(ISNUMBER(A$2:A94),A$2:A94,1))=YEAR(A94))*IF(ISNUMBER(K$2:K94),K$2:K94,0))),""))</f>
        <v/>
      </c>
      <c r="M94" s="21" t="str">
        <f>IF(A94="","",IFERROR(IF(SUMIF(N$2:N94,"CASA",K$2:K94)=0,"",SUMIF(N$2:N94,"CASA",K$2:K94)),""))</f>
        <v/>
      </c>
      <c r="N94" s="17" t="str">
        <f>IF(J94="","",IF(J94=0.2,"CASA",IF(Dati!G94="","",Dati!G94)))</f>
        <v/>
      </c>
    </row>
    <row r="95" spans="1:14" ht="15" customHeight="1" x14ac:dyDescent="0.2">
      <c r="A95" s="23" t="str">
        <f>IF(Dati!A95="","",Dati!A95)</f>
        <v/>
      </c>
      <c r="B95" s="17" t="str">
        <f>IF(Dati!B95="","",Dati!B95)</f>
        <v/>
      </c>
      <c r="C95" s="17" t="str">
        <f>IF(B95="","",IF(ISNUMBER(B94),IF(B95-B94&lt;0,B95,IF(B95-B94=0,"",B95-B94)),B95))</f>
        <v/>
      </c>
      <c r="D95" s="18" t="str">
        <f>IF(Dati!C95="","",IF(Dati!C95&gt;1,Dati!C95/100,Dati!C95))</f>
        <v/>
      </c>
      <c r="E95" s="18" t="str">
        <f>IF(Dati!D95="","",IF(Dati!D95&gt;1,Dati!D95/100,Dati!D95))</f>
        <v/>
      </c>
      <c r="F95" s="18" t="str">
        <f>IF(OR(D95="",E95=""),"",IF(OR(D95&gt;1,E95&gt;1),(E95-D95)/100,E95-D95))</f>
        <v/>
      </c>
      <c r="G95" s="17" t="str">
        <f>IF(F95="","",IF(64*F95=0,"",64*F95))</f>
        <v/>
      </c>
      <c r="H95" s="19" t="str">
        <f>IF(Dati!E95="","",Dati!E95)</f>
        <v/>
      </c>
      <c r="I95" s="19" t="str">
        <f>IFERROR(IF(OR(C95="",C95=0),"",H95/C95*100),"")</f>
        <v/>
      </c>
      <c r="J95" s="20" t="str">
        <f>IF(Dati!F95="","",Dati!F95)</f>
        <v/>
      </c>
      <c r="K95" s="19" t="str">
        <f>IF(OR(H95="",J95=""),"",IF(H95*J95=0,"",H95*J95))</f>
        <v/>
      </c>
      <c r="L95" s="19" t="str">
        <f>IF(A95="","",IFERROR(IF(SUMPRODUCT((ISNUMBER(A$2:A95))*(A$2:A95&gt;1000)*(MONTH(IF(ISNUMBER(A$2:A95),A$2:A95,1))=MONTH(A95))*(YEAR(IF(ISNUMBER(A$2:A95),A$2:A95,1))=YEAR(A95))*IF(ISNUMBER(K$2:K95),K$2:K95,0))=0,"",SUMPRODUCT((ISNUMBER(A$2:A95))*(A$2:A95&gt;1000)*(MONTH(IF(ISNUMBER(A$2:A95),A$2:A95,1))=MONTH(A95))*(YEAR(IF(ISNUMBER(A$2:A95),A$2:A95,1))=YEAR(A95))*IF(ISNUMBER(K$2:K95),K$2:K95,0))),""))</f>
        <v/>
      </c>
      <c r="M95" s="21" t="str">
        <f>IF(A95="","",IFERROR(IF(SUMIF(N$2:N95,"CASA",K$2:K95)=0,"",SUMIF(N$2:N95,"CASA",K$2:K95)),""))</f>
        <v/>
      </c>
      <c r="N95" s="17" t="str">
        <f>IF(J95="","",IF(J95=0.2,"CASA",IF(Dati!G95="","",Dati!G95)))</f>
        <v/>
      </c>
    </row>
    <row r="96" spans="1:14" ht="15" customHeight="1" x14ac:dyDescent="0.2">
      <c r="A96" s="23" t="str">
        <f>IF(Dati!A96="","",Dati!A96)</f>
        <v/>
      </c>
      <c r="B96" s="17" t="str">
        <f>IF(Dati!B96="","",Dati!B96)</f>
        <v/>
      </c>
      <c r="C96" s="17" t="str">
        <f>IF(B96="","",IF(ISNUMBER(B95),IF(B96-B95&lt;0,B96,IF(B96-B95=0,"",B96-B95)),B96))</f>
        <v/>
      </c>
      <c r="D96" s="18" t="str">
        <f>IF(Dati!C96="","",IF(Dati!C96&gt;1,Dati!C96/100,Dati!C96))</f>
        <v/>
      </c>
      <c r="E96" s="18" t="str">
        <f>IF(Dati!D96="","",IF(Dati!D96&gt;1,Dati!D96/100,Dati!D96))</f>
        <v/>
      </c>
      <c r="F96" s="18" t="str">
        <f>IF(OR(D96="",E96=""),"",IF(OR(D96&gt;1,E96&gt;1),(E96-D96)/100,E96-D96))</f>
        <v/>
      </c>
      <c r="G96" s="17" t="str">
        <f>IF(F96="","",IF(64*F96=0,"",64*F96))</f>
        <v/>
      </c>
      <c r="H96" s="19" t="str">
        <f>IF(Dati!E96="","",Dati!E96)</f>
        <v/>
      </c>
      <c r="I96" s="19" t="str">
        <f>IFERROR(IF(OR(C96="",C96=0),"",H96/C96*100),"")</f>
        <v/>
      </c>
      <c r="J96" s="20" t="str">
        <f>IF(Dati!F96="","",Dati!F96)</f>
        <v/>
      </c>
      <c r="K96" s="19" t="str">
        <f>IF(OR(H96="",J96=""),"",IF(H96*J96=0,"",H96*J96))</f>
        <v/>
      </c>
      <c r="L96" s="19" t="str">
        <f>IF(A96="","",IFERROR(IF(SUMPRODUCT((ISNUMBER(A$2:A96))*(A$2:A96&gt;1000)*(MONTH(IF(ISNUMBER(A$2:A96),A$2:A96,1))=MONTH(A96))*(YEAR(IF(ISNUMBER(A$2:A96),A$2:A96,1))=YEAR(A96))*IF(ISNUMBER(K$2:K96),K$2:K96,0))=0,"",SUMPRODUCT((ISNUMBER(A$2:A96))*(A$2:A96&gt;1000)*(MONTH(IF(ISNUMBER(A$2:A96),A$2:A96,1))=MONTH(A96))*(YEAR(IF(ISNUMBER(A$2:A96),A$2:A96,1))=YEAR(A96))*IF(ISNUMBER(K$2:K96),K$2:K96,0))),""))</f>
        <v/>
      </c>
      <c r="M96" s="21" t="str">
        <f>IF(A96="","",IFERROR(IF(SUMIF(N$2:N96,"CASA",K$2:K96)=0,"",SUMIF(N$2:N96,"CASA",K$2:K96)),""))</f>
        <v/>
      </c>
      <c r="N96" s="17" t="str">
        <f>IF(J96="","",IF(J96=0.2,"CASA",IF(Dati!G96="","",Dati!G96)))</f>
        <v/>
      </c>
    </row>
    <row r="97" spans="1:14" ht="15" customHeight="1" x14ac:dyDescent="0.2">
      <c r="A97" s="23" t="str">
        <f>IF(Dati!A97="","",Dati!A97)</f>
        <v/>
      </c>
      <c r="B97" s="17" t="str">
        <f>IF(Dati!B97="","",Dati!B97)</f>
        <v/>
      </c>
      <c r="C97" s="17" t="str">
        <f>IF(B97="","",IF(ISNUMBER(B96),IF(B97-B96&lt;0,B97,IF(B97-B96=0,"",B97-B96)),B97))</f>
        <v/>
      </c>
      <c r="D97" s="18" t="str">
        <f>IF(Dati!C97="","",IF(Dati!C97&gt;1,Dati!C97/100,Dati!C97))</f>
        <v/>
      </c>
      <c r="E97" s="18" t="str">
        <f>IF(Dati!D97="","",IF(Dati!D97&gt;1,Dati!D97/100,Dati!D97))</f>
        <v/>
      </c>
      <c r="F97" s="18" t="str">
        <f>IF(OR(D97="",E97=""),"",IF(OR(D97&gt;1,E97&gt;1),(E97-D97)/100,E97-D97))</f>
        <v/>
      </c>
      <c r="G97" s="17" t="str">
        <f>IF(F97="","",IF(64*F97=0,"",64*F97))</f>
        <v/>
      </c>
      <c r="H97" s="19" t="str">
        <f>IF(Dati!E97="","",Dati!E97)</f>
        <v/>
      </c>
      <c r="I97" s="19" t="str">
        <f>IFERROR(IF(OR(C97="",C97=0),"",H97/C97*100),"")</f>
        <v/>
      </c>
      <c r="J97" s="20" t="str">
        <f>IF(Dati!F97="","",Dati!F97)</f>
        <v/>
      </c>
      <c r="K97" s="19" t="str">
        <f>IF(OR(H97="",J97=""),"",IF(H97*J97=0,"",H97*J97))</f>
        <v/>
      </c>
      <c r="L97" s="19" t="str">
        <f>IF(A97="","",IFERROR(IF(SUMPRODUCT((ISNUMBER(A$2:A97))*(A$2:A97&gt;1000)*(MONTH(IF(ISNUMBER(A$2:A97),A$2:A97,1))=MONTH(A97))*(YEAR(IF(ISNUMBER(A$2:A97),A$2:A97,1))=YEAR(A97))*IF(ISNUMBER(K$2:K97),K$2:K97,0))=0,"",SUMPRODUCT((ISNUMBER(A$2:A97))*(A$2:A97&gt;1000)*(MONTH(IF(ISNUMBER(A$2:A97),A$2:A97,1))=MONTH(A97))*(YEAR(IF(ISNUMBER(A$2:A97),A$2:A97,1))=YEAR(A97))*IF(ISNUMBER(K$2:K97),K$2:K97,0))),""))</f>
        <v/>
      </c>
      <c r="M97" s="21" t="str">
        <f>IF(A97="","",IFERROR(IF(SUMIF(N$2:N97,"CASA",K$2:K97)=0,"",SUMIF(N$2:N97,"CASA",K$2:K97)),""))</f>
        <v/>
      </c>
      <c r="N97" s="17" t="str">
        <f>IF(J97="","",IF(J97=0.2,"CASA",IF(Dati!G97="","",Dati!G97)))</f>
        <v/>
      </c>
    </row>
    <row r="98" spans="1:14" ht="15" customHeight="1" x14ac:dyDescent="0.2">
      <c r="A98" s="23" t="str">
        <f>IF(Dati!A98="","",Dati!A98)</f>
        <v/>
      </c>
      <c r="B98" s="17" t="str">
        <f>IF(Dati!B98="","",Dati!B98)</f>
        <v/>
      </c>
      <c r="C98" s="17" t="str">
        <f>IF(B98="","",IF(ISNUMBER(B97),IF(B98-B97&lt;0,B98,IF(B98-B97=0,"",B98-B97)),B98))</f>
        <v/>
      </c>
      <c r="D98" s="18" t="str">
        <f>IF(Dati!C98="","",IF(Dati!C98&gt;1,Dati!C98/100,Dati!C98))</f>
        <v/>
      </c>
      <c r="E98" s="18" t="str">
        <f>IF(Dati!D98="","",IF(Dati!D98&gt;1,Dati!D98/100,Dati!D98))</f>
        <v/>
      </c>
      <c r="F98" s="18" t="str">
        <f>IF(OR(D98="",E98=""),"",IF(OR(D98&gt;1,E98&gt;1),(E98-D98)/100,E98-D98))</f>
        <v/>
      </c>
      <c r="G98" s="17" t="str">
        <f>IF(F98="","",IF(64*F98=0,"",64*F98))</f>
        <v/>
      </c>
      <c r="H98" s="19" t="str">
        <f>IF(Dati!E98="","",Dati!E98)</f>
        <v/>
      </c>
      <c r="I98" s="19" t="str">
        <f>IFERROR(IF(OR(C98="",C98=0),"",H98/C98*100),"")</f>
        <v/>
      </c>
      <c r="J98" s="20" t="str">
        <f>IF(Dati!F98="","",Dati!F98)</f>
        <v/>
      </c>
      <c r="K98" s="19" t="str">
        <f>IF(OR(H98="",J98=""),"",IF(H98*J98=0,"",H98*J98))</f>
        <v/>
      </c>
      <c r="L98" s="19" t="str">
        <f>IF(A98="","",IFERROR(IF(SUMPRODUCT((ISNUMBER(A$2:A98))*(A$2:A98&gt;1000)*(MONTH(IF(ISNUMBER(A$2:A98),A$2:A98,1))=MONTH(A98))*(YEAR(IF(ISNUMBER(A$2:A98),A$2:A98,1))=YEAR(A98))*IF(ISNUMBER(K$2:K98),K$2:K98,0))=0,"",SUMPRODUCT((ISNUMBER(A$2:A98))*(A$2:A98&gt;1000)*(MONTH(IF(ISNUMBER(A$2:A98),A$2:A98,1))=MONTH(A98))*(YEAR(IF(ISNUMBER(A$2:A98),A$2:A98,1))=YEAR(A98))*IF(ISNUMBER(K$2:K98),K$2:K98,0))),""))</f>
        <v/>
      </c>
      <c r="M98" s="21" t="str">
        <f>IF(A98="","",IFERROR(IF(SUMIF(N$2:N98,"CASA",K$2:K98)=0,"",SUMIF(N$2:N98,"CASA",K$2:K98)),""))</f>
        <v/>
      </c>
      <c r="N98" s="17" t="str">
        <f>IF(J98="","",IF(J98=0.2,"CASA",IF(Dati!G98="","",Dati!G98)))</f>
        <v/>
      </c>
    </row>
    <row r="99" spans="1:14" ht="15" customHeight="1" x14ac:dyDescent="0.2">
      <c r="A99" s="23" t="str">
        <f>IF(Dati!A99="","",Dati!A99)</f>
        <v/>
      </c>
      <c r="B99" s="17" t="str">
        <f>IF(Dati!B99="","",Dati!B99)</f>
        <v/>
      </c>
      <c r="C99" s="17" t="str">
        <f>IF(B99="","",IF(ISNUMBER(B98),IF(B99-B98&lt;0,B99,IF(B99-B98=0,"",B99-B98)),B99))</f>
        <v/>
      </c>
      <c r="D99" s="18" t="str">
        <f>IF(Dati!C99="","",IF(Dati!C99&gt;1,Dati!C99/100,Dati!C99))</f>
        <v/>
      </c>
      <c r="E99" s="18" t="str">
        <f>IF(Dati!D99="","",IF(Dati!D99&gt;1,Dati!D99/100,Dati!D99))</f>
        <v/>
      </c>
      <c r="F99" s="18" t="str">
        <f>IF(OR(D99="",E99=""),"",IF(OR(D99&gt;1,E99&gt;1),(E99-D99)/100,E99-D99))</f>
        <v/>
      </c>
      <c r="G99" s="17" t="str">
        <f>IF(F99="","",IF(64*F99=0,"",64*F99))</f>
        <v/>
      </c>
      <c r="H99" s="19" t="str">
        <f>IF(Dati!E99="","",Dati!E99)</f>
        <v/>
      </c>
      <c r="I99" s="19" t="str">
        <f>IFERROR(IF(OR(C99="",C99=0),"",H99/C99*100),"")</f>
        <v/>
      </c>
      <c r="J99" s="20" t="str">
        <f>IF(Dati!F99="","",Dati!F99)</f>
        <v/>
      </c>
      <c r="K99" s="19" t="str">
        <f>IF(OR(H99="",J99=""),"",IF(H99*J99=0,"",H99*J99))</f>
        <v/>
      </c>
      <c r="L99" s="19" t="str">
        <f>IF(A99="","",IFERROR(IF(SUMPRODUCT((ISNUMBER(A$2:A99))*(A$2:A99&gt;1000)*(MONTH(IF(ISNUMBER(A$2:A99),A$2:A99,1))=MONTH(A99))*(YEAR(IF(ISNUMBER(A$2:A99),A$2:A99,1))=YEAR(A99))*IF(ISNUMBER(K$2:K99),K$2:K99,0))=0,"",SUMPRODUCT((ISNUMBER(A$2:A99))*(A$2:A99&gt;1000)*(MONTH(IF(ISNUMBER(A$2:A99),A$2:A99,1))=MONTH(A99))*(YEAR(IF(ISNUMBER(A$2:A99),A$2:A99,1))=YEAR(A99))*IF(ISNUMBER(K$2:K99),K$2:K99,0))),""))</f>
        <v/>
      </c>
      <c r="M99" s="21" t="str">
        <f>IF(A99="","",IFERROR(IF(SUMIF(N$2:N99,"CASA",K$2:K99)=0,"",SUMIF(N$2:N99,"CASA",K$2:K99)),""))</f>
        <v/>
      </c>
      <c r="N99" s="17" t="str">
        <f>IF(J99="","",IF(J99=0.2,"CASA",IF(Dati!G99="","",Dati!G99)))</f>
        <v/>
      </c>
    </row>
    <row r="100" spans="1:14" ht="15" customHeight="1" x14ac:dyDescent="0.2">
      <c r="A100" s="23" t="str">
        <f>IF(Dati!A100="","",Dati!A100)</f>
        <v/>
      </c>
      <c r="B100" s="17" t="str">
        <f>IF(Dati!B100="","",Dati!B100)</f>
        <v/>
      </c>
      <c r="C100" s="17" t="str">
        <f>IF(B100="","",IF(ISNUMBER(B99),IF(B100-B99&lt;0,B100,IF(B100-B99=0,"",B100-B99)),B100))</f>
        <v/>
      </c>
      <c r="D100" s="18" t="str">
        <f>IF(Dati!C100="","",IF(Dati!C100&gt;1,Dati!C100/100,Dati!C100))</f>
        <v/>
      </c>
      <c r="E100" s="18" t="str">
        <f>IF(Dati!D100="","",IF(Dati!D100&gt;1,Dati!D100/100,Dati!D100))</f>
        <v/>
      </c>
      <c r="F100" s="18" t="str">
        <f>IF(OR(D100="",E100=""),"",IF(OR(D100&gt;1,E100&gt;1),(E100-D100)/100,E100-D100))</f>
        <v/>
      </c>
      <c r="G100" s="17" t="str">
        <f>IF(F100="","",IF(64*F100=0,"",64*F100))</f>
        <v/>
      </c>
      <c r="H100" s="19" t="str">
        <f>IF(Dati!E100="","",Dati!E100)</f>
        <v/>
      </c>
      <c r="I100" s="19" t="str">
        <f>IFERROR(IF(OR(C100="",C100=0),"",H100/C100*100),"")</f>
        <v/>
      </c>
      <c r="J100" s="20" t="str">
        <f>IF(Dati!F100="","",Dati!F100)</f>
        <v/>
      </c>
      <c r="K100" s="19" t="str">
        <f>IF(OR(H100="",J100=""),"",IF(H100*J100=0,"",H100*J100))</f>
        <v/>
      </c>
      <c r="L100" s="19" t="str">
        <f>IF(A100="","",IFERROR(IF(SUMPRODUCT((ISNUMBER(A$2:A100))*(A$2:A100&gt;1000)*(MONTH(IF(ISNUMBER(A$2:A100),A$2:A100,1))=MONTH(A100))*(YEAR(IF(ISNUMBER(A$2:A100),A$2:A100,1))=YEAR(A100))*IF(ISNUMBER(K$2:K100),K$2:K100,0))=0,"",SUMPRODUCT((ISNUMBER(A$2:A100))*(A$2:A100&gt;1000)*(MONTH(IF(ISNUMBER(A$2:A100),A$2:A100,1))=MONTH(A100))*(YEAR(IF(ISNUMBER(A$2:A100),A$2:A100,1))=YEAR(A100))*IF(ISNUMBER(K$2:K100),K$2:K100,0))),""))</f>
        <v/>
      </c>
      <c r="M100" s="21" t="str">
        <f>IF(A100="","",IFERROR(IF(SUMIF(N$2:N100,"CASA",K$2:K100)=0,"",SUMIF(N$2:N100,"CASA",K$2:K100)),""))</f>
        <v/>
      </c>
      <c r="N100" s="17" t="str">
        <f>IF(J100="","",IF(J100=0.2,"CASA",IF(Dati!G100="","",Dati!G100)))</f>
        <v/>
      </c>
    </row>
    <row r="101" spans="1:14" ht="15" customHeight="1" x14ac:dyDescent="0.2">
      <c r="A101" s="23" t="str">
        <f>IF(Dati!A101="","",Dati!A101)</f>
        <v/>
      </c>
      <c r="B101" s="17" t="str">
        <f>IF(Dati!B101="","",Dati!B101)</f>
        <v/>
      </c>
      <c r="C101" s="17" t="str">
        <f>IF(B101="","",IF(ISNUMBER(B100),IF(B101-B100&lt;0,B101,IF(B101-B100=0,"",B101-B100)),B101))</f>
        <v/>
      </c>
      <c r="D101" s="18" t="str">
        <f>IF(Dati!C101="","",IF(Dati!C101&gt;1,Dati!C101/100,Dati!C101))</f>
        <v/>
      </c>
      <c r="E101" s="18" t="str">
        <f>IF(Dati!D101="","",IF(Dati!D101&gt;1,Dati!D101/100,Dati!D101))</f>
        <v/>
      </c>
      <c r="F101" s="18" t="str">
        <f>IF(OR(D101="",E101=""),"",IF(OR(D101&gt;1,E101&gt;1),(E101-D101)/100,E101-D101))</f>
        <v/>
      </c>
      <c r="G101" s="17" t="str">
        <f>IF(F101="","",IF(64*F101=0,"",64*F101))</f>
        <v/>
      </c>
      <c r="H101" s="19" t="str">
        <f>IF(Dati!E101="","",Dati!E101)</f>
        <v/>
      </c>
      <c r="I101" s="19" t="str">
        <f>IFERROR(IF(OR(C101="",C101=0),"",H101/C101*100),"")</f>
        <v/>
      </c>
      <c r="J101" s="20" t="str">
        <f>IF(Dati!F101="","",Dati!F101)</f>
        <v/>
      </c>
      <c r="K101" s="19" t="str">
        <f>IF(OR(H101="",J101=""),"",IF(H101*J101=0,"",H101*J101))</f>
        <v/>
      </c>
      <c r="L101" s="19" t="str">
        <f>IF(A101="","",IFERROR(IF(SUMPRODUCT((ISNUMBER(A$2:A101))*(A$2:A101&gt;1000)*(MONTH(IF(ISNUMBER(A$2:A101),A$2:A101,1))=MONTH(A101))*(YEAR(IF(ISNUMBER(A$2:A101),A$2:A101,1))=YEAR(A101))*IF(ISNUMBER(K$2:K101),K$2:K101,0))=0,"",SUMPRODUCT((ISNUMBER(A$2:A101))*(A$2:A101&gt;1000)*(MONTH(IF(ISNUMBER(A$2:A101),A$2:A101,1))=MONTH(A101))*(YEAR(IF(ISNUMBER(A$2:A101),A$2:A101,1))=YEAR(A101))*IF(ISNUMBER(K$2:K101),K$2:K101,0))),""))</f>
        <v/>
      </c>
      <c r="M101" s="21" t="str">
        <f>IF(A101="","",IFERROR(IF(SUMIF(N$2:N101,"CASA",K$2:K101)=0,"",SUMIF(N$2:N101,"CASA",K$2:K101)),""))</f>
        <v/>
      </c>
      <c r="N101" s="17" t="str">
        <f>IF(J101="","",IF(J101=0.2,"CASA",IF(Dati!G101="","",Dati!G101)))</f>
        <v/>
      </c>
    </row>
    <row r="102" spans="1:14" ht="15" customHeight="1" x14ac:dyDescent="0.2">
      <c r="A102" s="23" t="str">
        <f>IF(Dati!A102="","",Dati!A102)</f>
        <v/>
      </c>
      <c r="B102" s="17" t="str">
        <f>IF(Dati!B102="","",Dati!B102)</f>
        <v/>
      </c>
      <c r="C102" s="17" t="str">
        <f>IF(B102="","",IF(ISNUMBER(B101),IF(B102-B101&lt;0,B102,IF(B102-B101=0,"",B102-B101)),B102))</f>
        <v/>
      </c>
      <c r="D102" s="18" t="str">
        <f>IF(Dati!C102="","",IF(Dati!C102&gt;1,Dati!C102/100,Dati!C102))</f>
        <v/>
      </c>
      <c r="E102" s="18" t="str">
        <f>IF(Dati!D102="","",IF(Dati!D102&gt;1,Dati!D102/100,Dati!D102))</f>
        <v/>
      </c>
      <c r="F102" s="18" t="str">
        <f>IF(OR(D102="",E102=""),"",IF(OR(D102&gt;1,E102&gt;1),(E102-D102)/100,E102-D102))</f>
        <v/>
      </c>
      <c r="G102" s="17" t="str">
        <f>IF(F102="","",IF(64*F102=0,"",64*F102))</f>
        <v/>
      </c>
      <c r="H102" s="19" t="str">
        <f>IF(Dati!E102="","",Dati!E102)</f>
        <v/>
      </c>
      <c r="I102" s="19" t="str">
        <f>IFERROR(IF(OR(C102="",C102=0),"",H102/C102*100),"")</f>
        <v/>
      </c>
      <c r="J102" s="20" t="str">
        <f>IF(Dati!F102="","",Dati!F102)</f>
        <v/>
      </c>
      <c r="K102" s="19" t="str">
        <f>IF(OR(H102="",J102=""),"",IF(H102*J102=0,"",H102*J102))</f>
        <v/>
      </c>
      <c r="L102" s="19" t="str">
        <f>IF(A102="","",IFERROR(IF(SUMPRODUCT((ISNUMBER(A$2:A102))*(A$2:A102&gt;1000)*(MONTH(IF(ISNUMBER(A$2:A102),A$2:A102,1))=MONTH(A102))*(YEAR(IF(ISNUMBER(A$2:A102),A$2:A102,1))=YEAR(A102))*IF(ISNUMBER(K$2:K102),K$2:K102,0))=0,"",SUMPRODUCT((ISNUMBER(A$2:A102))*(A$2:A102&gt;1000)*(MONTH(IF(ISNUMBER(A$2:A102),A$2:A102,1))=MONTH(A102))*(YEAR(IF(ISNUMBER(A$2:A102),A$2:A102,1))=YEAR(A102))*IF(ISNUMBER(K$2:K102),K$2:K102,0))),""))</f>
        <v/>
      </c>
      <c r="M102" s="21" t="str">
        <f>IF(A102="","",IFERROR(IF(SUMIF(N$2:N102,"CASA",K$2:K102)=0,"",SUMIF(N$2:N102,"CASA",K$2:K102)),""))</f>
        <v/>
      </c>
      <c r="N102" s="17" t="str">
        <f>IF(J102="","",IF(J102=0.2,"CASA",IF(Dati!G102="","",Dati!G102)))</f>
        <v/>
      </c>
    </row>
    <row r="103" spans="1:14" ht="15" customHeight="1" x14ac:dyDescent="0.2">
      <c r="A103" s="23" t="str">
        <f>IF(Dati!A103="","",Dati!A103)</f>
        <v/>
      </c>
      <c r="B103" s="17" t="str">
        <f>IF(Dati!B103="","",Dati!B103)</f>
        <v/>
      </c>
      <c r="C103" s="17" t="str">
        <f>IF(B103="","",IF(ISNUMBER(B102),IF(B103-B102&lt;0,B103,IF(B103-B102=0,"",B103-B102)),B103))</f>
        <v/>
      </c>
      <c r="D103" s="18" t="str">
        <f>IF(Dati!C103="","",IF(Dati!C103&gt;1,Dati!C103/100,Dati!C103))</f>
        <v/>
      </c>
      <c r="E103" s="18" t="str">
        <f>IF(Dati!D103="","",IF(Dati!D103&gt;1,Dati!D103/100,Dati!D103))</f>
        <v/>
      </c>
      <c r="F103" s="18" t="str">
        <f>IF(OR(D103="",E103=""),"",IF(OR(D103&gt;1,E103&gt;1),(E103-D103)/100,E103-D103))</f>
        <v/>
      </c>
      <c r="G103" s="17" t="str">
        <f>IF(F103="","",IF(64*F103=0,"",64*F103))</f>
        <v/>
      </c>
      <c r="H103" s="19" t="str">
        <f>IF(Dati!E103="","",Dati!E103)</f>
        <v/>
      </c>
      <c r="I103" s="19" t="str">
        <f>IFERROR(IF(OR(C103="",C103=0),"",H103/C103*100),"")</f>
        <v/>
      </c>
      <c r="J103" s="20" t="str">
        <f>IF(Dati!F103="","",Dati!F103)</f>
        <v/>
      </c>
      <c r="K103" s="19" t="str">
        <f>IF(OR(H103="",J103=""),"",IF(H103*J103=0,"",H103*J103))</f>
        <v/>
      </c>
      <c r="L103" s="19" t="str">
        <f>IF(A103="","",IFERROR(IF(SUMPRODUCT((ISNUMBER(A$2:A103))*(A$2:A103&gt;1000)*(MONTH(IF(ISNUMBER(A$2:A103),A$2:A103,1))=MONTH(A103))*(YEAR(IF(ISNUMBER(A$2:A103),A$2:A103,1))=YEAR(A103))*IF(ISNUMBER(K$2:K103),K$2:K103,0))=0,"",SUMPRODUCT((ISNUMBER(A$2:A103))*(A$2:A103&gt;1000)*(MONTH(IF(ISNUMBER(A$2:A103),A$2:A103,1))=MONTH(A103))*(YEAR(IF(ISNUMBER(A$2:A103),A$2:A103,1))=YEAR(A103))*IF(ISNUMBER(K$2:K103),K$2:K103,0))),""))</f>
        <v/>
      </c>
      <c r="M103" s="21" t="str">
        <f>IF(A103="","",IFERROR(IF(SUMIF(N$2:N103,"CASA",K$2:K103)=0,"",SUMIF(N$2:N103,"CASA",K$2:K103)),""))</f>
        <v/>
      </c>
      <c r="N103" s="17" t="str">
        <f>IF(J103="","",IF(J103=0.2,"CASA",IF(Dati!G103="","",Dati!G103)))</f>
        <v/>
      </c>
    </row>
    <row r="104" spans="1:14" ht="15" customHeight="1" x14ac:dyDescent="0.2">
      <c r="A104" s="23" t="str">
        <f>IF(Dati!A104="","",Dati!A104)</f>
        <v/>
      </c>
      <c r="B104" s="17" t="str">
        <f>IF(Dati!B104="","",Dati!B104)</f>
        <v/>
      </c>
      <c r="C104" s="17" t="str">
        <f>IF(B104="","",IF(ISNUMBER(B103),IF(B104-B103&lt;0,B104,IF(B104-B103=0,"",B104-B103)),B104))</f>
        <v/>
      </c>
      <c r="D104" s="18" t="str">
        <f>IF(Dati!C104="","",IF(Dati!C104&gt;1,Dati!C104/100,Dati!C104))</f>
        <v/>
      </c>
      <c r="E104" s="18" t="str">
        <f>IF(Dati!D104="","",IF(Dati!D104&gt;1,Dati!D104/100,Dati!D104))</f>
        <v/>
      </c>
      <c r="F104" s="18" t="str">
        <f>IF(OR(D104="",E104=""),"",IF(OR(D104&gt;1,E104&gt;1),(E104-D104)/100,E104-D104))</f>
        <v/>
      </c>
      <c r="G104" s="17" t="str">
        <f>IF(F104="","",IF(64*F104=0,"",64*F104))</f>
        <v/>
      </c>
      <c r="H104" s="19" t="str">
        <f>IF(Dati!E104="","",Dati!E104)</f>
        <v/>
      </c>
      <c r="I104" s="19" t="str">
        <f>IFERROR(IF(OR(C104="",C104=0),"",H104/C104*100),"")</f>
        <v/>
      </c>
      <c r="J104" s="20" t="str">
        <f>IF(Dati!F104="","",Dati!F104)</f>
        <v/>
      </c>
      <c r="K104" s="19" t="str">
        <f>IF(OR(H104="",J104=""),"",IF(H104*J104=0,"",H104*J104))</f>
        <v/>
      </c>
      <c r="L104" s="19" t="str">
        <f>IF(A104="","",IFERROR(IF(SUMPRODUCT((ISNUMBER(A$2:A104))*(A$2:A104&gt;1000)*(MONTH(IF(ISNUMBER(A$2:A104),A$2:A104,1))=MONTH(A104))*(YEAR(IF(ISNUMBER(A$2:A104),A$2:A104,1))=YEAR(A104))*IF(ISNUMBER(K$2:K104),K$2:K104,0))=0,"",SUMPRODUCT((ISNUMBER(A$2:A104))*(A$2:A104&gt;1000)*(MONTH(IF(ISNUMBER(A$2:A104),A$2:A104,1))=MONTH(A104))*(YEAR(IF(ISNUMBER(A$2:A104),A$2:A104,1))=YEAR(A104))*IF(ISNUMBER(K$2:K104),K$2:K104,0))),""))</f>
        <v/>
      </c>
      <c r="M104" s="21" t="str">
        <f>IF(A104="","",IFERROR(IF(SUMIF(N$2:N104,"CASA",K$2:K104)=0,"",SUMIF(N$2:N104,"CASA",K$2:K104)),""))</f>
        <v/>
      </c>
      <c r="N104" s="17" t="str">
        <f>IF(J104="","",IF(J104=0.2,"CASA",IF(Dati!G104="","",Dati!G104)))</f>
        <v/>
      </c>
    </row>
    <row r="105" spans="1:14" ht="15" customHeight="1" x14ac:dyDescent="0.2">
      <c r="A105" s="23" t="str">
        <f>IF(Dati!A105="","",Dati!A105)</f>
        <v/>
      </c>
      <c r="B105" s="17" t="str">
        <f>IF(Dati!B105="","",Dati!B105)</f>
        <v/>
      </c>
      <c r="C105" s="17" t="str">
        <f>IF(B105="","",IF(ISNUMBER(B104),IF(B105-B104&lt;0,B105,IF(B105-B104=0,"",B105-B104)),B105))</f>
        <v/>
      </c>
      <c r="D105" s="18" t="str">
        <f>IF(Dati!C105="","",IF(Dati!C105&gt;1,Dati!C105/100,Dati!C105))</f>
        <v/>
      </c>
      <c r="E105" s="18" t="str">
        <f>IF(Dati!D105="","",IF(Dati!D105&gt;1,Dati!D105/100,Dati!D105))</f>
        <v/>
      </c>
      <c r="F105" s="18" t="str">
        <f>IF(OR(D105="",E105=""),"",IF(OR(D105&gt;1,E105&gt;1),(E105-D105)/100,E105-D105))</f>
        <v/>
      </c>
      <c r="G105" s="17" t="str">
        <f>IF(F105="","",IF(64*F105=0,"",64*F105))</f>
        <v/>
      </c>
      <c r="H105" s="19" t="str">
        <f>IF(Dati!E105="","",Dati!E105)</f>
        <v/>
      </c>
      <c r="I105" s="19" t="str">
        <f>IFERROR(IF(OR(C105="",C105=0),"",H105/C105*100),"")</f>
        <v/>
      </c>
      <c r="J105" s="20" t="str">
        <f>IF(Dati!F105="","",Dati!F105)</f>
        <v/>
      </c>
      <c r="K105" s="19" t="str">
        <f>IF(OR(H105="",J105=""),"",IF(H105*J105=0,"",H105*J105))</f>
        <v/>
      </c>
      <c r="L105" s="19" t="str">
        <f>IF(A105="","",IFERROR(IF(SUMPRODUCT((ISNUMBER(A$2:A105))*(A$2:A105&gt;1000)*(MONTH(IF(ISNUMBER(A$2:A105),A$2:A105,1))=MONTH(A105))*(YEAR(IF(ISNUMBER(A$2:A105),A$2:A105,1))=YEAR(A105))*IF(ISNUMBER(K$2:K105),K$2:K105,0))=0,"",SUMPRODUCT((ISNUMBER(A$2:A105))*(A$2:A105&gt;1000)*(MONTH(IF(ISNUMBER(A$2:A105),A$2:A105,1))=MONTH(A105))*(YEAR(IF(ISNUMBER(A$2:A105),A$2:A105,1))=YEAR(A105))*IF(ISNUMBER(K$2:K105),K$2:K105,0))),""))</f>
        <v/>
      </c>
      <c r="M105" s="21" t="str">
        <f>IF(A105="","",IFERROR(IF(SUMIF(N$2:N105,"CASA",K$2:K105)=0,"",SUMIF(N$2:N105,"CASA",K$2:K105)),""))</f>
        <v/>
      </c>
      <c r="N105" s="17" t="str">
        <f>IF(J105="","",IF(J105=0.2,"CASA",IF(Dati!G105="","",Dati!G105)))</f>
        <v/>
      </c>
    </row>
    <row r="106" spans="1:14" ht="15" customHeight="1" x14ac:dyDescent="0.2">
      <c r="A106" s="23" t="str">
        <f>IF(Dati!A106="","",Dati!A106)</f>
        <v/>
      </c>
      <c r="B106" s="17" t="str">
        <f>IF(Dati!B106="","",Dati!B106)</f>
        <v/>
      </c>
      <c r="C106" s="17" t="str">
        <f>IF(B106="","",IF(ISNUMBER(B105),IF(B106-B105&lt;0,B106,IF(B106-B105=0,"",B106-B105)),B106))</f>
        <v/>
      </c>
      <c r="D106" s="18" t="str">
        <f>IF(Dati!C106="","",IF(Dati!C106&gt;1,Dati!C106/100,Dati!C106))</f>
        <v/>
      </c>
      <c r="E106" s="18" t="str">
        <f>IF(Dati!D106="","",IF(Dati!D106&gt;1,Dati!D106/100,Dati!D106))</f>
        <v/>
      </c>
      <c r="F106" s="18" t="str">
        <f>IF(OR(D106="",E106=""),"",IF(OR(D106&gt;1,E106&gt;1),(E106-D106)/100,E106-D106))</f>
        <v/>
      </c>
      <c r="G106" s="17" t="str">
        <f>IF(F106="","",IF(64*F106=0,"",64*F106))</f>
        <v/>
      </c>
      <c r="H106" s="19" t="str">
        <f>IF(Dati!E106="","",Dati!E106)</f>
        <v/>
      </c>
      <c r="I106" s="19" t="str">
        <f>IFERROR(IF(OR(C106="",C106=0),"",H106/C106*100),"")</f>
        <v/>
      </c>
      <c r="J106" s="20" t="str">
        <f>IF(Dati!F106="","",Dati!F106)</f>
        <v/>
      </c>
      <c r="K106" s="19" t="str">
        <f>IF(OR(H106="",J106=""),"",IF(H106*J106=0,"",H106*J106))</f>
        <v/>
      </c>
      <c r="L106" s="19" t="str">
        <f>IF(A106="","",IFERROR(IF(SUMPRODUCT((ISNUMBER(A$2:A106))*(A$2:A106&gt;1000)*(MONTH(IF(ISNUMBER(A$2:A106),A$2:A106,1))=MONTH(A106))*(YEAR(IF(ISNUMBER(A$2:A106),A$2:A106,1))=YEAR(A106))*IF(ISNUMBER(K$2:K106),K$2:K106,0))=0,"",SUMPRODUCT((ISNUMBER(A$2:A106))*(A$2:A106&gt;1000)*(MONTH(IF(ISNUMBER(A$2:A106),A$2:A106,1))=MONTH(A106))*(YEAR(IF(ISNUMBER(A$2:A106),A$2:A106,1))=YEAR(A106))*IF(ISNUMBER(K$2:K106),K$2:K106,0))),""))</f>
        <v/>
      </c>
      <c r="M106" s="21" t="str">
        <f>IF(A106="","",IFERROR(IF(SUMIF(N$2:N106,"CASA",K$2:K106)=0,"",SUMIF(N$2:N106,"CASA",K$2:K106)),""))</f>
        <v/>
      </c>
      <c r="N106" s="17" t="str">
        <f>IF(J106="","",IF(J106=0.2,"CASA",IF(Dati!G106="","",Dati!G106)))</f>
        <v/>
      </c>
    </row>
    <row r="107" spans="1:14" ht="15" customHeight="1" x14ac:dyDescent="0.2">
      <c r="A107" s="23" t="str">
        <f>IF(Dati!A107="","",Dati!A107)</f>
        <v/>
      </c>
      <c r="B107" s="17" t="str">
        <f>IF(Dati!B107="","",Dati!B107)</f>
        <v/>
      </c>
      <c r="C107" s="17" t="str">
        <f>IF(B107="","",IF(ISNUMBER(B106),IF(B107-B106&lt;0,B107,IF(B107-B106=0,"",B107-B106)),B107))</f>
        <v/>
      </c>
      <c r="D107" s="18" t="str">
        <f>IF(Dati!C107="","",IF(Dati!C107&gt;1,Dati!C107/100,Dati!C107))</f>
        <v/>
      </c>
      <c r="E107" s="18" t="str">
        <f>IF(Dati!D107="","",IF(Dati!D107&gt;1,Dati!D107/100,Dati!D107))</f>
        <v/>
      </c>
      <c r="F107" s="18" t="str">
        <f>IF(OR(D107="",E107=""),"",IF(OR(D107&gt;1,E107&gt;1),(E107-D107)/100,E107-D107))</f>
        <v/>
      </c>
      <c r="G107" s="17" t="str">
        <f>IF(F107="","",IF(64*F107=0,"",64*F107))</f>
        <v/>
      </c>
      <c r="H107" s="19" t="str">
        <f>IF(Dati!E107="","",Dati!E107)</f>
        <v/>
      </c>
      <c r="I107" s="19" t="str">
        <f>IFERROR(IF(OR(C107="",C107=0),"",H107/C107*100),"")</f>
        <v/>
      </c>
      <c r="J107" s="20" t="str">
        <f>IF(Dati!F107="","",Dati!F107)</f>
        <v/>
      </c>
      <c r="K107" s="19" t="str">
        <f>IF(OR(H107="",J107=""),"",IF(H107*J107=0,"",H107*J107))</f>
        <v/>
      </c>
      <c r="L107" s="19" t="str">
        <f>IF(A107="","",IFERROR(IF(SUMPRODUCT((ISNUMBER(A$2:A107))*(A$2:A107&gt;1000)*(MONTH(IF(ISNUMBER(A$2:A107),A$2:A107,1))=MONTH(A107))*(YEAR(IF(ISNUMBER(A$2:A107),A$2:A107,1))=YEAR(A107))*IF(ISNUMBER(K$2:K107),K$2:K107,0))=0,"",SUMPRODUCT((ISNUMBER(A$2:A107))*(A$2:A107&gt;1000)*(MONTH(IF(ISNUMBER(A$2:A107),A$2:A107,1))=MONTH(A107))*(YEAR(IF(ISNUMBER(A$2:A107),A$2:A107,1))=YEAR(A107))*IF(ISNUMBER(K$2:K107),K$2:K107,0))),""))</f>
        <v/>
      </c>
      <c r="M107" s="21" t="str">
        <f>IF(A107="","",IFERROR(IF(SUMIF(N$2:N107,"CASA",K$2:K107)=0,"",SUMIF(N$2:N107,"CASA",K$2:K107)),""))</f>
        <v/>
      </c>
      <c r="N107" s="17" t="str">
        <f>IF(J107="","",IF(J107=0.2,"CASA",IF(Dati!G107="","",Dati!G107)))</f>
        <v/>
      </c>
    </row>
    <row r="108" spans="1:14" ht="15" customHeight="1" x14ac:dyDescent="0.2">
      <c r="A108" s="23" t="str">
        <f>IF(Dati!A108="","",Dati!A108)</f>
        <v/>
      </c>
      <c r="B108" s="17" t="str">
        <f>IF(Dati!B108="","",Dati!B108)</f>
        <v/>
      </c>
      <c r="C108" s="17" t="str">
        <f>IF(B108="","",IF(ISNUMBER(B107),IF(B108-B107&lt;0,B108,IF(B108-B107=0,"",B108-B107)),B108))</f>
        <v/>
      </c>
      <c r="D108" s="18" t="str">
        <f>IF(Dati!C108="","",IF(Dati!C108&gt;1,Dati!C108/100,Dati!C108))</f>
        <v/>
      </c>
      <c r="E108" s="18" t="str">
        <f>IF(Dati!D108="","",IF(Dati!D108&gt;1,Dati!D108/100,Dati!D108))</f>
        <v/>
      </c>
      <c r="F108" s="18" t="str">
        <f>IF(OR(D108="",E108=""),"",IF(OR(D108&gt;1,E108&gt;1),(E108-D108)/100,E108-D108))</f>
        <v/>
      </c>
      <c r="G108" s="17" t="str">
        <f>IF(F108="","",IF(64*F108=0,"",64*F108))</f>
        <v/>
      </c>
      <c r="H108" s="19" t="str">
        <f>IF(Dati!E108="","",Dati!E108)</f>
        <v/>
      </c>
      <c r="I108" s="19" t="str">
        <f>IFERROR(IF(OR(C108="",C108=0),"",H108/C108*100),"")</f>
        <v/>
      </c>
      <c r="J108" s="20" t="str">
        <f>IF(Dati!F108="","",Dati!F108)</f>
        <v/>
      </c>
      <c r="K108" s="19" t="str">
        <f>IF(OR(H108="",J108=""),"",IF(H108*J108=0,"",H108*J108))</f>
        <v/>
      </c>
      <c r="L108" s="19" t="str">
        <f>IF(A108="","",IFERROR(IF(SUMPRODUCT((ISNUMBER(A$2:A108))*(A$2:A108&gt;1000)*(MONTH(IF(ISNUMBER(A$2:A108),A$2:A108,1))=MONTH(A108))*(YEAR(IF(ISNUMBER(A$2:A108),A$2:A108,1))=YEAR(A108))*IF(ISNUMBER(K$2:K108),K$2:K108,0))=0,"",SUMPRODUCT((ISNUMBER(A$2:A108))*(A$2:A108&gt;1000)*(MONTH(IF(ISNUMBER(A$2:A108),A$2:A108,1))=MONTH(A108))*(YEAR(IF(ISNUMBER(A$2:A108),A$2:A108,1))=YEAR(A108))*IF(ISNUMBER(K$2:K108),K$2:K108,0))),""))</f>
        <v/>
      </c>
      <c r="M108" s="21" t="str">
        <f>IF(A108="","",IFERROR(IF(SUMIF(N$2:N108,"CASA",K$2:K108)=0,"",SUMIF(N$2:N108,"CASA",K$2:K108)),""))</f>
        <v/>
      </c>
      <c r="N108" s="17" t="str">
        <f>IF(J108="","",IF(J108=0.2,"CASA",IF(Dati!G108="","",Dati!G108)))</f>
        <v/>
      </c>
    </row>
    <row r="109" spans="1:14" ht="15" customHeight="1" x14ac:dyDescent="0.2">
      <c r="A109" s="23" t="str">
        <f>IF(Dati!A109="","",Dati!A109)</f>
        <v/>
      </c>
      <c r="B109" s="17" t="str">
        <f>IF(Dati!B109="","",Dati!B109)</f>
        <v/>
      </c>
      <c r="C109" s="17" t="str">
        <f>IF(B109="","",IF(ISNUMBER(B108),IF(B109-B108&lt;0,B109,IF(B109-B108=0,"",B109-B108)),B109))</f>
        <v/>
      </c>
      <c r="D109" s="18" t="str">
        <f>IF(Dati!C109="","",IF(Dati!C109&gt;1,Dati!C109/100,Dati!C109))</f>
        <v/>
      </c>
      <c r="E109" s="18" t="str">
        <f>IF(Dati!D109="","",IF(Dati!D109&gt;1,Dati!D109/100,Dati!D109))</f>
        <v/>
      </c>
      <c r="F109" s="18" t="str">
        <f>IF(OR(D109="",E109=""),"",IF(OR(D109&gt;1,E109&gt;1),(E109-D109)/100,E109-D109))</f>
        <v/>
      </c>
      <c r="G109" s="17" t="str">
        <f>IF(F109="","",IF(64*F109=0,"",64*F109))</f>
        <v/>
      </c>
      <c r="H109" s="19" t="str">
        <f>IF(Dati!E109="","",Dati!E109)</f>
        <v/>
      </c>
      <c r="I109" s="19" t="str">
        <f>IFERROR(IF(OR(C109="",C109=0),"",H109/C109*100),"")</f>
        <v/>
      </c>
      <c r="J109" s="20" t="str">
        <f>IF(Dati!F109="","",Dati!F109)</f>
        <v/>
      </c>
      <c r="K109" s="19" t="str">
        <f>IF(OR(H109="",J109=""),"",IF(H109*J109=0,"",H109*J109))</f>
        <v/>
      </c>
      <c r="L109" s="19" t="str">
        <f>IF(A109="","",IFERROR(IF(SUMPRODUCT((ISNUMBER(A$2:A109))*(A$2:A109&gt;1000)*(MONTH(IF(ISNUMBER(A$2:A109),A$2:A109,1))=MONTH(A109))*(YEAR(IF(ISNUMBER(A$2:A109),A$2:A109,1))=YEAR(A109))*IF(ISNUMBER(K$2:K109),K$2:K109,0))=0,"",SUMPRODUCT((ISNUMBER(A$2:A109))*(A$2:A109&gt;1000)*(MONTH(IF(ISNUMBER(A$2:A109),A$2:A109,1))=MONTH(A109))*(YEAR(IF(ISNUMBER(A$2:A109),A$2:A109,1))=YEAR(A109))*IF(ISNUMBER(K$2:K109),K$2:K109,0))),""))</f>
        <v/>
      </c>
      <c r="M109" s="21" t="str">
        <f>IF(A109="","",IFERROR(IF(SUMIF(N$2:N109,"CASA",K$2:K109)=0,"",SUMIF(N$2:N109,"CASA",K$2:K109)),""))</f>
        <v/>
      </c>
      <c r="N109" s="17" t="str">
        <f>IF(J109="","",IF(J109=0.2,"CASA",IF(Dati!G109="","",Dati!G109)))</f>
        <v/>
      </c>
    </row>
    <row r="110" spans="1:14" ht="15" customHeight="1" x14ac:dyDescent="0.2">
      <c r="A110" s="23" t="str">
        <f>IF(Dati!A110="","",Dati!A110)</f>
        <v/>
      </c>
      <c r="B110" s="17" t="str">
        <f>IF(Dati!B110="","",Dati!B110)</f>
        <v/>
      </c>
      <c r="C110" s="17" t="str">
        <f>IF(B110="","",IF(ISNUMBER(B109),IF(B110-B109&lt;0,B110,IF(B110-B109=0,"",B110-B109)),B110))</f>
        <v/>
      </c>
      <c r="D110" s="18" t="str">
        <f>IF(Dati!C110="","",IF(Dati!C110&gt;1,Dati!C110/100,Dati!C110))</f>
        <v/>
      </c>
      <c r="E110" s="18" t="str">
        <f>IF(Dati!D110="","",IF(Dati!D110&gt;1,Dati!D110/100,Dati!D110))</f>
        <v/>
      </c>
      <c r="F110" s="18" t="str">
        <f>IF(OR(D110="",E110=""),"",IF(OR(D110&gt;1,E110&gt;1),(E110-D110)/100,E110-D110))</f>
        <v/>
      </c>
      <c r="G110" s="17" t="str">
        <f>IF(F110="","",IF(64*F110=0,"",64*F110))</f>
        <v/>
      </c>
      <c r="H110" s="19" t="str">
        <f>IF(Dati!E110="","",Dati!E110)</f>
        <v/>
      </c>
      <c r="I110" s="19" t="str">
        <f>IFERROR(IF(OR(C110="",C110=0),"",H110/C110*100),"")</f>
        <v/>
      </c>
      <c r="J110" s="20" t="str">
        <f>IF(Dati!F110="","",Dati!F110)</f>
        <v/>
      </c>
      <c r="K110" s="19" t="str">
        <f>IF(OR(H110="",J110=""),"",IF(H110*J110=0,"",H110*J110))</f>
        <v/>
      </c>
      <c r="L110" s="19" t="str">
        <f>IF(A110="","",IFERROR(IF(SUMPRODUCT((ISNUMBER(A$2:A110))*(A$2:A110&gt;1000)*(MONTH(IF(ISNUMBER(A$2:A110),A$2:A110,1))=MONTH(A110))*(YEAR(IF(ISNUMBER(A$2:A110),A$2:A110,1))=YEAR(A110))*IF(ISNUMBER(K$2:K110),K$2:K110,0))=0,"",SUMPRODUCT((ISNUMBER(A$2:A110))*(A$2:A110&gt;1000)*(MONTH(IF(ISNUMBER(A$2:A110),A$2:A110,1))=MONTH(A110))*(YEAR(IF(ISNUMBER(A$2:A110),A$2:A110,1))=YEAR(A110))*IF(ISNUMBER(K$2:K110),K$2:K110,0))),""))</f>
        <v/>
      </c>
      <c r="M110" s="21" t="str">
        <f>IF(A110="","",IFERROR(IF(SUMIF(N$2:N110,"CASA",K$2:K110)=0,"",SUMIF(N$2:N110,"CASA",K$2:K110)),""))</f>
        <v/>
      </c>
      <c r="N110" s="17" t="str">
        <f>IF(J110="","",IF(J110=0.2,"CASA",IF(Dati!G110="","",Dati!G110)))</f>
        <v/>
      </c>
    </row>
    <row r="111" spans="1:14" ht="15" customHeight="1" x14ac:dyDescent="0.2">
      <c r="A111" s="23" t="str">
        <f>IF(Dati!A111="","",Dati!A111)</f>
        <v/>
      </c>
      <c r="B111" s="17" t="str">
        <f>IF(Dati!B111="","",Dati!B111)</f>
        <v/>
      </c>
      <c r="C111" s="17" t="str">
        <f>IF(B111="","",IF(ISNUMBER(B110),IF(B111-B110&lt;0,B111,IF(B111-B110=0,"",B111-B110)),B111))</f>
        <v/>
      </c>
      <c r="D111" s="18" t="str">
        <f>IF(Dati!C111="","",IF(Dati!C111&gt;1,Dati!C111/100,Dati!C111))</f>
        <v/>
      </c>
      <c r="E111" s="18" t="str">
        <f>IF(Dati!D111="","",IF(Dati!D111&gt;1,Dati!D111/100,Dati!D111))</f>
        <v/>
      </c>
      <c r="F111" s="18" t="str">
        <f>IF(OR(D111="",E111=""),"",IF(OR(D111&gt;1,E111&gt;1),(E111-D111)/100,E111-D111))</f>
        <v/>
      </c>
      <c r="G111" s="17" t="str">
        <f>IF(F111="","",IF(64*F111=0,"",64*F111))</f>
        <v/>
      </c>
      <c r="H111" s="19" t="str">
        <f>IF(Dati!E111="","",Dati!E111)</f>
        <v/>
      </c>
      <c r="I111" s="19" t="str">
        <f>IFERROR(IF(OR(C111="",C111=0),"",H111/C111*100),"")</f>
        <v/>
      </c>
      <c r="J111" s="20" t="str">
        <f>IF(Dati!F111="","",Dati!F111)</f>
        <v/>
      </c>
      <c r="K111" s="19" t="str">
        <f>IF(OR(H111="",J111=""),"",IF(H111*J111=0,"",H111*J111))</f>
        <v/>
      </c>
      <c r="L111" s="19" t="str">
        <f>IF(A111="","",IFERROR(IF(SUMPRODUCT((ISNUMBER(A$2:A111))*(A$2:A111&gt;1000)*(MONTH(IF(ISNUMBER(A$2:A111),A$2:A111,1))=MONTH(A111))*(YEAR(IF(ISNUMBER(A$2:A111),A$2:A111,1))=YEAR(A111))*IF(ISNUMBER(K$2:K111),K$2:K111,0))=0,"",SUMPRODUCT((ISNUMBER(A$2:A111))*(A$2:A111&gt;1000)*(MONTH(IF(ISNUMBER(A$2:A111),A$2:A111,1))=MONTH(A111))*(YEAR(IF(ISNUMBER(A$2:A111),A$2:A111,1))=YEAR(A111))*IF(ISNUMBER(K$2:K111),K$2:K111,0))),""))</f>
        <v/>
      </c>
      <c r="M111" s="21" t="str">
        <f>IF(A111="","",IFERROR(IF(SUMIF(N$2:N111,"CASA",K$2:K111)=0,"",SUMIF(N$2:N111,"CASA",K$2:K111)),""))</f>
        <v/>
      </c>
      <c r="N111" s="17" t="str">
        <f>IF(J111="","",IF(J111=0.2,"CASA",IF(Dati!G111="","",Dati!G111)))</f>
        <v/>
      </c>
    </row>
    <row r="112" spans="1:14" ht="15" customHeight="1" x14ac:dyDescent="0.2">
      <c r="A112" s="23" t="str">
        <f>IF(Dati!A112="","",Dati!A112)</f>
        <v/>
      </c>
      <c r="B112" s="17" t="str">
        <f>IF(Dati!B112="","",Dati!B112)</f>
        <v/>
      </c>
      <c r="C112" s="17" t="str">
        <f>IF(B112="","",IF(ISNUMBER(B111),IF(B112-B111&lt;0,B112,IF(B112-B111=0,"",B112-B111)),B112))</f>
        <v/>
      </c>
      <c r="D112" s="18" t="str">
        <f>IF(Dati!C112="","",IF(Dati!C112&gt;1,Dati!C112/100,Dati!C112))</f>
        <v/>
      </c>
      <c r="E112" s="18" t="str">
        <f>IF(Dati!D112="","",IF(Dati!D112&gt;1,Dati!D112/100,Dati!D112))</f>
        <v/>
      </c>
      <c r="F112" s="18" t="str">
        <f>IF(OR(D112="",E112=""),"",IF(OR(D112&gt;1,E112&gt;1),(E112-D112)/100,E112-D112))</f>
        <v/>
      </c>
      <c r="G112" s="17" t="str">
        <f>IF(F112="","",IF(64*F112=0,"",64*F112))</f>
        <v/>
      </c>
      <c r="H112" s="19" t="str">
        <f>IF(Dati!E112="","",Dati!E112)</f>
        <v/>
      </c>
      <c r="I112" s="19" t="str">
        <f>IFERROR(IF(OR(C112="",C112=0),"",H112/C112*100),"")</f>
        <v/>
      </c>
      <c r="J112" s="20" t="str">
        <f>IF(Dati!F112="","",Dati!F112)</f>
        <v/>
      </c>
      <c r="K112" s="19" t="str">
        <f>IF(OR(H112="",J112=""),"",IF(H112*J112=0,"",H112*J112))</f>
        <v/>
      </c>
      <c r="L112" s="19" t="str">
        <f>IF(A112="","",IFERROR(IF(SUMPRODUCT((ISNUMBER(A$2:A112))*(A$2:A112&gt;1000)*(MONTH(IF(ISNUMBER(A$2:A112),A$2:A112,1))=MONTH(A112))*(YEAR(IF(ISNUMBER(A$2:A112),A$2:A112,1))=YEAR(A112))*IF(ISNUMBER(K$2:K112),K$2:K112,0))=0,"",SUMPRODUCT((ISNUMBER(A$2:A112))*(A$2:A112&gt;1000)*(MONTH(IF(ISNUMBER(A$2:A112),A$2:A112,1))=MONTH(A112))*(YEAR(IF(ISNUMBER(A$2:A112),A$2:A112,1))=YEAR(A112))*IF(ISNUMBER(K$2:K112),K$2:K112,0))),""))</f>
        <v/>
      </c>
      <c r="M112" s="21" t="str">
        <f>IF(A112="","",IFERROR(IF(SUMIF(N$2:N112,"CASA",K$2:K112)=0,"",SUMIF(N$2:N112,"CASA",K$2:K112)),""))</f>
        <v/>
      </c>
      <c r="N112" s="17" t="str">
        <f>IF(J112="","",IF(J112=0.2,"CASA",IF(Dati!G112="","",Dati!G112)))</f>
        <v/>
      </c>
    </row>
    <row r="113" spans="1:14" ht="15" customHeight="1" x14ac:dyDescent="0.2">
      <c r="A113" s="23" t="str">
        <f>IF(Dati!A113="","",Dati!A113)</f>
        <v/>
      </c>
      <c r="B113" s="17" t="str">
        <f>IF(Dati!B113="","",Dati!B113)</f>
        <v/>
      </c>
      <c r="C113" s="17" t="str">
        <f>IF(B113="","",IF(ISNUMBER(B112),IF(B113-B112&lt;0,B113,IF(B113-B112=0,"",B113-B112)),B113))</f>
        <v/>
      </c>
      <c r="D113" s="18" t="str">
        <f>IF(Dati!C113="","",IF(Dati!C113&gt;1,Dati!C113/100,Dati!C113))</f>
        <v/>
      </c>
      <c r="E113" s="18" t="str">
        <f>IF(Dati!D113="","",IF(Dati!D113&gt;1,Dati!D113/100,Dati!D113))</f>
        <v/>
      </c>
      <c r="F113" s="18" t="str">
        <f>IF(OR(D113="",E113=""),"",IF(OR(D113&gt;1,E113&gt;1),(E113-D113)/100,E113-D113))</f>
        <v/>
      </c>
      <c r="G113" s="17" t="str">
        <f>IF(F113="","",IF(64*F113=0,"",64*F113))</f>
        <v/>
      </c>
      <c r="H113" s="19" t="str">
        <f>IF(Dati!E113="","",Dati!E113)</f>
        <v/>
      </c>
      <c r="I113" s="19" t="str">
        <f>IFERROR(IF(OR(C113="",C113=0),"",H113/C113*100),"")</f>
        <v/>
      </c>
      <c r="J113" s="20" t="str">
        <f>IF(Dati!F113="","",Dati!F113)</f>
        <v/>
      </c>
      <c r="K113" s="19" t="str">
        <f>IF(OR(H113="",J113=""),"",IF(H113*J113=0,"",H113*J113))</f>
        <v/>
      </c>
      <c r="L113" s="19" t="str">
        <f>IF(A113="","",IFERROR(IF(SUMPRODUCT((ISNUMBER(A$2:A113))*(A$2:A113&gt;1000)*(MONTH(IF(ISNUMBER(A$2:A113),A$2:A113,1))=MONTH(A113))*(YEAR(IF(ISNUMBER(A$2:A113),A$2:A113,1))=YEAR(A113))*IF(ISNUMBER(K$2:K113),K$2:K113,0))=0,"",SUMPRODUCT((ISNUMBER(A$2:A113))*(A$2:A113&gt;1000)*(MONTH(IF(ISNUMBER(A$2:A113),A$2:A113,1))=MONTH(A113))*(YEAR(IF(ISNUMBER(A$2:A113),A$2:A113,1))=YEAR(A113))*IF(ISNUMBER(K$2:K113),K$2:K113,0))),""))</f>
        <v/>
      </c>
      <c r="M113" s="21" t="str">
        <f>IF(A113="","",IFERROR(IF(SUMIF(N$2:N113,"CASA",K$2:K113)=0,"",SUMIF(N$2:N113,"CASA",K$2:K113)),""))</f>
        <v/>
      </c>
      <c r="N113" s="17" t="str">
        <f>IF(J113="","",IF(J113=0.2,"CASA",IF(Dati!G113="","",Dati!G113)))</f>
        <v/>
      </c>
    </row>
    <row r="114" spans="1:14" ht="15" customHeight="1" x14ac:dyDescent="0.2">
      <c r="A114" s="23" t="str">
        <f>IF(Dati!A114="","",Dati!A114)</f>
        <v/>
      </c>
      <c r="B114" s="17" t="str">
        <f>IF(Dati!B114="","",Dati!B114)</f>
        <v/>
      </c>
      <c r="C114" s="17" t="str">
        <f>IF(B114="","",IF(ISNUMBER(B113),IF(B114-B113&lt;0,B114,IF(B114-B113=0,"",B114-B113)),B114))</f>
        <v/>
      </c>
      <c r="D114" s="18" t="str">
        <f>IF(Dati!C114="","",IF(Dati!C114&gt;1,Dati!C114/100,Dati!C114))</f>
        <v/>
      </c>
      <c r="E114" s="18" t="str">
        <f>IF(Dati!D114="","",IF(Dati!D114&gt;1,Dati!D114/100,Dati!D114))</f>
        <v/>
      </c>
      <c r="F114" s="18" t="str">
        <f>IF(OR(D114="",E114=""),"",IF(OR(D114&gt;1,E114&gt;1),(E114-D114)/100,E114-D114))</f>
        <v/>
      </c>
      <c r="G114" s="17" t="str">
        <f>IF(F114="","",IF(64*F114=0,"",64*F114))</f>
        <v/>
      </c>
      <c r="H114" s="19" t="str">
        <f>IF(Dati!E114="","",Dati!E114)</f>
        <v/>
      </c>
      <c r="I114" s="19" t="str">
        <f>IFERROR(IF(OR(C114="",C114=0),"",H114/C114*100),"")</f>
        <v/>
      </c>
      <c r="J114" s="20" t="str">
        <f>IF(Dati!F114="","",Dati!F114)</f>
        <v/>
      </c>
      <c r="K114" s="19" t="str">
        <f>IF(OR(H114="",J114=""),"",IF(H114*J114=0,"",H114*J114))</f>
        <v/>
      </c>
      <c r="L114" s="19" t="str">
        <f>IF(A114="","",IFERROR(IF(SUMPRODUCT((ISNUMBER(A$2:A114))*(A$2:A114&gt;1000)*(MONTH(IF(ISNUMBER(A$2:A114),A$2:A114,1))=MONTH(A114))*(YEAR(IF(ISNUMBER(A$2:A114),A$2:A114,1))=YEAR(A114))*IF(ISNUMBER(K$2:K114),K$2:K114,0))=0,"",SUMPRODUCT((ISNUMBER(A$2:A114))*(A$2:A114&gt;1000)*(MONTH(IF(ISNUMBER(A$2:A114),A$2:A114,1))=MONTH(A114))*(YEAR(IF(ISNUMBER(A$2:A114),A$2:A114,1))=YEAR(A114))*IF(ISNUMBER(K$2:K114),K$2:K114,0))),""))</f>
        <v/>
      </c>
      <c r="M114" s="21" t="str">
        <f>IF(A114="","",IFERROR(IF(SUMIF(N$2:N114,"CASA",K$2:K114)=0,"",SUMIF(N$2:N114,"CASA",K$2:K114)),""))</f>
        <v/>
      </c>
      <c r="N114" s="17" t="str">
        <f>IF(J114="","",IF(J114=0.2,"CASA",IF(Dati!G114="","",Dati!G114)))</f>
        <v/>
      </c>
    </row>
    <row r="115" spans="1:14" ht="15" customHeight="1" x14ac:dyDescent="0.2">
      <c r="A115" s="23" t="str">
        <f>IF(Dati!A115="","",Dati!A115)</f>
        <v/>
      </c>
      <c r="B115" s="17" t="str">
        <f>IF(Dati!B115="","",Dati!B115)</f>
        <v/>
      </c>
      <c r="C115" s="17" t="str">
        <f>IF(B115="","",IF(ISNUMBER(B114),IF(B115-B114&lt;0,B115,IF(B115-B114=0,"",B115-B114)),B115))</f>
        <v/>
      </c>
      <c r="D115" s="18" t="str">
        <f>IF(Dati!C115="","",IF(Dati!C115&gt;1,Dati!C115/100,Dati!C115))</f>
        <v/>
      </c>
      <c r="E115" s="18" t="str">
        <f>IF(Dati!D115="","",IF(Dati!D115&gt;1,Dati!D115/100,Dati!D115))</f>
        <v/>
      </c>
      <c r="F115" s="18" t="str">
        <f>IF(OR(D115="",E115=""),"",IF(OR(D115&gt;1,E115&gt;1),(E115-D115)/100,E115-D115))</f>
        <v/>
      </c>
      <c r="G115" s="17" t="str">
        <f>IF(F115="","",IF(64*F115=0,"",64*F115))</f>
        <v/>
      </c>
      <c r="H115" s="19" t="str">
        <f>IF(Dati!E115="","",Dati!E115)</f>
        <v/>
      </c>
      <c r="I115" s="19" t="str">
        <f>IFERROR(IF(OR(C115="",C115=0),"",H115/C115*100),"")</f>
        <v/>
      </c>
      <c r="J115" s="20" t="str">
        <f>IF(Dati!F115="","",Dati!F115)</f>
        <v/>
      </c>
      <c r="K115" s="19" t="str">
        <f>IF(OR(H115="",J115=""),"",IF(H115*J115=0,"",H115*J115))</f>
        <v/>
      </c>
      <c r="L115" s="19" t="str">
        <f>IF(A115="","",IFERROR(IF(SUMPRODUCT((ISNUMBER(A$2:A115))*(A$2:A115&gt;1000)*(MONTH(IF(ISNUMBER(A$2:A115),A$2:A115,1))=MONTH(A115))*(YEAR(IF(ISNUMBER(A$2:A115),A$2:A115,1))=YEAR(A115))*IF(ISNUMBER(K$2:K115),K$2:K115,0))=0,"",SUMPRODUCT((ISNUMBER(A$2:A115))*(A$2:A115&gt;1000)*(MONTH(IF(ISNUMBER(A$2:A115),A$2:A115,1))=MONTH(A115))*(YEAR(IF(ISNUMBER(A$2:A115),A$2:A115,1))=YEAR(A115))*IF(ISNUMBER(K$2:K115),K$2:K115,0))),""))</f>
        <v/>
      </c>
      <c r="M115" s="21" t="str">
        <f>IF(A115="","",IFERROR(IF(SUMIF(N$2:N115,"CASA",K$2:K115)=0,"",SUMIF(N$2:N115,"CASA",K$2:K115)),""))</f>
        <v/>
      </c>
      <c r="N115" s="17" t="str">
        <f>IF(J115="","",IF(J115=0.2,"CASA",IF(Dati!G115="","",Dati!G115)))</f>
        <v/>
      </c>
    </row>
    <row r="116" spans="1:14" ht="15" customHeight="1" x14ac:dyDescent="0.2">
      <c r="A116" s="23" t="str">
        <f>IF(Dati!A116="","",Dati!A116)</f>
        <v/>
      </c>
      <c r="B116" s="17" t="str">
        <f>IF(Dati!B116="","",Dati!B116)</f>
        <v/>
      </c>
      <c r="C116" s="17" t="str">
        <f>IF(B116="","",IF(ISNUMBER(B115),IF(B116-B115&lt;0,B116,IF(B116-B115=0,"",B116-B115)),B116))</f>
        <v/>
      </c>
      <c r="D116" s="18" t="str">
        <f>IF(Dati!C116="","",IF(Dati!C116&gt;1,Dati!C116/100,Dati!C116))</f>
        <v/>
      </c>
      <c r="E116" s="18" t="str">
        <f>IF(Dati!D116="","",IF(Dati!D116&gt;1,Dati!D116/100,Dati!D116))</f>
        <v/>
      </c>
      <c r="F116" s="18" t="str">
        <f>IF(OR(D116="",E116=""),"",IF(OR(D116&gt;1,E116&gt;1),(E116-D116)/100,E116-D116))</f>
        <v/>
      </c>
      <c r="G116" s="17" t="str">
        <f>IF(F116="","",IF(64*F116=0,"",64*F116))</f>
        <v/>
      </c>
      <c r="H116" s="19" t="str">
        <f>IF(Dati!E116="","",Dati!E116)</f>
        <v/>
      </c>
      <c r="I116" s="19" t="str">
        <f>IFERROR(IF(OR(C116="",C116=0),"",H116/C116*100),"")</f>
        <v/>
      </c>
      <c r="J116" s="20" t="str">
        <f>IF(Dati!F116="","",Dati!F116)</f>
        <v/>
      </c>
      <c r="K116" s="19" t="str">
        <f>IF(OR(H116="",J116=""),"",IF(H116*J116=0,"",H116*J116))</f>
        <v/>
      </c>
      <c r="L116" s="19" t="str">
        <f>IF(A116="","",IFERROR(IF(SUMPRODUCT((ISNUMBER(A$2:A116))*(A$2:A116&gt;1000)*(MONTH(IF(ISNUMBER(A$2:A116),A$2:A116,1))=MONTH(A116))*(YEAR(IF(ISNUMBER(A$2:A116),A$2:A116,1))=YEAR(A116))*IF(ISNUMBER(K$2:K116),K$2:K116,0))=0,"",SUMPRODUCT((ISNUMBER(A$2:A116))*(A$2:A116&gt;1000)*(MONTH(IF(ISNUMBER(A$2:A116),A$2:A116,1))=MONTH(A116))*(YEAR(IF(ISNUMBER(A$2:A116),A$2:A116,1))=YEAR(A116))*IF(ISNUMBER(K$2:K116),K$2:K116,0))),""))</f>
        <v/>
      </c>
      <c r="M116" s="21" t="str">
        <f>IF(A116="","",IFERROR(IF(SUMIF(N$2:N116,"CASA",K$2:K116)=0,"",SUMIF(N$2:N116,"CASA",K$2:K116)),""))</f>
        <v/>
      </c>
      <c r="N116" s="17" t="str">
        <f>IF(J116="","",IF(J116=0.2,"CASA",IF(Dati!G116="","",Dati!G116)))</f>
        <v/>
      </c>
    </row>
    <row r="117" spans="1:14" ht="15" customHeight="1" x14ac:dyDescent="0.2">
      <c r="A117" s="23" t="str">
        <f>IF(Dati!A117="","",Dati!A117)</f>
        <v/>
      </c>
      <c r="B117" s="17" t="str">
        <f>IF(Dati!B117="","",Dati!B117)</f>
        <v/>
      </c>
      <c r="C117" s="17" t="str">
        <f>IF(B117="","",IF(ISNUMBER(B116),IF(B117-B116&lt;0,B117,IF(B117-B116=0,"",B117-B116)),B117))</f>
        <v/>
      </c>
      <c r="D117" s="18" t="str">
        <f>IF(Dati!C117="","",IF(Dati!C117&gt;1,Dati!C117/100,Dati!C117))</f>
        <v/>
      </c>
      <c r="E117" s="18" t="str">
        <f>IF(Dati!D117="","",IF(Dati!D117&gt;1,Dati!D117/100,Dati!D117))</f>
        <v/>
      </c>
      <c r="F117" s="18" t="str">
        <f>IF(OR(D117="",E117=""),"",IF(OR(D117&gt;1,E117&gt;1),(E117-D117)/100,E117-D117))</f>
        <v/>
      </c>
      <c r="G117" s="17" t="str">
        <f>IF(F117="","",IF(64*F117=0,"",64*F117))</f>
        <v/>
      </c>
      <c r="H117" s="19" t="str">
        <f>IF(Dati!E117="","",Dati!E117)</f>
        <v/>
      </c>
      <c r="I117" s="19" t="str">
        <f>IFERROR(IF(OR(C117="",C117=0),"",H117/C117*100),"")</f>
        <v/>
      </c>
      <c r="J117" s="20" t="str">
        <f>IF(Dati!F117="","",Dati!F117)</f>
        <v/>
      </c>
      <c r="K117" s="19" t="str">
        <f>IF(OR(H117="",J117=""),"",IF(H117*J117=0,"",H117*J117))</f>
        <v/>
      </c>
      <c r="L117" s="19" t="str">
        <f>IF(A117="","",IFERROR(IF(SUMPRODUCT((ISNUMBER(A$2:A117))*(A$2:A117&gt;1000)*(MONTH(IF(ISNUMBER(A$2:A117),A$2:A117,1))=MONTH(A117))*(YEAR(IF(ISNUMBER(A$2:A117),A$2:A117,1))=YEAR(A117))*IF(ISNUMBER(K$2:K117),K$2:K117,0))=0,"",SUMPRODUCT((ISNUMBER(A$2:A117))*(A$2:A117&gt;1000)*(MONTH(IF(ISNUMBER(A$2:A117),A$2:A117,1))=MONTH(A117))*(YEAR(IF(ISNUMBER(A$2:A117),A$2:A117,1))=YEAR(A117))*IF(ISNUMBER(K$2:K117),K$2:K117,0))),""))</f>
        <v/>
      </c>
      <c r="M117" s="21" t="str">
        <f>IF(A117="","",IFERROR(IF(SUMIF(N$2:N117,"CASA",K$2:K117)=0,"",SUMIF(N$2:N117,"CASA",K$2:K117)),""))</f>
        <v/>
      </c>
      <c r="N117" s="17" t="str">
        <f>IF(J117="","",IF(J117=0.2,"CASA",IF(Dati!G117="","",Dati!G117)))</f>
        <v/>
      </c>
    </row>
    <row r="118" spans="1:14" ht="15" customHeight="1" x14ac:dyDescent="0.2">
      <c r="A118" s="23" t="str">
        <f>IF(Dati!A118="","",Dati!A118)</f>
        <v/>
      </c>
      <c r="B118" s="17" t="str">
        <f>IF(Dati!B118="","",Dati!B118)</f>
        <v/>
      </c>
      <c r="C118" s="17" t="str">
        <f>IF(B118="","",IF(ISNUMBER(B117),IF(B118-B117&lt;0,B118,IF(B118-B117=0,"",B118-B117)),B118))</f>
        <v/>
      </c>
      <c r="D118" s="18" t="str">
        <f>IF(Dati!C118="","",IF(Dati!C118&gt;1,Dati!C118/100,Dati!C118))</f>
        <v/>
      </c>
      <c r="E118" s="18" t="str">
        <f>IF(Dati!D118="","",IF(Dati!D118&gt;1,Dati!D118/100,Dati!D118))</f>
        <v/>
      </c>
      <c r="F118" s="18" t="str">
        <f>IF(OR(D118="",E118=""),"",IF(OR(D118&gt;1,E118&gt;1),(E118-D118)/100,E118-D118))</f>
        <v/>
      </c>
      <c r="G118" s="17" t="str">
        <f>IF(F118="","",IF(64*F118=0,"",64*F118))</f>
        <v/>
      </c>
      <c r="H118" s="19" t="str">
        <f>IF(Dati!E118="","",Dati!E118)</f>
        <v/>
      </c>
      <c r="I118" s="19" t="str">
        <f>IFERROR(IF(OR(C118="",C118=0),"",H118/C118*100),"")</f>
        <v/>
      </c>
      <c r="J118" s="20" t="str">
        <f>IF(Dati!F118="","",Dati!F118)</f>
        <v/>
      </c>
      <c r="K118" s="19" t="str">
        <f>IF(OR(H118="",J118=""),"",IF(H118*J118=0,"",H118*J118))</f>
        <v/>
      </c>
      <c r="L118" s="19" t="str">
        <f>IF(A118="","",IFERROR(IF(SUMPRODUCT((ISNUMBER(A$2:A118))*(A$2:A118&gt;1000)*(MONTH(IF(ISNUMBER(A$2:A118),A$2:A118,1))=MONTH(A118))*(YEAR(IF(ISNUMBER(A$2:A118),A$2:A118,1))=YEAR(A118))*IF(ISNUMBER(K$2:K118),K$2:K118,0))=0,"",SUMPRODUCT((ISNUMBER(A$2:A118))*(A$2:A118&gt;1000)*(MONTH(IF(ISNUMBER(A$2:A118),A$2:A118,1))=MONTH(A118))*(YEAR(IF(ISNUMBER(A$2:A118),A$2:A118,1))=YEAR(A118))*IF(ISNUMBER(K$2:K118),K$2:K118,0))),""))</f>
        <v/>
      </c>
      <c r="M118" s="21" t="str">
        <f>IF(A118="","",IFERROR(IF(SUMIF(N$2:N118,"CASA",K$2:K118)=0,"",SUMIF(N$2:N118,"CASA",K$2:K118)),""))</f>
        <v/>
      </c>
      <c r="N118" s="17" t="str">
        <f>IF(J118="","",IF(J118=0.2,"CASA",IF(Dati!G118="","",Dati!G118)))</f>
        <v/>
      </c>
    </row>
    <row r="119" spans="1:14" ht="15" customHeight="1" x14ac:dyDescent="0.2">
      <c r="A119" s="23" t="str">
        <f>IF(Dati!A119="","",Dati!A119)</f>
        <v/>
      </c>
      <c r="B119" s="17" t="str">
        <f>IF(Dati!B119="","",Dati!B119)</f>
        <v/>
      </c>
      <c r="C119" s="17" t="str">
        <f>IF(B119="","",IF(ISNUMBER(B118),IF(B119-B118&lt;0,B119,IF(B119-B118=0,"",B119-B118)),B119))</f>
        <v/>
      </c>
      <c r="D119" s="18" t="str">
        <f>IF(Dati!C119="","",IF(Dati!C119&gt;1,Dati!C119/100,Dati!C119))</f>
        <v/>
      </c>
      <c r="E119" s="18" t="str">
        <f>IF(Dati!D119="","",IF(Dati!D119&gt;1,Dati!D119/100,Dati!D119))</f>
        <v/>
      </c>
      <c r="F119" s="18" t="str">
        <f>IF(OR(D119="",E119=""),"",IF(OR(D119&gt;1,E119&gt;1),(E119-D119)/100,E119-D119))</f>
        <v/>
      </c>
      <c r="G119" s="17" t="str">
        <f>IF(F119="","",IF(64*F119=0,"",64*F119))</f>
        <v/>
      </c>
      <c r="H119" s="19" t="str">
        <f>IF(Dati!E119="","",Dati!E119)</f>
        <v/>
      </c>
      <c r="I119" s="19" t="str">
        <f>IFERROR(IF(OR(C119="",C119=0),"",H119/C119*100),"")</f>
        <v/>
      </c>
      <c r="J119" s="20" t="str">
        <f>IF(Dati!F119="","",Dati!F119)</f>
        <v/>
      </c>
      <c r="K119" s="19" t="str">
        <f>IF(OR(H119="",J119=""),"",IF(H119*J119=0,"",H119*J119))</f>
        <v/>
      </c>
      <c r="L119" s="19" t="str">
        <f>IF(A119="","",IFERROR(IF(SUMPRODUCT((ISNUMBER(A$2:A119))*(A$2:A119&gt;1000)*(MONTH(IF(ISNUMBER(A$2:A119),A$2:A119,1))=MONTH(A119))*(YEAR(IF(ISNUMBER(A$2:A119),A$2:A119,1))=YEAR(A119))*IF(ISNUMBER(K$2:K119),K$2:K119,0))=0,"",SUMPRODUCT((ISNUMBER(A$2:A119))*(A$2:A119&gt;1000)*(MONTH(IF(ISNUMBER(A$2:A119),A$2:A119,1))=MONTH(A119))*(YEAR(IF(ISNUMBER(A$2:A119),A$2:A119,1))=YEAR(A119))*IF(ISNUMBER(K$2:K119),K$2:K119,0))),""))</f>
        <v/>
      </c>
      <c r="M119" s="21" t="str">
        <f>IF(A119="","",IFERROR(IF(SUMIF(N$2:N119,"CASA",K$2:K119)=0,"",SUMIF(N$2:N119,"CASA",K$2:K119)),""))</f>
        <v/>
      </c>
      <c r="N119" s="17" t="str">
        <f>IF(J119="","",IF(J119=0.2,"CASA",IF(Dati!G119="","",Dati!G119)))</f>
        <v/>
      </c>
    </row>
    <row r="120" spans="1:14" ht="15" customHeight="1" x14ac:dyDescent="0.2">
      <c r="A120" s="23" t="str">
        <f>IF(Dati!A120="","",Dati!A120)</f>
        <v/>
      </c>
      <c r="B120" s="17" t="str">
        <f>IF(Dati!B120="","",Dati!B120)</f>
        <v/>
      </c>
      <c r="C120" s="17" t="str">
        <f>IF(B120="","",IF(ISNUMBER(B119),IF(B120-B119&lt;0,B120,IF(B120-B119=0,"",B120-B119)),B120))</f>
        <v/>
      </c>
      <c r="D120" s="18" t="str">
        <f>IF(Dati!C120="","",IF(Dati!C120&gt;1,Dati!C120/100,Dati!C120))</f>
        <v/>
      </c>
      <c r="E120" s="18" t="str">
        <f>IF(Dati!D120="","",IF(Dati!D120&gt;1,Dati!D120/100,Dati!D120))</f>
        <v/>
      </c>
      <c r="F120" s="18" t="str">
        <f>IF(OR(D120="",E120=""),"",IF(OR(D120&gt;1,E120&gt;1),(E120-D120)/100,E120-D120))</f>
        <v/>
      </c>
      <c r="G120" s="17" t="str">
        <f>IF(F120="","",IF(64*F120=0,"",64*F120))</f>
        <v/>
      </c>
      <c r="H120" s="19" t="str">
        <f>IF(Dati!E120="","",Dati!E120)</f>
        <v/>
      </c>
      <c r="I120" s="19" t="str">
        <f>IFERROR(IF(OR(C120="",C120=0),"",H120/C120*100),"")</f>
        <v/>
      </c>
      <c r="J120" s="20" t="str">
        <f>IF(Dati!F120="","",Dati!F120)</f>
        <v/>
      </c>
      <c r="K120" s="19" t="str">
        <f>IF(OR(H120="",J120=""),"",IF(H120*J120=0,"",H120*J120))</f>
        <v/>
      </c>
      <c r="L120" s="19" t="str">
        <f>IF(A120="","",IFERROR(IF(SUMPRODUCT((ISNUMBER(A$2:A120))*(A$2:A120&gt;1000)*(MONTH(IF(ISNUMBER(A$2:A120),A$2:A120,1))=MONTH(A120))*(YEAR(IF(ISNUMBER(A$2:A120),A$2:A120,1))=YEAR(A120))*IF(ISNUMBER(K$2:K120),K$2:K120,0))=0,"",SUMPRODUCT((ISNUMBER(A$2:A120))*(A$2:A120&gt;1000)*(MONTH(IF(ISNUMBER(A$2:A120),A$2:A120,1))=MONTH(A120))*(YEAR(IF(ISNUMBER(A$2:A120),A$2:A120,1))=YEAR(A120))*IF(ISNUMBER(K$2:K120),K$2:K120,0))),""))</f>
        <v/>
      </c>
      <c r="M120" s="21" t="str">
        <f>IF(A120="","",IFERROR(IF(SUMIF(N$2:N120,"CASA",K$2:K120)=0,"",SUMIF(N$2:N120,"CASA",K$2:K120)),""))</f>
        <v/>
      </c>
      <c r="N120" s="17" t="str">
        <f>IF(J120="","",IF(J120=0.2,"CASA",IF(Dati!G120="","",Dati!G120)))</f>
        <v/>
      </c>
    </row>
    <row r="121" spans="1:14" ht="15" customHeight="1" x14ac:dyDescent="0.2">
      <c r="A121" s="23" t="str">
        <f>IF(Dati!A121="","",Dati!A121)</f>
        <v/>
      </c>
      <c r="B121" s="17" t="str">
        <f>IF(Dati!B121="","",Dati!B121)</f>
        <v/>
      </c>
      <c r="C121" s="17" t="str">
        <f>IF(B121="","",IF(ISNUMBER(B120),IF(B121-B120&lt;0,B121,IF(B121-B120=0,"",B121-B120)),B121))</f>
        <v/>
      </c>
      <c r="D121" s="18" t="str">
        <f>IF(Dati!C121="","",IF(Dati!C121&gt;1,Dati!C121/100,Dati!C121))</f>
        <v/>
      </c>
      <c r="E121" s="18" t="str">
        <f>IF(Dati!D121="","",IF(Dati!D121&gt;1,Dati!D121/100,Dati!D121))</f>
        <v/>
      </c>
      <c r="F121" s="18" t="str">
        <f>IF(OR(D121="",E121=""),"",IF(OR(D121&gt;1,E121&gt;1),(E121-D121)/100,E121-D121))</f>
        <v/>
      </c>
      <c r="G121" s="17" t="str">
        <f>IF(F121="","",IF(64*F121=0,"",64*F121))</f>
        <v/>
      </c>
      <c r="H121" s="19" t="str">
        <f>IF(Dati!E121="","",Dati!E121)</f>
        <v/>
      </c>
      <c r="I121" s="19" t="str">
        <f>IFERROR(IF(OR(C121="",C121=0),"",H121/C121*100),"")</f>
        <v/>
      </c>
      <c r="J121" s="20" t="str">
        <f>IF(Dati!F121="","",Dati!F121)</f>
        <v/>
      </c>
      <c r="K121" s="19" t="str">
        <f>IF(OR(H121="",J121=""),"",IF(H121*J121=0,"",H121*J121))</f>
        <v/>
      </c>
      <c r="L121" s="19" t="str">
        <f>IF(A121="","",IFERROR(IF(SUMPRODUCT((ISNUMBER(A$2:A121))*(A$2:A121&gt;1000)*(MONTH(IF(ISNUMBER(A$2:A121),A$2:A121,1))=MONTH(A121))*(YEAR(IF(ISNUMBER(A$2:A121),A$2:A121,1))=YEAR(A121))*IF(ISNUMBER(K$2:K121),K$2:K121,0))=0,"",SUMPRODUCT((ISNUMBER(A$2:A121))*(A$2:A121&gt;1000)*(MONTH(IF(ISNUMBER(A$2:A121),A$2:A121,1))=MONTH(A121))*(YEAR(IF(ISNUMBER(A$2:A121),A$2:A121,1))=YEAR(A121))*IF(ISNUMBER(K$2:K121),K$2:K121,0))),""))</f>
        <v/>
      </c>
      <c r="M121" s="21" t="str">
        <f>IF(A121="","",IFERROR(IF(SUMIF(N$2:N121,"CASA",K$2:K121)=0,"",SUMIF(N$2:N121,"CASA",K$2:K121)),""))</f>
        <v/>
      </c>
      <c r="N121" s="17" t="str">
        <f>IF(J121="","",IF(J121=0.2,"CASA",IF(Dati!G121="","",Dati!G121)))</f>
        <v/>
      </c>
    </row>
    <row r="122" spans="1:14" ht="15" customHeight="1" x14ac:dyDescent="0.2">
      <c r="A122" s="23" t="str">
        <f>IF(Dati!A122="","",Dati!A122)</f>
        <v/>
      </c>
      <c r="B122" s="17" t="str">
        <f>IF(Dati!B122="","",Dati!B122)</f>
        <v/>
      </c>
      <c r="C122" s="17" t="str">
        <f>IF(B122="","",IF(ISNUMBER(B121),IF(B122-B121&lt;0,B122,IF(B122-B121=0,"",B122-B121)),B122))</f>
        <v/>
      </c>
      <c r="D122" s="18" t="str">
        <f>IF(Dati!C122="","",IF(Dati!C122&gt;1,Dati!C122/100,Dati!C122))</f>
        <v/>
      </c>
      <c r="E122" s="18" t="str">
        <f>IF(Dati!D122="","",IF(Dati!D122&gt;1,Dati!D122/100,Dati!D122))</f>
        <v/>
      </c>
      <c r="F122" s="18" t="str">
        <f>IF(OR(D122="",E122=""),"",IF(OR(D122&gt;1,E122&gt;1),(E122-D122)/100,E122-D122))</f>
        <v/>
      </c>
      <c r="G122" s="17" t="str">
        <f>IF(F122="","",IF(64*F122=0,"",64*F122))</f>
        <v/>
      </c>
      <c r="H122" s="19" t="str">
        <f>IF(Dati!E122="","",Dati!E122)</f>
        <v/>
      </c>
      <c r="I122" s="19" t="str">
        <f>IFERROR(IF(OR(C122="",C122=0),"",H122/C122*100),"")</f>
        <v/>
      </c>
      <c r="J122" s="20" t="str">
        <f>IF(Dati!F122="","",Dati!F122)</f>
        <v/>
      </c>
      <c r="K122" s="19" t="str">
        <f>IF(OR(H122="",J122=""),"",IF(H122*J122=0,"",H122*J122))</f>
        <v/>
      </c>
      <c r="L122" s="19" t="str">
        <f>IF(A122="","",IFERROR(IF(SUMPRODUCT((ISNUMBER(A$2:A122))*(A$2:A122&gt;1000)*(MONTH(IF(ISNUMBER(A$2:A122),A$2:A122,1))=MONTH(A122))*(YEAR(IF(ISNUMBER(A$2:A122),A$2:A122,1))=YEAR(A122))*IF(ISNUMBER(K$2:K122),K$2:K122,0))=0,"",SUMPRODUCT((ISNUMBER(A$2:A122))*(A$2:A122&gt;1000)*(MONTH(IF(ISNUMBER(A$2:A122),A$2:A122,1))=MONTH(A122))*(YEAR(IF(ISNUMBER(A$2:A122),A$2:A122,1))=YEAR(A122))*IF(ISNUMBER(K$2:K122),K$2:K122,0))),""))</f>
        <v/>
      </c>
      <c r="M122" s="21" t="str">
        <f>IF(A122="","",IFERROR(IF(SUMIF(N$2:N122,"CASA",K$2:K122)=0,"",SUMIF(N$2:N122,"CASA",K$2:K122)),""))</f>
        <v/>
      </c>
      <c r="N122" s="17" t="str">
        <f>IF(J122="","",IF(J122=0.2,"CASA",IF(Dati!G122="","",Dati!G122)))</f>
        <v/>
      </c>
    </row>
    <row r="123" spans="1:14" ht="15" customHeight="1" x14ac:dyDescent="0.2">
      <c r="A123" s="23" t="str">
        <f>IF(Dati!A123="","",Dati!A123)</f>
        <v/>
      </c>
      <c r="B123" s="17" t="str">
        <f>IF(Dati!B123="","",Dati!B123)</f>
        <v/>
      </c>
      <c r="C123" s="17" t="str">
        <f>IF(B123="","",IF(ISNUMBER(B122),IF(B123-B122&lt;0,B123,IF(B123-B122=0,"",B123-B122)),B123))</f>
        <v/>
      </c>
      <c r="D123" s="18" t="str">
        <f>IF(Dati!C123="","",IF(Dati!C123&gt;1,Dati!C123/100,Dati!C123))</f>
        <v/>
      </c>
      <c r="E123" s="18" t="str">
        <f>IF(Dati!D123="","",IF(Dati!D123&gt;1,Dati!D123/100,Dati!D123))</f>
        <v/>
      </c>
      <c r="F123" s="18" t="str">
        <f>IF(OR(D123="",E123=""),"",IF(OR(D123&gt;1,E123&gt;1),(E123-D123)/100,E123-D123))</f>
        <v/>
      </c>
      <c r="G123" s="17" t="str">
        <f>IF(F123="","",IF(64*F123=0,"",64*F123))</f>
        <v/>
      </c>
      <c r="H123" s="19" t="str">
        <f>IF(Dati!E123="","",Dati!E123)</f>
        <v/>
      </c>
      <c r="I123" s="19" t="str">
        <f>IFERROR(IF(OR(C123="",C123=0),"",H123/C123*100),"")</f>
        <v/>
      </c>
      <c r="J123" s="20" t="str">
        <f>IF(Dati!F123="","",Dati!F123)</f>
        <v/>
      </c>
      <c r="K123" s="19" t="str">
        <f>IF(OR(H123="",J123=""),"",IF(H123*J123=0,"",H123*J123))</f>
        <v/>
      </c>
      <c r="L123" s="19" t="str">
        <f>IF(A123="","",IFERROR(IF(SUMPRODUCT((ISNUMBER(A$2:A123))*(A$2:A123&gt;1000)*(MONTH(IF(ISNUMBER(A$2:A123),A$2:A123,1))=MONTH(A123))*(YEAR(IF(ISNUMBER(A$2:A123),A$2:A123,1))=YEAR(A123))*IF(ISNUMBER(K$2:K123),K$2:K123,0))=0,"",SUMPRODUCT((ISNUMBER(A$2:A123))*(A$2:A123&gt;1000)*(MONTH(IF(ISNUMBER(A$2:A123),A$2:A123,1))=MONTH(A123))*(YEAR(IF(ISNUMBER(A$2:A123),A$2:A123,1))=YEAR(A123))*IF(ISNUMBER(K$2:K123),K$2:K123,0))),""))</f>
        <v/>
      </c>
      <c r="M123" s="21" t="str">
        <f>IF(A123="","",IFERROR(IF(SUMIF(N$2:N123,"CASA",K$2:K123)=0,"",SUMIF(N$2:N123,"CASA",K$2:K123)),""))</f>
        <v/>
      </c>
      <c r="N123" s="17" t="str">
        <f>IF(J123="","",IF(J123=0.2,"CASA",IF(Dati!G123="","",Dati!G123)))</f>
        <v/>
      </c>
    </row>
    <row r="124" spans="1:14" ht="15" customHeight="1" x14ac:dyDescent="0.2">
      <c r="A124" s="23" t="str">
        <f>IF(Dati!A124="","",Dati!A124)</f>
        <v/>
      </c>
      <c r="B124" s="17" t="str">
        <f>IF(Dati!B124="","",Dati!B124)</f>
        <v/>
      </c>
      <c r="C124" s="17" t="str">
        <f>IF(B124="","",IF(ISNUMBER(B123),IF(B124-B123&lt;0,B124,IF(B124-B123=0,"",B124-B123)),B124))</f>
        <v/>
      </c>
      <c r="D124" s="18" t="str">
        <f>IF(Dati!C124="","",IF(Dati!C124&gt;1,Dati!C124/100,Dati!C124))</f>
        <v/>
      </c>
      <c r="E124" s="18" t="str">
        <f>IF(Dati!D124="","",IF(Dati!D124&gt;1,Dati!D124/100,Dati!D124))</f>
        <v/>
      </c>
      <c r="F124" s="18" t="str">
        <f>IF(OR(D124="",E124=""),"",IF(OR(D124&gt;1,E124&gt;1),(E124-D124)/100,E124-D124))</f>
        <v/>
      </c>
      <c r="G124" s="17" t="str">
        <f>IF(F124="","",IF(64*F124=0,"",64*F124))</f>
        <v/>
      </c>
      <c r="H124" s="19" t="str">
        <f>IF(Dati!E124="","",Dati!E124)</f>
        <v/>
      </c>
      <c r="I124" s="19" t="str">
        <f>IFERROR(IF(OR(C124="",C124=0),"",H124/C124*100),"")</f>
        <v/>
      </c>
      <c r="J124" s="20" t="str">
        <f>IF(Dati!F124="","",Dati!F124)</f>
        <v/>
      </c>
      <c r="K124" s="19" t="str">
        <f>IF(OR(H124="",J124=""),"",IF(H124*J124=0,"",H124*J124))</f>
        <v/>
      </c>
      <c r="L124" s="19" t="str">
        <f>IF(A124="","",IFERROR(IF(SUMPRODUCT((ISNUMBER(A$2:A124))*(A$2:A124&gt;1000)*(MONTH(IF(ISNUMBER(A$2:A124),A$2:A124,1))=MONTH(A124))*(YEAR(IF(ISNUMBER(A$2:A124),A$2:A124,1))=YEAR(A124))*IF(ISNUMBER(K$2:K124),K$2:K124,0))=0,"",SUMPRODUCT((ISNUMBER(A$2:A124))*(A$2:A124&gt;1000)*(MONTH(IF(ISNUMBER(A$2:A124),A$2:A124,1))=MONTH(A124))*(YEAR(IF(ISNUMBER(A$2:A124),A$2:A124,1))=YEAR(A124))*IF(ISNUMBER(K$2:K124),K$2:K124,0))),""))</f>
        <v/>
      </c>
      <c r="M124" s="21" t="str">
        <f>IF(A124="","",IFERROR(IF(SUMIF(N$2:N124,"CASA",K$2:K124)=0,"",SUMIF(N$2:N124,"CASA",K$2:K124)),""))</f>
        <v/>
      </c>
      <c r="N124" s="17" t="str">
        <f>IF(J124="","",IF(J124=0.2,"CASA",IF(Dati!G124="","",Dati!G124)))</f>
        <v/>
      </c>
    </row>
    <row r="125" spans="1:14" ht="15" customHeight="1" x14ac:dyDescent="0.2">
      <c r="A125" s="23" t="str">
        <f>IF(Dati!A125="","",Dati!A125)</f>
        <v/>
      </c>
      <c r="B125" s="17" t="str">
        <f>IF(Dati!B125="","",Dati!B125)</f>
        <v/>
      </c>
      <c r="C125" s="17" t="str">
        <f>IF(B125="","",IF(ISNUMBER(B124),IF(B125-B124&lt;0,B125,IF(B125-B124=0,"",B125-B124)),B125))</f>
        <v/>
      </c>
      <c r="D125" s="18" t="str">
        <f>IF(Dati!C125="","",IF(Dati!C125&gt;1,Dati!C125/100,Dati!C125))</f>
        <v/>
      </c>
      <c r="E125" s="18" t="str">
        <f>IF(Dati!D125="","",IF(Dati!D125&gt;1,Dati!D125/100,Dati!D125))</f>
        <v/>
      </c>
      <c r="F125" s="18" t="str">
        <f>IF(OR(D125="",E125=""),"",IF(OR(D125&gt;1,E125&gt;1),(E125-D125)/100,E125-D125))</f>
        <v/>
      </c>
      <c r="G125" s="17" t="str">
        <f>IF(F125="","",IF(64*F125=0,"",64*F125))</f>
        <v/>
      </c>
      <c r="H125" s="19" t="str">
        <f>IF(Dati!E125="","",Dati!E125)</f>
        <v/>
      </c>
      <c r="I125" s="19" t="str">
        <f>IFERROR(IF(OR(C125="",C125=0),"",H125/C125*100),"")</f>
        <v/>
      </c>
      <c r="J125" s="20" t="str">
        <f>IF(Dati!F125="","",Dati!F125)</f>
        <v/>
      </c>
      <c r="K125" s="19" t="str">
        <f>IF(OR(H125="",J125=""),"",IF(H125*J125=0,"",H125*J125))</f>
        <v/>
      </c>
      <c r="L125" s="19" t="str">
        <f>IF(A125="","",IFERROR(IF(SUMPRODUCT((ISNUMBER(A$2:A125))*(A$2:A125&gt;1000)*(MONTH(IF(ISNUMBER(A$2:A125),A$2:A125,1))=MONTH(A125))*(YEAR(IF(ISNUMBER(A$2:A125),A$2:A125,1))=YEAR(A125))*IF(ISNUMBER(K$2:K125),K$2:K125,0))=0,"",SUMPRODUCT((ISNUMBER(A$2:A125))*(A$2:A125&gt;1000)*(MONTH(IF(ISNUMBER(A$2:A125),A$2:A125,1))=MONTH(A125))*(YEAR(IF(ISNUMBER(A$2:A125),A$2:A125,1))=YEAR(A125))*IF(ISNUMBER(K$2:K125),K$2:K125,0))),""))</f>
        <v/>
      </c>
      <c r="M125" s="21" t="str">
        <f>IF(A125="","",IFERROR(IF(SUMIF(N$2:N125,"CASA",K$2:K125)=0,"",SUMIF(N$2:N125,"CASA",K$2:K125)),""))</f>
        <v/>
      </c>
      <c r="N125" s="17" t="str">
        <f>IF(J125="","",IF(J125=0.2,"CASA",IF(Dati!G125="","",Dati!G125)))</f>
        <v/>
      </c>
    </row>
    <row r="126" spans="1:14" ht="15" customHeight="1" x14ac:dyDescent="0.2">
      <c r="A126" s="23" t="str">
        <f>IF(Dati!A126="","",Dati!A126)</f>
        <v/>
      </c>
      <c r="B126" s="17" t="str">
        <f>IF(Dati!B126="","",Dati!B126)</f>
        <v/>
      </c>
      <c r="C126" s="17" t="str">
        <f>IF(B126="","",IF(ISNUMBER(B125),IF(B126-B125&lt;0,B126,IF(B126-B125=0,"",B126-B125)),B126))</f>
        <v/>
      </c>
      <c r="D126" s="18" t="str">
        <f>IF(Dati!C126="","",IF(Dati!C126&gt;1,Dati!C126/100,Dati!C126))</f>
        <v/>
      </c>
      <c r="E126" s="18" t="str">
        <f>IF(Dati!D126="","",IF(Dati!D126&gt;1,Dati!D126/100,Dati!D126))</f>
        <v/>
      </c>
      <c r="F126" s="18" t="str">
        <f>IF(OR(D126="",E126=""),"",IF(OR(D126&gt;1,E126&gt;1),(E126-D126)/100,E126-D126))</f>
        <v/>
      </c>
      <c r="G126" s="17" t="str">
        <f>IF(F126="","",IF(64*F126=0,"",64*F126))</f>
        <v/>
      </c>
      <c r="H126" s="19" t="str">
        <f>IF(Dati!E126="","",Dati!E126)</f>
        <v/>
      </c>
      <c r="I126" s="19" t="str">
        <f>IFERROR(IF(OR(C126="",C126=0),"",H126/C126*100),"")</f>
        <v/>
      </c>
      <c r="J126" s="20" t="str">
        <f>IF(Dati!F126="","",Dati!F126)</f>
        <v/>
      </c>
      <c r="K126" s="19" t="str">
        <f>IF(OR(H126="",J126=""),"",IF(H126*J126=0,"",H126*J126))</f>
        <v/>
      </c>
      <c r="L126" s="19" t="str">
        <f>IF(A126="","",IFERROR(IF(SUMPRODUCT((ISNUMBER(A$2:A126))*(A$2:A126&gt;1000)*(MONTH(IF(ISNUMBER(A$2:A126),A$2:A126,1))=MONTH(A126))*(YEAR(IF(ISNUMBER(A$2:A126),A$2:A126,1))=YEAR(A126))*IF(ISNUMBER(K$2:K126),K$2:K126,0))=0,"",SUMPRODUCT((ISNUMBER(A$2:A126))*(A$2:A126&gt;1000)*(MONTH(IF(ISNUMBER(A$2:A126),A$2:A126,1))=MONTH(A126))*(YEAR(IF(ISNUMBER(A$2:A126),A$2:A126,1))=YEAR(A126))*IF(ISNUMBER(K$2:K126),K$2:K126,0))),""))</f>
        <v/>
      </c>
      <c r="M126" s="21" t="str">
        <f>IF(A126="","",IFERROR(IF(SUMIF(N$2:N126,"CASA",K$2:K126)=0,"",SUMIF(N$2:N126,"CASA",K$2:K126)),""))</f>
        <v/>
      </c>
      <c r="N126" s="17" t="str">
        <f>IF(J126="","",IF(J126=0.2,"CASA",IF(Dati!G126="","",Dati!G126)))</f>
        <v/>
      </c>
    </row>
    <row r="127" spans="1:14" ht="15" customHeight="1" x14ac:dyDescent="0.2">
      <c r="A127" s="23" t="str">
        <f>IF(Dati!A127="","",Dati!A127)</f>
        <v/>
      </c>
      <c r="B127" s="17" t="str">
        <f>IF(Dati!B127="","",Dati!B127)</f>
        <v/>
      </c>
      <c r="C127" s="17" t="str">
        <f>IF(B127="","",IF(ISNUMBER(B126),IF(B127-B126&lt;0,B127,IF(B127-B126=0,"",B127-B126)),B127))</f>
        <v/>
      </c>
      <c r="D127" s="18" t="str">
        <f>IF(Dati!C127="","",IF(Dati!C127&gt;1,Dati!C127/100,Dati!C127))</f>
        <v/>
      </c>
      <c r="E127" s="18" t="str">
        <f>IF(Dati!D127="","",IF(Dati!D127&gt;1,Dati!D127/100,Dati!D127))</f>
        <v/>
      </c>
      <c r="F127" s="18" t="str">
        <f>IF(OR(D127="",E127=""),"",IF(OR(D127&gt;1,E127&gt;1),(E127-D127)/100,E127-D127))</f>
        <v/>
      </c>
      <c r="G127" s="17" t="str">
        <f>IF(F127="","",IF(64*F127=0,"",64*F127))</f>
        <v/>
      </c>
      <c r="H127" s="19" t="str">
        <f>IF(Dati!E127="","",Dati!E127)</f>
        <v/>
      </c>
      <c r="I127" s="19" t="str">
        <f>IFERROR(IF(OR(C127="",C127=0),"",H127/C127*100),"")</f>
        <v/>
      </c>
      <c r="J127" s="20" t="str">
        <f>IF(Dati!F127="","",Dati!F127)</f>
        <v/>
      </c>
      <c r="K127" s="19" t="str">
        <f>IF(OR(H127="",J127=""),"",IF(H127*J127=0,"",H127*J127))</f>
        <v/>
      </c>
      <c r="L127" s="19" t="str">
        <f>IF(A127="","",IFERROR(IF(SUMPRODUCT((ISNUMBER(A$2:A127))*(A$2:A127&gt;1000)*(MONTH(IF(ISNUMBER(A$2:A127),A$2:A127,1))=MONTH(A127))*(YEAR(IF(ISNUMBER(A$2:A127),A$2:A127,1))=YEAR(A127))*IF(ISNUMBER(K$2:K127),K$2:K127,0))=0,"",SUMPRODUCT((ISNUMBER(A$2:A127))*(A$2:A127&gt;1000)*(MONTH(IF(ISNUMBER(A$2:A127),A$2:A127,1))=MONTH(A127))*(YEAR(IF(ISNUMBER(A$2:A127),A$2:A127,1))=YEAR(A127))*IF(ISNUMBER(K$2:K127),K$2:K127,0))),""))</f>
        <v/>
      </c>
      <c r="M127" s="21" t="str">
        <f>IF(A127="","",IFERROR(IF(SUMIF(N$2:N127,"CASA",K$2:K127)=0,"",SUMIF(N$2:N127,"CASA",K$2:K127)),""))</f>
        <v/>
      </c>
      <c r="N127" s="17" t="str">
        <f>IF(J127="","",IF(J127=0.2,"CASA",IF(Dati!G127="","",Dati!G127)))</f>
        <v/>
      </c>
    </row>
    <row r="128" spans="1:14" ht="15" customHeight="1" x14ac:dyDescent="0.2">
      <c r="A128" s="23" t="str">
        <f>IF(Dati!A128="","",Dati!A128)</f>
        <v/>
      </c>
      <c r="B128" s="17" t="str">
        <f>IF(Dati!B128="","",Dati!B128)</f>
        <v/>
      </c>
      <c r="C128" s="17" t="str">
        <f>IF(B128="","",IF(ISNUMBER(B127),IF(B128-B127&lt;0,B128,IF(B128-B127=0,"",B128-B127)),B128))</f>
        <v/>
      </c>
      <c r="D128" s="18" t="str">
        <f>IF(Dati!C128="","",IF(Dati!C128&gt;1,Dati!C128/100,Dati!C128))</f>
        <v/>
      </c>
      <c r="E128" s="18" t="str">
        <f>IF(Dati!D128="","",IF(Dati!D128&gt;1,Dati!D128/100,Dati!D128))</f>
        <v/>
      </c>
      <c r="F128" s="18" t="str">
        <f>IF(OR(D128="",E128=""),"",IF(OR(D128&gt;1,E128&gt;1),(E128-D128)/100,E128-D128))</f>
        <v/>
      </c>
      <c r="G128" s="17" t="str">
        <f>IF(F128="","",IF(64*F128=0,"",64*F128))</f>
        <v/>
      </c>
      <c r="H128" s="19" t="str">
        <f>IF(Dati!E128="","",Dati!E128)</f>
        <v/>
      </c>
      <c r="I128" s="19" t="str">
        <f>IFERROR(IF(OR(C128="",C128=0),"",H128/C128*100),"")</f>
        <v/>
      </c>
      <c r="J128" s="20" t="str">
        <f>IF(Dati!F128="","",Dati!F128)</f>
        <v/>
      </c>
      <c r="K128" s="19" t="str">
        <f>IF(OR(H128="",J128=""),"",IF(H128*J128=0,"",H128*J128))</f>
        <v/>
      </c>
      <c r="L128" s="19" t="str">
        <f>IF(A128="","",IFERROR(IF(SUMPRODUCT((ISNUMBER(A$2:A128))*(A$2:A128&gt;1000)*(MONTH(IF(ISNUMBER(A$2:A128),A$2:A128,1))=MONTH(A128))*(YEAR(IF(ISNUMBER(A$2:A128),A$2:A128,1))=YEAR(A128))*IF(ISNUMBER(K$2:K128),K$2:K128,0))=0,"",SUMPRODUCT((ISNUMBER(A$2:A128))*(A$2:A128&gt;1000)*(MONTH(IF(ISNUMBER(A$2:A128),A$2:A128,1))=MONTH(A128))*(YEAR(IF(ISNUMBER(A$2:A128),A$2:A128,1))=YEAR(A128))*IF(ISNUMBER(K$2:K128),K$2:K128,0))),""))</f>
        <v/>
      </c>
      <c r="M128" s="21" t="str">
        <f>IF(A128="","",IFERROR(IF(SUMIF(N$2:N128,"CASA",K$2:K128)=0,"",SUMIF(N$2:N128,"CASA",K$2:K128)),""))</f>
        <v/>
      </c>
      <c r="N128" s="17" t="str">
        <f>IF(J128="","",IF(J128=0.2,"CASA",IF(Dati!G128="","",Dati!G128)))</f>
        <v/>
      </c>
    </row>
    <row r="129" spans="1:14" ht="15" customHeight="1" x14ac:dyDescent="0.2">
      <c r="A129" s="23" t="str">
        <f>IF(Dati!A129="","",Dati!A129)</f>
        <v/>
      </c>
      <c r="B129" s="17" t="str">
        <f>IF(Dati!B129="","",Dati!B129)</f>
        <v/>
      </c>
      <c r="C129" s="17" t="str">
        <f>IF(B129="","",IF(ISNUMBER(B128),IF(B129-B128&lt;0,B129,IF(B129-B128=0,"",B129-B128)),B129))</f>
        <v/>
      </c>
      <c r="D129" s="18" t="str">
        <f>IF(Dati!C129="","",IF(Dati!C129&gt;1,Dati!C129/100,Dati!C129))</f>
        <v/>
      </c>
      <c r="E129" s="18" t="str">
        <f>IF(Dati!D129="","",IF(Dati!D129&gt;1,Dati!D129/100,Dati!D129))</f>
        <v/>
      </c>
      <c r="F129" s="18" t="str">
        <f>IF(OR(D129="",E129=""),"",IF(OR(D129&gt;1,E129&gt;1),(E129-D129)/100,E129-D129))</f>
        <v/>
      </c>
      <c r="G129" s="17" t="str">
        <f>IF(F129="","",IF(64*F129=0,"",64*F129))</f>
        <v/>
      </c>
      <c r="H129" s="19" t="str">
        <f>IF(Dati!E129="","",Dati!E129)</f>
        <v/>
      </c>
      <c r="I129" s="19" t="str">
        <f>IFERROR(IF(OR(C129="",C129=0),"",H129/C129*100),"")</f>
        <v/>
      </c>
      <c r="J129" s="20" t="str">
        <f>IF(Dati!F129="","",Dati!F129)</f>
        <v/>
      </c>
      <c r="K129" s="19" t="str">
        <f>IF(OR(H129="",J129=""),"",IF(H129*J129=0,"",H129*J129))</f>
        <v/>
      </c>
      <c r="L129" s="19" t="str">
        <f>IF(A129="","",IFERROR(IF(SUMPRODUCT((ISNUMBER(A$2:A129))*(A$2:A129&gt;1000)*(MONTH(IF(ISNUMBER(A$2:A129),A$2:A129,1))=MONTH(A129))*(YEAR(IF(ISNUMBER(A$2:A129),A$2:A129,1))=YEAR(A129))*IF(ISNUMBER(K$2:K129),K$2:K129,0))=0,"",SUMPRODUCT((ISNUMBER(A$2:A129))*(A$2:A129&gt;1000)*(MONTH(IF(ISNUMBER(A$2:A129),A$2:A129,1))=MONTH(A129))*(YEAR(IF(ISNUMBER(A$2:A129),A$2:A129,1))=YEAR(A129))*IF(ISNUMBER(K$2:K129),K$2:K129,0))),""))</f>
        <v/>
      </c>
      <c r="M129" s="21" t="str">
        <f>IF(A129="","",IFERROR(IF(SUMIF(N$2:N129,"CASA",K$2:K129)=0,"",SUMIF(N$2:N129,"CASA",K$2:K129)),""))</f>
        <v/>
      </c>
      <c r="N129" s="17" t="str">
        <f>IF(J129="","",IF(J129=0.2,"CASA",IF(Dati!G129="","",Dati!G129)))</f>
        <v/>
      </c>
    </row>
    <row r="130" spans="1:14" ht="15" customHeight="1" x14ac:dyDescent="0.2">
      <c r="A130" s="23" t="str">
        <f>IF(Dati!A130="","",Dati!A130)</f>
        <v/>
      </c>
      <c r="B130" s="17" t="str">
        <f>IF(Dati!B130="","",Dati!B130)</f>
        <v/>
      </c>
      <c r="C130" s="17" t="str">
        <f>IF(B130="","",IF(ISNUMBER(B129),IF(B130-B129&lt;0,B130,IF(B130-B129=0,"",B130-B129)),B130))</f>
        <v/>
      </c>
      <c r="D130" s="18" t="str">
        <f>IF(Dati!C130="","",IF(Dati!C130&gt;1,Dati!C130/100,Dati!C130))</f>
        <v/>
      </c>
      <c r="E130" s="18" t="str">
        <f>IF(Dati!D130="","",IF(Dati!D130&gt;1,Dati!D130/100,Dati!D130))</f>
        <v/>
      </c>
      <c r="F130" s="18" t="str">
        <f>IF(OR(D130="",E130=""),"",IF(OR(D130&gt;1,E130&gt;1),(E130-D130)/100,E130-D130))</f>
        <v/>
      </c>
      <c r="G130" s="17" t="str">
        <f>IF(F130="","",IF(64*F130=0,"",64*F130))</f>
        <v/>
      </c>
      <c r="H130" s="19" t="str">
        <f>IF(Dati!E130="","",Dati!E130)</f>
        <v/>
      </c>
      <c r="I130" s="19" t="str">
        <f>IFERROR(IF(OR(C130="",C130=0),"",H130/C130*100),"")</f>
        <v/>
      </c>
      <c r="J130" s="20" t="str">
        <f>IF(Dati!F130="","",Dati!F130)</f>
        <v/>
      </c>
      <c r="K130" s="19" t="str">
        <f>IF(OR(H130="",J130=""),"",IF(H130*J130=0,"",H130*J130))</f>
        <v/>
      </c>
      <c r="L130" s="19" t="str">
        <f>IF(A130="","",IFERROR(IF(SUMPRODUCT((ISNUMBER(A$2:A130))*(A$2:A130&gt;1000)*(MONTH(IF(ISNUMBER(A$2:A130),A$2:A130,1))=MONTH(A130))*(YEAR(IF(ISNUMBER(A$2:A130),A$2:A130,1))=YEAR(A130))*IF(ISNUMBER(K$2:K130),K$2:K130,0))=0,"",SUMPRODUCT((ISNUMBER(A$2:A130))*(A$2:A130&gt;1000)*(MONTH(IF(ISNUMBER(A$2:A130),A$2:A130,1))=MONTH(A130))*(YEAR(IF(ISNUMBER(A$2:A130),A$2:A130,1))=YEAR(A130))*IF(ISNUMBER(K$2:K130),K$2:K130,0))),""))</f>
        <v/>
      </c>
      <c r="M130" s="21" t="str">
        <f>IF(A130="","",IFERROR(IF(SUMIF(N$2:N130,"CASA",K$2:K130)=0,"",SUMIF(N$2:N130,"CASA",K$2:K130)),""))</f>
        <v/>
      </c>
      <c r="N130" s="17" t="str">
        <f>IF(J130="","",IF(J130=0.2,"CASA",IF(Dati!G130="","",Dati!G130)))</f>
        <v/>
      </c>
    </row>
    <row r="131" spans="1:14" ht="15" customHeight="1" x14ac:dyDescent="0.2">
      <c r="A131" s="23" t="str">
        <f>IF(Dati!A131="","",Dati!A131)</f>
        <v/>
      </c>
      <c r="B131" s="17" t="str">
        <f>IF(Dati!B131="","",Dati!B131)</f>
        <v/>
      </c>
      <c r="C131" s="17" t="str">
        <f>IF(B131="","",IF(ISNUMBER(B130),IF(B131-B130&lt;0,B131,IF(B131-B130=0,"",B131-B130)),B131))</f>
        <v/>
      </c>
      <c r="D131" s="18" t="str">
        <f>IF(Dati!C131="","",IF(Dati!C131&gt;1,Dati!C131/100,Dati!C131))</f>
        <v/>
      </c>
      <c r="E131" s="18" t="str">
        <f>IF(Dati!D131="","",IF(Dati!D131&gt;1,Dati!D131/100,Dati!D131))</f>
        <v/>
      </c>
      <c r="F131" s="18" t="str">
        <f>IF(OR(D131="",E131=""),"",IF(OR(D131&gt;1,E131&gt;1),(E131-D131)/100,E131-D131))</f>
        <v/>
      </c>
      <c r="G131" s="17" t="str">
        <f>IF(F131="","",IF(64*F131=0,"",64*F131))</f>
        <v/>
      </c>
      <c r="H131" s="19" t="str">
        <f>IF(Dati!E131="","",Dati!E131)</f>
        <v/>
      </c>
      <c r="I131" s="19" t="str">
        <f>IFERROR(IF(OR(C131="",C131=0),"",H131/C131*100),"")</f>
        <v/>
      </c>
      <c r="J131" s="20" t="str">
        <f>IF(Dati!F131="","",Dati!F131)</f>
        <v/>
      </c>
      <c r="K131" s="19" t="str">
        <f>IF(OR(H131="",J131=""),"",IF(H131*J131=0,"",H131*J131))</f>
        <v/>
      </c>
      <c r="L131" s="19" t="str">
        <f>IF(A131="","",IFERROR(IF(SUMPRODUCT((ISNUMBER(A$2:A131))*(A$2:A131&gt;1000)*(MONTH(IF(ISNUMBER(A$2:A131),A$2:A131,1))=MONTH(A131))*(YEAR(IF(ISNUMBER(A$2:A131),A$2:A131,1))=YEAR(A131))*IF(ISNUMBER(K$2:K131),K$2:K131,0))=0,"",SUMPRODUCT((ISNUMBER(A$2:A131))*(A$2:A131&gt;1000)*(MONTH(IF(ISNUMBER(A$2:A131),A$2:A131,1))=MONTH(A131))*(YEAR(IF(ISNUMBER(A$2:A131),A$2:A131,1))=YEAR(A131))*IF(ISNUMBER(K$2:K131),K$2:K131,0))),""))</f>
        <v/>
      </c>
      <c r="M131" s="21" t="str">
        <f>IF(A131="","",IFERROR(IF(SUMIF(N$2:N131,"CASA",K$2:K131)=0,"",SUMIF(N$2:N131,"CASA",K$2:K131)),""))</f>
        <v/>
      </c>
      <c r="N131" s="17" t="str">
        <f>IF(J131="","",IF(J131=0.2,"CASA",IF(Dati!G131="","",Dati!G131)))</f>
        <v/>
      </c>
    </row>
    <row r="132" spans="1:14" ht="15" customHeight="1" x14ac:dyDescent="0.2">
      <c r="A132" s="23" t="str">
        <f>IF(Dati!A132="","",Dati!A132)</f>
        <v/>
      </c>
      <c r="B132" s="17" t="str">
        <f>IF(Dati!B132="","",Dati!B132)</f>
        <v/>
      </c>
      <c r="C132" s="17" t="str">
        <f>IF(B132="","",IF(ISNUMBER(B131),IF(B132-B131&lt;0,B132,IF(B132-B131=0,"",B132-B131)),B132))</f>
        <v/>
      </c>
      <c r="D132" s="18" t="str">
        <f>IF(Dati!C132="","",IF(Dati!C132&gt;1,Dati!C132/100,Dati!C132))</f>
        <v/>
      </c>
      <c r="E132" s="18" t="str">
        <f>IF(Dati!D132="","",IF(Dati!D132&gt;1,Dati!D132/100,Dati!D132))</f>
        <v/>
      </c>
      <c r="F132" s="18" t="str">
        <f>IF(OR(D132="",E132=""),"",IF(OR(D132&gt;1,E132&gt;1),(E132-D132)/100,E132-D132))</f>
        <v/>
      </c>
      <c r="G132" s="17" t="str">
        <f>IF(F132="","",IF(64*F132=0,"",64*F132))</f>
        <v/>
      </c>
      <c r="H132" s="19" t="str">
        <f>IF(Dati!E132="","",Dati!E132)</f>
        <v/>
      </c>
      <c r="I132" s="19" t="str">
        <f>IFERROR(IF(OR(C132="",C132=0),"",H132/C132*100),"")</f>
        <v/>
      </c>
      <c r="J132" s="20" t="str">
        <f>IF(Dati!F132="","",Dati!F132)</f>
        <v/>
      </c>
      <c r="K132" s="19" t="str">
        <f>IF(OR(H132="",J132=""),"",IF(H132*J132=0,"",H132*J132))</f>
        <v/>
      </c>
      <c r="L132" s="19" t="str">
        <f>IF(A132="","",IFERROR(IF(SUMPRODUCT((ISNUMBER(A$2:A132))*(A$2:A132&gt;1000)*(MONTH(IF(ISNUMBER(A$2:A132),A$2:A132,1))=MONTH(A132))*(YEAR(IF(ISNUMBER(A$2:A132),A$2:A132,1))=YEAR(A132))*IF(ISNUMBER(K$2:K132),K$2:K132,0))=0,"",SUMPRODUCT((ISNUMBER(A$2:A132))*(A$2:A132&gt;1000)*(MONTH(IF(ISNUMBER(A$2:A132),A$2:A132,1))=MONTH(A132))*(YEAR(IF(ISNUMBER(A$2:A132),A$2:A132,1))=YEAR(A132))*IF(ISNUMBER(K$2:K132),K$2:K132,0))),""))</f>
        <v/>
      </c>
      <c r="M132" s="21" t="str">
        <f>IF(A132="","",IFERROR(IF(SUMIF(N$2:N132,"CASA",K$2:K132)=0,"",SUMIF(N$2:N132,"CASA",K$2:K132)),""))</f>
        <v/>
      </c>
      <c r="N132" s="17" t="str">
        <f>IF(J132="","",IF(J132=0.2,"CASA",IF(Dati!G132="","",Dati!G132)))</f>
        <v/>
      </c>
    </row>
    <row r="133" spans="1:14" ht="15" customHeight="1" x14ac:dyDescent="0.2">
      <c r="A133" s="23" t="str">
        <f>IF(Dati!A133="","",Dati!A133)</f>
        <v/>
      </c>
      <c r="B133" s="17" t="str">
        <f>IF(Dati!B133="","",Dati!B133)</f>
        <v/>
      </c>
      <c r="C133" s="17" t="str">
        <f>IF(B133="","",IF(ISNUMBER(B132),IF(B133-B132&lt;0,B133,IF(B133-B132=0,"",B133-B132)),B133))</f>
        <v/>
      </c>
      <c r="D133" s="18" t="str">
        <f>IF(Dati!C133="","",IF(Dati!C133&gt;1,Dati!C133/100,Dati!C133))</f>
        <v/>
      </c>
      <c r="E133" s="18" t="str">
        <f>IF(Dati!D133="","",IF(Dati!D133&gt;1,Dati!D133/100,Dati!D133))</f>
        <v/>
      </c>
      <c r="F133" s="18" t="str">
        <f>IF(OR(D133="",E133=""),"",IF(OR(D133&gt;1,E133&gt;1),(E133-D133)/100,E133-D133))</f>
        <v/>
      </c>
      <c r="G133" s="17" t="str">
        <f>IF(F133="","",IF(64*F133=0,"",64*F133))</f>
        <v/>
      </c>
      <c r="H133" s="19" t="str">
        <f>IF(Dati!E133="","",Dati!E133)</f>
        <v/>
      </c>
      <c r="I133" s="19" t="str">
        <f>IFERROR(IF(OR(C133="",C133=0),"",H133/C133*100),"")</f>
        <v/>
      </c>
      <c r="J133" s="20" t="str">
        <f>IF(Dati!F133="","",Dati!F133)</f>
        <v/>
      </c>
      <c r="K133" s="19" t="str">
        <f>IF(OR(H133="",J133=""),"",IF(H133*J133=0,"",H133*J133))</f>
        <v/>
      </c>
      <c r="L133" s="19" t="str">
        <f>IF(A133="","",IFERROR(IF(SUMPRODUCT((ISNUMBER(A$2:A133))*(A$2:A133&gt;1000)*(MONTH(IF(ISNUMBER(A$2:A133),A$2:A133,1))=MONTH(A133))*(YEAR(IF(ISNUMBER(A$2:A133),A$2:A133,1))=YEAR(A133))*IF(ISNUMBER(K$2:K133),K$2:K133,0))=0,"",SUMPRODUCT((ISNUMBER(A$2:A133))*(A$2:A133&gt;1000)*(MONTH(IF(ISNUMBER(A$2:A133),A$2:A133,1))=MONTH(A133))*(YEAR(IF(ISNUMBER(A$2:A133),A$2:A133,1))=YEAR(A133))*IF(ISNUMBER(K$2:K133),K$2:K133,0))),""))</f>
        <v/>
      </c>
      <c r="M133" s="21" t="str">
        <f>IF(A133="","",IFERROR(IF(SUMIF(N$2:N133,"CASA",K$2:K133)=0,"",SUMIF(N$2:N133,"CASA",K$2:K133)),""))</f>
        <v/>
      </c>
      <c r="N133" s="17" t="str">
        <f>IF(J133="","",IF(J133=0.2,"CASA",IF(Dati!G133="","",Dati!G133)))</f>
        <v/>
      </c>
    </row>
    <row r="134" spans="1:14" ht="15" customHeight="1" x14ac:dyDescent="0.2">
      <c r="A134" s="23" t="str">
        <f>IF(Dati!A134="","",Dati!A134)</f>
        <v/>
      </c>
      <c r="B134" s="17" t="str">
        <f>IF(Dati!B134="","",Dati!B134)</f>
        <v/>
      </c>
      <c r="C134" s="17" t="str">
        <f>IF(B134="","",IF(ISNUMBER(B133),IF(B134-B133&lt;0,B134,IF(B134-B133=0,"",B134-B133)),B134))</f>
        <v/>
      </c>
      <c r="D134" s="18" t="str">
        <f>IF(Dati!C134="","",IF(Dati!C134&gt;1,Dati!C134/100,Dati!C134))</f>
        <v/>
      </c>
      <c r="E134" s="18" t="str">
        <f>IF(Dati!D134="","",IF(Dati!D134&gt;1,Dati!D134/100,Dati!D134))</f>
        <v/>
      </c>
      <c r="F134" s="18" t="str">
        <f>IF(OR(D134="",E134=""),"",IF(OR(D134&gt;1,E134&gt;1),(E134-D134)/100,E134-D134))</f>
        <v/>
      </c>
      <c r="G134" s="17" t="str">
        <f>IF(F134="","",IF(64*F134=0,"",64*F134))</f>
        <v/>
      </c>
      <c r="H134" s="19" t="str">
        <f>IF(Dati!E134="","",Dati!E134)</f>
        <v/>
      </c>
      <c r="I134" s="19" t="str">
        <f>IFERROR(IF(OR(C134="",C134=0),"",H134/C134*100),"")</f>
        <v/>
      </c>
      <c r="J134" s="20" t="str">
        <f>IF(Dati!F134="","",Dati!F134)</f>
        <v/>
      </c>
      <c r="K134" s="19" t="str">
        <f>IF(OR(H134="",J134=""),"",IF(H134*J134=0,"",H134*J134))</f>
        <v/>
      </c>
      <c r="L134" s="19" t="str">
        <f>IF(A134="","",IFERROR(IF(SUMPRODUCT((ISNUMBER(A$2:A134))*(A$2:A134&gt;1000)*(MONTH(IF(ISNUMBER(A$2:A134),A$2:A134,1))=MONTH(A134))*(YEAR(IF(ISNUMBER(A$2:A134),A$2:A134,1))=YEAR(A134))*IF(ISNUMBER(K$2:K134),K$2:K134,0))=0,"",SUMPRODUCT((ISNUMBER(A$2:A134))*(A$2:A134&gt;1000)*(MONTH(IF(ISNUMBER(A$2:A134),A$2:A134,1))=MONTH(A134))*(YEAR(IF(ISNUMBER(A$2:A134),A$2:A134,1))=YEAR(A134))*IF(ISNUMBER(K$2:K134),K$2:K134,0))),""))</f>
        <v/>
      </c>
      <c r="M134" s="21" t="str">
        <f>IF(A134="","",IFERROR(IF(SUMIF(N$2:N134,"CASA",K$2:K134)=0,"",SUMIF(N$2:N134,"CASA",K$2:K134)),""))</f>
        <v/>
      </c>
      <c r="N134" s="17" t="str">
        <f>IF(J134="","",IF(J134=0.2,"CASA",IF(Dati!G134="","",Dati!G134)))</f>
        <v/>
      </c>
    </row>
    <row r="135" spans="1:14" ht="15" customHeight="1" x14ac:dyDescent="0.2">
      <c r="A135" s="23" t="str">
        <f>IF(Dati!A135="","",Dati!A135)</f>
        <v/>
      </c>
      <c r="B135" s="17" t="str">
        <f>IF(Dati!B135="","",Dati!B135)</f>
        <v/>
      </c>
      <c r="C135" s="17" t="str">
        <f>IF(B135="","",IF(ISNUMBER(B134),IF(B135-B134&lt;0,B135,IF(B135-B134=0,"",B135-B134)),B135))</f>
        <v/>
      </c>
      <c r="D135" s="18" t="str">
        <f>IF(Dati!C135="","",IF(Dati!C135&gt;1,Dati!C135/100,Dati!C135))</f>
        <v/>
      </c>
      <c r="E135" s="18" t="str">
        <f>IF(Dati!D135="","",IF(Dati!D135&gt;1,Dati!D135/100,Dati!D135))</f>
        <v/>
      </c>
      <c r="F135" s="18" t="str">
        <f>IF(OR(D135="",E135=""),"",IF(OR(D135&gt;1,E135&gt;1),(E135-D135)/100,E135-D135))</f>
        <v/>
      </c>
      <c r="G135" s="17" t="str">
        <f>IF(F135="","",IF(64*F135=0,"",64*F135))</f>
        <v/>
      </c>
      <c r="H135" s="19" t="str">
        <f>IF(Dati!E135="","",Dati!E135)</f>
        <v/>
      </c>
      <c r="I135" s="19" t="str">
        <f>IFERROR(IF(OR(C135="",C135=0),"",H135/C135*100),"")</f>
        <v/>
      </c>
      <c r="J135" s="20" t="str">
        <f>IF(Dati!F135="","",Dati!F135)</f>
        <v/>
      </c>
      <c r="K135" s="19" t="str">
        <f>IF(OR(H135="",J135=""),"",IF(H135*J135=0,"",H135*J135))</f>
        <v/>
      </c>
      <c r="L135" s="19" t="str">
        <f>IF(A135="","",IFERROR(IF(SUMPRODUCT((ISNUMBER(A$2:A135))*(A$2:A135&gt;1000)*(MONTH(IF(ISNUMBER(A$2:A135),A$2:A135,1))=MONTH(A135))*(YEAR(IF(ISNUMBER(A$2:A135),A$2:A135,1))=YEAR(A135))*IF(ISNUMBER(K$2:K135),K$2:K135,0))=0,"",SUMPRODUCT((ISNUMBER(A$2:A135))*(A$2:A135&gt;1000)*(MONTH(IF(ISNUMBER(A$2:A135),A$2:A135,1))=MONTH(A135))*(YEAR(IF(ISNUMBER(A$2:A135),A$2:A135,1))=YEAR(A135))*IF(ISNUMBER(K$2:K135),K$2:K135,0))),""))</f>
        <v/>
      </c>
      <c r="M135" s="21" t="str">
        <f>IF(A135="","",IFERROR(IF(SUMIF(N$2:N135,"CASA",K$2:K135)=0,"",SUMIF(N$2:N135,"CASA",K$2:K135)),""))</f>
        <v/>
      </c>
      <c r="N135" s="17" t="str">
        <f>IF(J135="","",IF(J135=0.2,"CASA",IF(Dati!G135="","",Dati!G135)))</f>
        <v/>
      </c>
    </row>
    <row r="136" spans="1:14" ht="15" customHeight="1" x14ac:dyDescent="0.2">
      <c r="A136" s="23" t="str">
        <f>IF(Dati!A136="","",Dati!A136)</f>
        <v/>
      </c>
      <c r="B136" s="17" t="str">
        <f>IF(Dati!B136="","",Dati!B136)</f>
        <v/>
      </c>
      <c r="C136" s="17" t="str">
        <f>IF(B136="","",IF(ISNUMBER(B135),IF(B136-B135&lt;0,B136,IF(B136-B135=0,"",B136-B135)),B136))</f>
        <v/>
      </c>
      <c r="D136" s="18" t="str">
        <f>IF(Dati!C136="","",IF(Dati!C136&gt;1,Dati!C136/100,Dati!C136))</f>
        <v/>
      </c>
      <c r="E136" s="18" t="str">
        <f>IF(Dati!D136="","",IF(Dati!D136&gt;1,Dati!D136/100,Dati!D136))</f>
        <v/>
      </c>
      <c r="F136" s="18" t="str">
        <f>IF(OR(D136="",E136=""),"",IF(OR(D136&gt;1,E136&gt;1),(E136-D136)/100,E136-D136))</f>
        <v/>
      </c>
      <c r="G136" s="17" t="str">
        <f>IF(F136="","",IF(64*F136=0,"",64*F136))</f>
        <v/>
      </c>
      <c r="H136" s="19" t="str">
        <f>IF(Dati!E136="","",Dati!E136)</f>
        <v/>
      </c>
      <c r="I136" s="19" t="str">
        <f>IFERROR(IF(OR(C136="",C136=0),"",H136/C136*100),"")</f>
        <v/>
      </c>
      <c r="J136" s="20" t="str">
        <f>IF(Dati!F136="","",Dati!F136)</f>
        <v/>
      </c>
      <c r="K136" s="19" t="str">
        <f>IF(OR(H136="",J136=""),"",IF(H136*J136=0,"",H136*J136))</f>
        <v/>
      </c>
      <c r="L136" s="19" t="str">
        <f>IF(A136="","",IFERROR(IF(SUMPRODUCT((ISNUMBER(A$2:A136))*(A$2:A136&gt;1000)*(MONTH(IF(ISNUMBER(A$2:A136),A$2:A136,1))=MONTH(A136))*(YEAR(IF(ISNUMBER(A$2:A136),A$2:A136,1))=YEAR(A136))*IF(ISNUMBER(K$2:K136),K$2:K136,0))=0,"",SUMPRODUCT((ISNUMBER(A$2:A136))*(A$2:A136&gt;1000)*(MONTH(IF(ISNUMBER(A$2:A136),A$2:A136,1))=MONTH(A136))*(YEAR(IF(ISNUMBER(A$2:A136),A$2:A136,1))=YEAR(A136))*IF(ISNUMBER(K$2:K136),K$2:K136,0))),""))</f>
        <v/>
      </c>
      <c r="M136" s="21" t="str">
        <f>IF(A136="","",IFERROR(IF(SUMIF(N$2:N136,"CASA",K$2:K136)=0,"",SUMIF(N$2:N136,"CASA",K$2:K136)),""))</f>
        <v/>
      </c>
      <c r="N136" s="17" t="str">
        <f>IF(J136="","",IF(J136=0.2,"CASA",IF(Dati!G136="","",Dati!G136)))</f>
        <v/>
      </c>
    </row>
    <row r="137" spans="1:14" ht="15" customHeight="1" x14ac:dyDescent="0.2">
      <c r="A137" s="23" t="str">
        <f>IF(Dati!A137="","",Dati!A137)</f>
        <v/>
      </c>
      <c r="B137" s="17" t="str">
        <f>IF(Dati!B137="","",Dati!B137)</f>
        <v/>
      </c>
      <c r="C137" s="17" t="str">
        <f>IF(B137="","",IF(ISNUMBER(B136),IF(B137-B136&lt;0,B137,IF(B137-B136=0,"",B137-B136)),B137))</f>
        <v/>
      </c>
      <c r="D137" s="18" t="str">
        <f>IF(Dati!C137="","",IF(Dati!C137&gt;1,Dati!C137/100,Dati!C137))</f>
        <v/>
      </c>
      <c r="E137" s="18" t="str">
        <f>IF(Dati!D137="","",IF(Dati!D137&gt;1,Dati!D137/100,Dati!D137))</f>
        <v/>
      </c>
      <c r="F137" s="18" t="str">
        <f>IF(OR(D137="",E137=""),"",IF(OR(D137&gt;1,E137&gt;1),(E137-D137)/100,E137-D137))</f>
        <v/>
      </c>
      <c r="G137" s="17" t="str">
        <f>IF(F137="","",IF(64*F137=0,"",64*F137))</f>
        <v/>
      </c>
      <c r="H137" s="19" t="str">
        <f>IF(Dati!E137="","",Dati!E137)</f>
        <v/>
      </c>
      <c r="I137" s="19" t="str">
        <f>IFERROR(IF(OR(C137="",C137=0),"",H137/C137*100),"")</f>
        <v/>
      </c>
      <c r="J137" s="20" t="str">
        <f>IF(Dati!F137="","",Dati!F137)</f>
        <v/>
      </c>
      <c r="K137" s="19" t="str">
        <f>IF(OR(H137="",J137=""),"",IF(H137*J137=0,"",H137*J137))</f>
        <v/>
      </c>
      <c r="L137" s="19" t="str">
        <f>IF(A137="","",IFERROR(IF(SUMPRODUCT((ISNUMBER(A$2:A137))*(A$2:A137&gt;1000)*(MONTH(IF(ISNUMBER(A$2:A137),A$2:A137,1))=MONTH(A137))*(YEAR(IF(ISNUMBER(A$2:A137),A$2:A137,1))=YEAR(A137))*IF(ISNUMBER(K$2:K137),K$2:K137,0))=0,"",SUMPRODUCT((ISNUMBER(A$2:A137))*(A$2:A137&gt;1000)*(MONTH(IF(ISNUMBER(A$2:A137),A$2:A137,1))=MONTH(A137))*(YEAR(IF(ISNUMBER(A$2:A137),A$2:A137,1))=YEAR(A137))*IF(ISNUMBER(K$2:K137),K$2:K137,0))),""))</f>
        <v/>
      </c>
      <c r="M137" s="21" t="str">
        <f>IF(A137="","",IFERROR(IF(SUMIF(N$2:N137,"CASA",K$2:K137)=0,"",SUMIF(N$2:N137,"CASA",K$2:K137)),""))</f>
        <v/>
      </c>
      <c r="N137" s="17" t="str">
        <f>IF(J137="","",IF(J137=0.2,"CASA",IF(Dati!G137="","",Dati!G137)))</f>
        <v/>
      </c>
    </row>
    <row r="138" spans="1:14" ht="15" customHeight="1" x14ac:dyDescent="0.2">
      <c r="A138" s="23" t="str">
        <f>IF(Dati!A138="","",Dati!A138)</f>
        <v/>
      </c>
      <c r="B138" s="17" t="str">
        <f>IF(Dati!B138="","",Dati!B138)</f>
        <v/>
      </c>
      <c r="C138" s="17" t="str">
        <f>IF(B138="","",IF(ISNUMBER(B137),IF(B138-B137&lt;0,B138,IF(B138-B137=0,"",B138-B137)),B138))</f>
        <v/>
      </c>
      <c r="D138" s="18" t="str">
        <f>IF(Dati!C138="","",IF(Dati!C138&gt;1,Dati!C138/100,Dati!C138))</f>
        <v/>
      </c>
      <c r="E138" s="18" t="str">
        <f>IF(Dati!D138="","",IF(Dati!D138&gt;1,Dati!D138/100,Dati!D138))</f>
        <v/>
      </c>
      <c r="F138" s="18" t="str">
        <f>IF(OR(D138="",E138=""),"",IF(OR(D138&gt;1,E138&gt;1),(E138-D138)/100,E138-D138))</f>
        <v/>
      </c>
      <c r="G138" s="17" t="str">
        <f>IF(F138="","",IF(64*F138=0,"",64*F138))</f>
        <v/>
      </c>
      <c r="H138" s="19" t="str">
        <f>IF(Dati!E138="","",Dati!E138)</f>
        <v/>
      </c>
      <c r="I138" s="19" t="str">
        <f>IFERROR(IF(OR(C138="",C138=0),"",H138/C138*100),"")</f>
        <v/>
      </c>
      <c r="J138" s="20" t="str">
        <f>IF(Dati!F138="","",Dati!F138)</f>
        <v/>
      </c>
      <c r="K138" s="19" t="str">
        <f>IF(OR(H138="",J138=""),"",IF(H138*J138=0,"",H138*J138))</f>
        <v/>
      </c>
      <c r="L138" s="19" t="str">
        <f>IF(A138="","",IFERROR(IF(SUMPRODUCT((ISNUMBER(A$2:A138))*(A$2:A138&gt;1000)*(MONTH(IF(ISNUMBER(A$2:A138),A$2:A138,1))=MONTH(A138))*(YEAR(IF(ISNUMBER(A$2:A138),A$2:A138,1))=YEAR(A138))*IF(ISNUMBER(K$2:K138),K$2:K138,0))=0,"",SUMPRODUCT((ISNUMBER(A$2:A138))*(A$2:A138&gt;1000)*(MONTH(IF(ISNUMBER(A$2:A138),A$2:A138,1))=MONTH(A138))*(YEAR(IF(ISNUMBER(A$2:A138),A$2:A138,1))=YEAR(A138))*IF(ISNUMBER(K$2:K138),K$2:K138,0))),""))</f>
        <v/>
      </c>
      <c r="M138" s="21" t="str">
        <f>IF(A138="","",IFERROR(IF(SUMIF(N$2:N138,"CASA",K$2:K138)=0,"",SUMIF(N$2:N138,"CASA",K$2:K138)),""))</f>
        <v/>
      </c>
      <c r="N138" s="17" t="str">
        <f>IF(J138="","",IF(J138=0.2,"CASA",IF(Dati!G138="","",Dati!G138)))</f>
        <v/>
      </c>
    </row>
    <row r="139" spans="1:14" ht="15" customHeight="1" x14ac:dyDescent="0.2">
      <c r="A139" s="23" t="str">
        <f>IF(Dati!A139="","",Dati!A139)</f>
        <v/>
      </c>
      <c r="B139" s="17" t="str">
        <f>IF(Dati!B139="","",Dati!B139)</f>
        <v/>
      </c>
      <c r="C139" s="17" t="str">
        <f>IF(B139="","",IF(ISNUMBER(B138),IF(B139-B138&lt;0,B139,IF(B139-B138=0,"",B139-B138)),B139))</f>
        <v/>
      </c>
      <c r="D139" s="18" t="str">
        <f>IF(Dati!C139="","",IF(Dati!C139&gt;1,Dati!C139/100,Dati!C139))</f>
        <v/>
      </c>
      <c r="E139" s="18" t="str">
        <f>IF(Dati!D139="","",IF(Dati!D139&gt;1,Dati!D139/100,Dati!D139))</f>
        <v/>
      </c>
      <c r="F139" s="18" t="str">
        <f>IF(OR(D139="",E139=""),"",IF(OR(D139&gt;1,E139&gt;1),(E139-D139)/100,E139-D139))</f>
        <v/>
      </c>
      <c r="G139" s="17" t="str">
        <f>IF(F139="","",IF(64*F139=0,"",64*F139))</f>
        <v/>
      </c>
      <c r="H139" s="19" t="str">
        <f>IF(Dati!E139="","",Dati!E139)</f>
        <v/>
      </c>
      <c r="I139" s="19" t="str">
        <f>IFERROR(IF(OR(C139="",C139=0),"",H139/C139*100),"")</f>
        <v/>
      </c>
      <c r="J139" s="20" t="str">
        <f>IF(Dati!F139="","",Dati!F139)</f>
        <v/>
      </c>
      <c r="K139" s="19" t="str">
        <f>IF(OR(H139="",J139=""),"",IF(H139*J139=0,"",H139*J139))</f>
        <v/>
      </c>
      <c r="L139" s="19" t="str">
        <f>IF(A139="","",IFERROR(IF(SUMPRODUCT((ISNUMBER(A$2:A139))*(A$2:A139&gt;1000)*(MONTH(IF(ISNUMBER(A$2:A139),A$2:A139,1))=MONTH(A139))*(YEAR(IF(ISNUMBER(A$2:A139),A$2:A139,1))=YEAR(A139))*IF(ISNUMBER(K$2:K139),K$2:K139,0))=0,"",SUMPRODUCT((ISNUMBER(A$2:A139))*(A$2:A139&gt;1000)*(MONTH(IF(ISNUMBER(A$2:A139),A$2:A139,1))=MONTH(A139))*(YEAR(IF(ISNUMBER(A$2:A139),A$2:A139,1))=YEAR(A139))*IF(ISNUMBER(K$2:K139),K$2:K139,0))),""))</f>
        <v/>
      </c>
      <c r="M139" s="21" t="str">
        <f>IF(A139="","",IFERROR(IF(SUMIF(N$2:N139,"CASA",K$2:K139)=0,"",SUMIF(N$2:N139,"CASA",K$2:K139)),""))</f>
        <v/>
      </c>
      <c r="N139" s="17" t="str">
        <f>IF(J139="","",IF(J139=0.2,"CASA",IF(Dati!G139="","",Dati!G139)))</f>
        <v/>
      </c>
    </row>
    <row r="140" spans="1:14" ht="15" customHeight="1" x14ac:dyDescent="0.2">
      <c r="A140" s="23" t="str">
        <f>IF(Dati!A140="","",Dati!A140)</f>
        <v/>
      </c>
      <c r="B140" s="17" t="str">
        <f>IF(Dati!B140="","",Dati!B140)</f>
        <v/>
      </c>
      <c r="C140" s="17" t="str">
        <f>IF(B140="","",IF(ISNUMBER(B139),IF(B140-B139&lt;0,B140,IF(B140-B139=0,"",B140-B139)),B140))</f>
        <v/>
      </c>
      <c r="D140" s="18" t="str">
        <f>IF(Dati!C140="","",IF(Dati!C140&gt;1,Dati!C140/100,Dati!C140))</f>
        <v/>
      </c>
      <c r="E140" s="18" t="str">
        <f>IF(Dati!D140="","",IF(Dati!D140&gt;1,Dati!D140/100,Dati!D140))</f>
        <v/>
      </c>
      <c r="F140" s="18" t="str">
        <f>IF(OR(D140="",E140=""),"",IF(OR(D140&gt;1,E140&gt;1),(E140-D140)/100,E140-D140))</f>
        <v/>
      </c>
      <c r="G140" s="17" t="str">
        <f>IF(F140="","",IF(64*F140=0,"",64*F140))</f>
        <v/>
      </c>
      <c r="H140" s="19" t="str">
        <f>IF(Dati!E140="","",Dati!E140)</f>
        <v/>
      </c>
      <c r="I140" s="19" t="str">
        <f>IFERROR(IF(OR(C140="",C140=0),"",H140/C140*100),"")</f>
        <v/>
      </c>
      <c r="J140" s="20" t="str">
        <f>IF(Dati!F140="","",Dati!F140)</f>
        <v/>
      </c>
      <c r="K140" s="19" t="str">
        <f>IF(OR(H140="",J140=""),"",IF(H140*J140=0,"",H140*J140))</f>
        <v/>
      </c>
      <c r="L140" s="19" t="str">
        <f>IF(A140="","",IFERROR(IF(SUMPRODUCT((ISNUMBER(A$2:A140))*(A$2:A140&gt;1000)*(MONTH(IF(ISNUMBER(A$2:A140),A$2:A140,1))=MONTH(A140))*(YEAR(IF(ISNUMBER(A$2:A140),A$2:A140,1))=YEAR(A140))*IF(ISNUMBER(K$2:K140),K$2:K140,0))=0,"",SUMPRODUCT((ISNUMBER(A$2:A140))*(A$2:A140&gt;1000)*(MONTH(IF(ISNUMBER(A$2:A140),A$2:A140,1))=MONTH(A140))*(YEAR(IF(ISNUMBER(A$2:A140),A$2:A140,1))=YEAR(A140))*IF(ISNUMBER(K$2:K140),K$2:K140,0))),""))</f>
        <v/>
      </c>
      <c r="M140" s="21" t="str">
        <f>IF(A140="","",IFERROR(IF(SUMIF(N$2:N140,"CASA",K$2:K140)=0,"",SUMIF(N$2:N140,"CASA",K$2:K140)),""))</f>
        <v/>
      </c>
      <c r="N140" s="17" t="str">
        <f>IF(J140="","",IF(J140=0.2,"CASA",IF(Dati!G140="","",Dati!G140)))</f>
        <v/>
      </c>
    </row>
    <row r="141" spans="1:14" ht="15" customHeight="1" x14ac:dyDescent="0.2">
      <c r="A141" s="23" t="str">
        <f>IF(Dati!A141="","",Dati!A141)</f>
        <v/>
      </c>
      <c r="B141" s="17" t="str">
        <f>IF(Dati!B141="","",Dati!B141)</f>
        <v/>
      </c>
      <c r="C141" s="17" t="str">
        <f>IF(B141="","",IF(ISNUMBER(B140),IF(B141-B140&lt;0,B141,IF(B141-B140=0,"",B141-B140)),B141))</f>
        <v/>
      </c>
      <c r="D141" s="18" t="str">
        <f>IF(Dati!C141="","",IF(Dati!C141&gt;1,Dati!C141/100,Dati!C141))</f>
        <v/>
      </c>
      <c r="E141" s="18" t="str">
        <f>IF(Dati!D141="","",IF(Dati!D141&gt;1,Dati!D141/100,Dati!D141))</f>
        <v/>
      </c>
      <c r="F141" s="18" t="str">
        <f>IF(OR(D141="",E141=""),"",IF(OR(D141&gt;1,E141&gt;1),(E141-D141)/100,E141-D141))</f>
        <v/>
      </c>
      <c r="G141" s="17" t="str">
        <f>IF(F141="","",IF(64*F141=0,"",64*F141))</f>
        <v/>
      </c>
      <c r="H141" s="19" t="str">
        <f>IF(Dati!E141="","",Dati!E141)</f>
        <v/>
      </c>
      <c r="I141" s="19" t="str">
        <f>IFERROR(IF(OR(C141="",C141=0),"",H141/C141*100),"")</f>
        <v/>
      </c>
      <c r="J141" s="20" t="str">
        <f>IF(Dati!F141="","",Dati!F141)</f>
        <v/>
      </c>
      <c r="K141" s="19" t="str">
        <f>IF(OR(H141="",J141=""),"",IF(H141*J141=0,"",H141*J141))</f>
        <v/>
      </c>
      <c r="L141" s="19" t="str">
        <f>IF(A141="","",IFERROR(IF(SUMPRODUCT((ISNUMBER(A$2:A141))*(A$2:A141&gt;1000)*(MONTH(IF(ISNUMBER(A$2:A141),A$2:A141,1))=MONTH(A141))*(YEAR(IF(ISNUMBER(A$2:A141),A$2:A141,1))=YEAR(A141))*IF(ISNUMBER(K$2:K141),K$2:K141,0))=0,"",SUMPRODUCT((ISNUMBER(A$2:A141))*(A$2:A141&gt;1000)*(MONTH(IF(ISNUMBER(A$2:A141),A$2:A141,1))=MONTH(A141))*(YEAR(IF(ISNUMBER(A$2:A141),A$2:A141,1))=YEAR(A141))*IF(ISNUMBER(K$2:K141),K$2:K141,0))),""))</f>
        <v/>
      </c>
      <c r="M141" s="21" t="str">
        <f>IF(A141="","",IFERROR(IF(SUMIF(N$2:N141,"CASA",K$2:K141)=0,"",SUMIF(N$2:N141,"CASA",K$2:K141)),""))</f>
        <v/>
      </c>
      <c r="N141" s="17" t="str">
        <f>IF(J141="","",IF(J141=0.2,"CASA",IF(Dati!G141="","",Dati!G141)))</f>
        <v/>
      </c>
    </row>
    <row r="142" spans="1:14" ht="15" customHeight="1" x14ac:dyDescent="0.2">
      <c r="A142" s="23" t="str">
        <f>IF(Dati!A142="","",Dati!A142)</f>
        <v/>
      </c>
      <c r="B142" s="17" t="str">
        <f>IF(Dati!B142="","",Dati!B142)</f>
        <v/>
      </c>
      <c r="C142" s="17" t="str">
        <f>IF(B142="","",IF(ISNUMBER(B141),IF(B142-B141&lt;0,B142,IF(B142-B141=0,"",B142-B141)),B142))</f>
        <v/>
      </c>
      <c r="D142" s="18" t="str">
        <f>IF(Dati!C142="","",IF(Dati!C142&gt;1,Dati!C142/100,Dati!C142))</f>
        <v/>
      </c>
      <c r="E142" s="18" t="str">
        <f>IF(Dati!D142="","",IF(Dati!D142&gt;1,Dati!D142/100,Dati!D142))</f>
        <v/>
      </c>
      <c r="F142" s="18" t="str">
        <f>IF(OR(D142="",E142=""),"",IF(OR(D142&gt;1,E142&gt;1),(E142-D142)/100,E142-D142))</f>
        <v/>
      </c>
      <c r="G142" s="17" t="str">
        <f>IF(F142="","",IF(64*F142=0,"",64*F142))</f>
        <v/>
      </c>
      <c r="H142" s="19" t="str">
        <f>IF(Dati!E142="","",Dati!E142)</f>
        <v/>
      </c>
      <c r="I142" s="19" t="str">
        <f>IFERROR(IF(OR(C142="",C142=0),"",H142/C142*100),"")</f>
        <v/>
      </c>
      <c r="J142" s="20" t="str">
        <f>IF(Dati!F142="","",Dati!F142)</f>
        <v/>
      </c>
      <c r="K142" s="19" t="str">
        <f>IF(OR(H142="",J142=""),"",IF(H142*J142=0,"",H142*J142))</f>
        <v/>
      </c>
      <c r="L142" s="19" t="str">
        <f>IF(A142="","",IFERROR(IF(SUMPRODUCT((ISNUMBER(A$2:A142))*(A$2:A142&gt;1000)*(MONTH(IF(ISNUMBER(A$2:A142),A$2:A142,1))=MONTH(A142))*(YEAR(IF(ISNUMBER(A$2:A142),A$2:A142,1))=YEAR(A142))*IF(ISNUMBER(K$2:K142),K$2:K142,0))=0,"",SUMPRODUCT((ISNUMBER(A$2:A142))*(A$2:A142&gt;1000)*(MONTH(IF(ISNUMBER(A$2:A142),A$2:A142,1))=MONTH(A142))*(YEAR(IF(ISNUMBER(A$2:A142),A$2:A142,1))=YEAR(A142))*IF(ISNUMBER(K$2:K142),K$2:K142,0))),""))</f>
        <v/>
      </c>
      <c r="M142" s="21" t="str">
        <f>IF(A142="","",IFERROR(IF(SUMIF(N$2:N142,"CASA",K$2:K142)=0,"",SUMIF(N$2:N142,"CASA",K$2:K142)),""))</f>
        <v/>
      </c>
      <c r="N142" s="17" t="str">
        <f>IF(J142="","",IF(J142=0.2,"CASA",IF(Dati!G142="","",Dati!G142)))</f>
        <v/>
      </c>
    </row>
    <row r="143" spans="1:14" ht="15" customHeight="1" x14ac:dyDescent="0.2">
      <c r="A143" s="23" t="str">
        <f>IF(Dati!A143="","",Dati!A143)</f>
        <v/>
      </c>
      <c r="B143" s="17" t="str">
        <f>IF(Dati!B143="","",Dati!B143)</f>
        <v/>
      </c>
      <c r="C143" s="17" t="str">
        <f>IF(B143="","",IF(ISNUMBER(B142),IF(B143-B142&lt;0,B143,IF(B143-B142=0,"",B143-B142)),B143))</f>
        <v/>
      </c>
      <c r="D143" s="18" t="str">
        <f>IF(Dati!C143="","",IF(Dati!C143&gt;1,Dati!C143/100,Dati!C143))</f>
        <v/>
      </c>
      <c r="E143" s="18" t="str">
        <f>IF(Dati!D143="","",IF(Dati!D143&gt;1,Dati!D143/100,Dati!D143))</f>
        <v/>
      </c>
      <c r="F143" s="18" t="str">
        <f>IF(OR(D143="",E143=""),"",IF(OR(D143&gt;1,E143&gt;1),(E143-D143)/100,E143-D143))</f>
        <v/>
      </c>
      <c r="G143" s="17" t="str">
        <f>IF(F143="","",IF(64*F143=0,"",64*F143))</f>
        <v/>
      </c>
      <c r="H143" s="19" t="str">
        <f>IF(Dati!E143="","",Dati!E143)</f>
        <v/>
      </c>
      <c r="I143" s="19" t="str">
        <f>IFERROR(IF(OR(C143="",C143=0),"",H143/C143*100),"")</f>
        <v/>
      </c>
      <c r="J143" s="20" t="str">
        <f>IF(Dati!F143="","",Dati!F143)</f>
        <v/>
      </c>
      <c r="K143" s="19" t="str">
        <f>IF(OR(H143="",J143=""),"",IF(H143*J143=0,"",H143*J143))</f>
        <v/>
      </c>
      <c r="L143" s="19" t="str">
        <f>IF(A143="","",IFERROR(IF(SUMPRODUCT((ISNUMBER(A$2:A143))*(A$2:A143&gt;1000)*(MONTH(IF(ISNUMBER(A$2:A143),A$2:A143,1))=MONTH(A143))*(YEAR(IF(ISNUMBER(A$2:A143),A$2:A143,1))=YEAR(A143))*IF(ISNUMBER(K$2:K143),K$2:K143,0))=0,"",SUMPRODUCT((ISNUMBER(A$2:A143))*(A$2:A143&gt;1000)*(MONTH(IF(ISNUMBER(A$2:A143),A$2:A143,1))=MONTH(A143))*(YEAR(IF(ISNUMBER(A$2:A143),A$2:A143,1))=YEAR(A143))*IF(ISNUMBER(K$2:K143),K$2:K143,0))),""))</f>
        <v/>
      </c>
      <c r="M143" s="21" t="str">
        <f>IF(A143="","",IFERROR(IF(SUMIF(N$2:N143,"CASA",K$2:K143)=0,"",SUMIF(N$2:N143,"CASA",K$2:K143)),""))</f>
        <v/>
      </c>
      <c r="N143" s="17" t="str">
        <f>IF(J143="","",IF(J143=0.2,"CASA",IF(Dati!G143="","",Dati!G143)))</f>
        <v/>
      </c>
    </row>
    <row r="144" spans="1:14" ht="15" customHeight="1" x14ac:dyDescent="0.2">
      <c r="A144" s="23" t="str">
        <f>IF(Dati!A144="","",Dati!A144)</f>
        <v/>
      </c>
      <c r="B144" s="17" t="str">
        <f>IF(Dati!B144="","",Dati!B144)</f>
        <v/>
      </c>
      <c r="C144" s="17" t="str">
        <f>IF(B144="","",IF(ISNUMBER(B143),IF(B144-B143&lt;0,B144,IF(B144-B143=0,"",B144-B143)),B144))</f>
        <v/>
      </c>
      <c r="D144" s="18" t="str">
        <f>IF(Dati!C144="","",IF(Dati!C144&gt;1,Dati!C144/100,Dati!C144))</f>
        <v/>
      </c>
      <c r="E144" s="18" t="str">
        <f>IF(Dati!D144="","",IF(Dati!D144&gt;1,Dati!D144/100,Dati!D144))</f>
        <v/>
      </c>
      <c r="F144" s="18" t="str">
        <f>IF(OR(D144="",E144=""),"",IF(OR(D144&gt;1,E144&gt;1),(E144-D144)/100,E144-D144))</f>
        <v/>
      </c>
      <c r="G144" s="17" t="str">
        <f>IF(F144="","",IF(64*F144=0,"",64*F144))</f>
        <v/>
      </c>
      <c r="H144" s="19" t="str">
        <f>IF(Dati!E144="","",Dati!E144)</f>
        <v/>
      </c>
      <c r="I144" s="19" t="str">
        <f>IFERROR(IF(OR(C144="",C144=0),"",H144/C144*100),"")</f>
        <v/>
      </c>
      <c r="J144" s="20" t="str">
        <f>IF(Dati!F144="","",Dati!F144)</f>
        <v/>
      </c>
      <c r="K144" s="19" t="str">
        <f>IF(OR(H144="",J144=""),"",IF(H144*J144=0,"",H144*J144))</f>
        <v/>
      </c>
      <c r="L144" s="19" t="str">
        <f>IF(A144="","",IFERROR(IF(SUMPRODUCT((ISNUMBER(A$2:A144))*(A$2:A144&gt;1000)*(MONTH(IF(ISNUMBER(A$2:A144),A$2:A144,1))=MONTH(A144))*(YEAR(IF(ISNUMBER(A$2:A144),A$2:A144,1))=YEAR(A144))*IF(ISNUMBER(K$2:K144),K$2:K144,0))=0,"",SUMPRODUCT((ISNUMBER(A$2:A144))*(A$2:A144&gt;1000)*(MONTH(IF(ISNUMBER(A$2:A144),A$2:A144,1))=MONTH(A144))*(YEAR(IF(ISNUMBER(A$2:A144),A$2:A144,1))=YEAR(A144))*IF(ISNUMBER(K$2:K144),K$2:K144,0))),""))</f>
        <v/>
      </c>
      <c r="M144" s="21" t="str">
        <f>IF(A144="","",IFERROR(IF(SUMIF(N$2:N144,"CASA",K$2:K144)=0,"",SUMIF(N$2:N144,"CASA",K$2:K144)),""))</f>
        <v/>
      </c>
      <c r="N144" s="17" t="str">
        <f>IF(J144="","",IF(J144=0.2,"CASA",IF(Dati!G144="","",Dati!G144)))</f>
        <v/>
      </c>
    </row>
    <row r="145" spans="1:14" ht="15" customHeight="1" x14ac:dyDescent="0.2">
      <c r="A145" s="23" t="str">
        <f>IF(Dati!A145="","",Dati!A145)</f>
        <v/>
      </c>
      <c r="B145" s="17" t="str">
        <f>IF(Dati!B145="","",Dati!B145)</f>
        <v/>
      </c>
      <c r="C145" s="17" t="str">
        <f>IF(B145="","",IF(ISNUMBER(B144),IF(B145-B144&lt;0,B145,IF(B145-B144=0,"",B145-B144)),B145))</f>
        <v/>
      </c>
      <c r="D145" s="18" t="str">
        <f>IF(Dati!C145="","",IF(Dati!C145&gt;1,Dati!C145/100,Dati!C145))</f>
        <v/>
      </c>
      <c r="E145" s="18" t="str">
        <f>IF(Dati!D145="","",IF(Dati!D145&gt;1,Dati!D145/100,Dati!D145))</f>
        <v/>
      </c>
      <c r="F145" s="18" t="str">
        <f>IF(OR(D145="",E145=""),"",IF(OR(D145&gt;1,E145&gt;1),(E145-D145)/100,E145-D145))</f>
        <v/>
      </c>
      <c r="G145" s="17" t="str">
        <f>IF(F145="","",IF(64*F145=0,"",64*F145))</f>
        <v/>
      </c>
      <c r="H145" s="19" t="str">
        <f>IF(Dati!E145="","",Dati!E145)</f>
        <v/>
      </c>
      <c r="I145" s="19" t="str">
        <f>IFERROR(IF(OR(C145="",C145=0),"",H145/C145*100),"")</f>
        <v/>
      </c>
      <c r="J145" s="20" t="str">
        <f>IF(Dati!F145="","",Dati!F145)</f>
        <v/>
      </c>
      <c r="K145" s="19" t="str">
        <f>IF(OR(H145="",J145=""),"",IF(H145*J145=0,"",H145*J145))</f>
        <v/>
      </c>
      <c r="L145" s="19" t="str">
        <f>IF(A145="","",IFERROR(IF(SUMPRODUCT((ISNUMBER(A$2:A145))*(A$2:A145&gt;1000)*(MONTH(IF(ISNUMBER(A$2:A145),A$2:A145,1))=MONTH(A145))*(YEAR(IF(ISNUMBER(A$2:A145),A$2:A145,1))=YEAR(A145))*IF(ISNUMBER(K$2:K145),K$2:K145,0))=0,"",SUMPRODUCT((ISNUMBER(A$2:A145))*(A$2:A145&gt;1000)*(MONTH(IF(ISNUMBER(A$2:A145),A$2:A145,1))=MONTH(A145))*(YEAR(IF(ISNUMBER(A$2:A145),A$2:A145,1))=YEAR(A145))*IF(ISNUMBER(K$2:K145),K$2:K145,0))),""))</f>
        <v/>
      </c>
      <c r="M145" s="21" t="str">
        <f>IF(A145="","",IFERROR(IF(SUMIF(N$2:N145,"CASA",K$2:K145)=0,"",SUMIF(N$2:N145,"CASA",K$2:K145)),""))</f>
        <v/>
      </c>
      <c r="N145" s="17" t="str">
        <f>IF(J145="","",IF(J145=0.2,"CASA",IF(Dati!G145="","",Dati!G145)))</f>
        <v/>
      </c>
    </row>
    <row r="146" spans="1:14" ht="15" customHeight="1" x14ac:dyDescent="0.2">
      <c r="A146" s="23" t="str">
        <f>IF(Dati!A146="","",Dati!A146)</f>
        <v/>
      </c>
      <c r="B146" s="17" t="str">
        <f>IF(Dati!B146="","",Dati!B146)</f>
        <v/>
      </c>
      <c r="C146" s="17" t="str">
        <f>IF(B146="","",IF(ISNUMBER(B145),IF(B146-B145&lt;0,B146,IF(B146-B145=0,"",B146-B145)),B146))</f>
        <v/>
      </c>
      <c r="D146" s="18" t="str">
        <f>IF(Dati!C146="","",IF(Dati!C146&gt;1,Dati!C146/100,Dati!C146))</f>
        <v/>
      </c>
      <c r="E146" s="18" t="str">
        <f>IF(Dati!D146="","",IF(Dati!D146&gt;1,Dati!D146/100,Dati!D146))</f>
        <v/>
      </c>
      <c r="F146" s="18" t="str">
        <f>IF(OR(D146="",E146=""),"",IF(OR(D146&gt;1,E146&gt;1),(E146-D146)/100,E146-D146))</f>
        <v/>
      </c>
      <c r="G146" s="17" t="str">
        <f>IF(F146="","",IF(64*F146=0,"",64*F146))</f>
        <v/>
      </c>
      <c r="H146" s="19" t="str">
        <f>IF(Dati!E146="","",Dati!E146)</f>
        <v/>
      </c>
      <c r="I146" s="19" t="str">
        <f>IFERROR(IF(OR(C146="",C146=0),"",H146/C146*100),"")</f>
        <v/>
      </c>
      <c r="J146" s="20" t="str">
        <f>IF(Dati!F146="","",Dati!F146)</f>
        <v/>
      </c>
      <c r="K146" s="19" t="str">
        <f>IF(OR(H146="",J146=""),"",IF(H146*J146=0,"",H146*J146))</f>
        <v/>
      </c>
      <c r="L146" s="19" t="str">
        <f>IF(A146="","",IFERROR(IF(SUMPRODUCT((ISNUMBER(A$2:A146))*(A$2:A146&gt;1000)*(MONTH(IF(ISNUMBER(A$2:A146),A$2:A146,1))=MONTH(A146))*(YEAR(IF(ISNUMBER(A$2:A146),A$2:A146,1))=YEAR(A146))*IF(ISNUMBER(K$2:K146),K$2:K146,0))=0,"",SUMPRODUCT((ISNUMBER(A$2:A146))*(A$2:A146&gt;1000)*(MONTH(IF(ISNUMBER(A$2:A146),A$2:A146,1))=MONTH(A146))*(YEAR(IF(ISNUMBER(A$2:A146),A$2:A146,1))=YEAR(A146))*IF(ISNUMBER(K$2:K146),K$2:K146,0))),""))</f>
        <v/>
      </c>
      <c r="M146" s="21" t="str">
        <f>IF(A146="","",IFERROR(IF(SUMIF(N$2:N146,"CASA",K$2:K146)=0,"",SUMIF(N$2:N146,"CASA",K$2:K146)),""))</f>
        <v/>
      </c>
      <c r="N146" s="17" t="str">
        <f>IF(J146="","",IF(J146=0.2,"CASA",IF(Dati!G146="","",Dati!G146)))</f>
        <v/>
      </c>
    </row>
    <row r="147" spans="1:14" ht="15" customHeight="1" x14ac:dyDescent="0.2">
      <c r="A147" s="23" t="str">
        <f>IF(Dati!A147="","",Dati!A147)</f>
        <v/>
      </c>
      <c r="B147" s="17" t="str">
        <f>IF(Dati!B147="","",Dati!B147)</f>
        <v/>
      </c>
      <c r="C147" s="17" t="str">
        <f>IF(B147="","",IF(ISNUMBER(B146),IF(B147-B146&lt;0,B147,IF(B147-B146=0,"",B147-B146)),B147))</f>
        <v/>
      </c>
      <c r="D147" s="18" t="str">
        <f>IF(Dati!C147="","",IF(Dati!C147&gt;1,Dati!C147/100,Dati!C147))</f>
        <v/>
      </c>
      <c r="E147" s="18" t="str">
        <f>IF(Dati!D147="","",IF(Dati!D147&gt;1,Dati!D147/100,Dati!D147))</f>
        <v/>
      </c>
      <c r="F147" s="18" t="str">
        <f>IF(OR(D147="",E147=""),"",IF(OR(D147&gt;1,E147&gt;1),(E147-D147)/100,E147-D147))</f>
        <v/>
      </c>
      <c r="G147" s="17" t="str">
        <f>IF(F147="","",IF(64*F147=0,"",64*F147))</f>
        <v/>
      </c>
      <c r="H147" s="19" t="str">
        <f>IF(Dati!E147="","",Dati!E147)</f>
        <v/>
      </c>
      <c r="I147" s="19" t="str">
        <f>IFERROR(IF(OR(C147="",C147=0),"",H147/C147*100),"")</f>
        <v/>
      </c>
      <c r="J147" s="20" t="str">
        <f>IF(Dati!F147="","",Dati!F147)</f>
        <v/>
      </c>
      <c r="K147" s="19" t="str">
        <f>IF(OR(H147="",J147=""),"",IF(H147*J147=0,"",H147*J147))</f>
        <v/>
      </c>
      <c r="L147" s="19" t="str">
        <f>IF(A147="","",IFERROR(IF(SUMPRODUCT((ISNUMBER(A$2:A147))*(A$2:A147&gt;1000)*(MONTH(IF(ISNUMBER(A$2:A147),A$2:A147,1))=MONTH(A147))*(YEAR(IF(ISNUMBER(A$2:A147),A$2:A147,1))=YEAR(A147))*IF(ISNUMBER(K$2:K147),K$2:K147,0))=0,"",SUMPRODUCT((ISNUMBER(A$2:A147))*(A$2:A147&gt;1000)*(MONTH(IF(ISNUMBER(A$2:A147),A$2:A147,1))=MONTH(A147))*(YEAR(IF(ISNUMBER(A$2:A147),A$2:A147,1))=YEAR(A147))*IF(ISNUMBER(K$2:K147),K$2:K147,0))),""))</f>
        <v/>
      </c>
      <c r="M147" s="21" t="str">
        <f>IF(A147="","",IFERROR(IF(SUMIF(N$2:N147,"CASA",K$2:K147)=0,"",SUMIF(N$2:N147,"CASA",K$2:K147)),""))</f>
        <v/>
      </c>
      <c r="N147" s="17" t="str">
        <f>IF(J147="","",IF(J147=0.2,"CASA",IF(Dati!G147="","",Dati!G147)))</f>
        <v/>
      </c>
    </row>
    <row r="148" spans="1:14" ht="15" customHeight="1" x14ac:dyDescent="0.2">
      <c r="A148" s="23" t="str">
        <f>IF(Dati!A148="","",Dati!A148)</f>
        <v/>
      </c>
      <c r="B148" s="17" t="str">
        <f>IF(Dati!B148="","",Dati!B148)</f>
        <v/>
      </c>
      <c r="C148" s="17" t="str">
        <f>IF(B148="","",IF(ISNUMBER(B147),IF(B148-B147&lt;0,B148,IF(B148-B147=0,"",B148-B147)),B148))</f>
        <v/>
      </c>
      <c r="D148" s="18" t="str">
        <f>IF(Dati!C148="","",IF(Dati!C148&gt;1,Dati!C148/100,Dati!C148))</f>
        <v/>
      </c>
      <c r="E148" s="18" t="str">
        <f>IF(Dati!D148="","",IF(Dati!D148&gt;1,Dati!D148/100,Dati!D148))</f>
        <v/>
      </c>
      <c r="F148" s="18" t="str">
        <f>IF(OR(D148="",E148=""),"",IF(OR(D148&gt;1,E148&gt;1),(E148-D148)/100,E148-D148))</f>
        <v/>
      </c>
      <c r="G148" s="17" t="str">
        <f>IF(F148="","",IF(64*F148=0,"",64*F148))</f>
        <v/>
      </c>
      <c r="H148" s="19" t="str">
        <f>IF(Dati!E148="","",Dati!E148)</f>
        <v/>
      </c>
      <c r="I148" s="19" t="str">
        <f>IFERROR(IF(OR(C148="",C148=0),"",H148/C148*100),"")</f>
        <v/>
      </c>
      <c r="J148" s="20" t="str">
        <f>IF(Dati!F148="","",Dati!F148)</f>
        <v/>
      </c>
      <c r="K148" s="19" t="str">
        <f>IF(OR(H148="",J148=""),"",IF(H148*J148=0,"",H148*J148))</f>
        <v/>
      </c>
      <c r="L148" s="19" t="str">
        <f>IF(A148="","",IFERROR(IF(SUMPRODUCT((ISNUMBER(A$2:A148))*(A$2:A148&gt;1000)*(MONTH(IF(ISNUMBER(A$2:A148),A$2:A148,1))=MONTH(A148))*(YEAR(IF(ISNUMBER(A$2:A148),A$2:A148,1))=YEAR(A148))*IF(ISNUMBER(K$2:K148),K$2:K148,0))=0,"",SUMPRODUCT((ISNUMBER(A$2:A148))*(A$2:A148&gt;1000)*(MONTH(IF(ISNUMBER(A$2:A148),A$2:A148,1))=MONTH(A148))*(YEAR(IF(ISNUMBER(A$2:A148),A$2:A148,1))=YEAR(A148))*IF(ISNUMBER(K$2:K148),K$2:K148,0))),""))</f>
        <v/>
      </c>
      <c r="M148" s="21" t="str">
        <f>IF(A148="","",IFERROR(IF(SUMIF(N$2:N148,"CASA",K$2:K148)=0,"",SUMIF(N$2:N148,"CASA",K$2:K148)),""))</f>
        <v/>
      </c>
      <c r="N148" s="17" t="str">
        <f>IF(J148="","",IF(J148=0.2,"CASA",IF(Dati!G148="","",Dati!G148)))</f>
        <v/>
      </c>
    </row>
    <row r="149" spans="1:14" ht="15" customHeight="1" x14ac:dyDescent="0.2">
      <c r="A149" s="23" t="str">
        <f>IF(Dati!A149="","",Dati!A149)</f>
        <v/>
      </c>
      <c r="B149" s="17" t="str">
        <f>IF(Dati!B149="","",Dati!B149)</f>
        <v/>
      </c>
      <c r="C149" s="17" t="str">
        <f>IF(B149="","",IF(ISNUMBER(B148),IF(B149-B148&lt;0,B149,IF(B149-B148=0,"",B149-B148)),B149))</f>
        <v/>
      </c>
      <c r="D149" s="18" t="str">
        <f>IF(Dati!C149="","",IF(Dati!C149&gt;1,Dati!C149/100,Dati!C149))</f>
        <v/>
      </c>
      <c r="E149" s="18" t="str">
        <f>IF(Dati!D149="","",IF(Dati!D149&gt;1,Dati!D149/100,Dati!D149))</f>
        <v/>
      </c>
      <c r="F149" s="18" t="str">
        <f>IF(OR(D149="",E149=""),"",IF(OR(D149&gt;1,E149&gt;1),(E149-D149)/100,E149-D149))</f>
        <v/>
      </c>
      <c r="G149" s="17" t="str">
        <f>IF(F149="","",IF(64*F149=0,"",64*F149))</f>
        <v/>
      </c>
      <c r="H149" s="19" t="str">
        <f>IF(Dati!E149="","",Dati!E149)</f>
        <v/>
      </c>
      <c r="I149" s="19" t="str">
        <f>IFERROR(IF(OR(C149="",C149=0),"",H149/C149*100),"")</f>
        <v/>
      </c>
      <c r="J149" s="20" t="str">
        <f>IF(Dati!F149="","",Dati!F149)</f>
        <v/>
      </c>
      <c r="K149" s="19" t="str">
        <f>IF(OR(H149="",J149=""),"",IF(H149*J149=0,"",H149*J149))</f>
        <v/>
      </c>
      <c r="L149" s="19" t="str">
        <f>IF(A149="","",IFERROR(IF(SUMPRODUCT((ISNUMBER(A$2:A149))*(A$2:A149&gt;1000)*(MONTH(IF(ISNUMBER(A$2:A149),A$2:A149,1))=MONTH(A149))*(YEAR(IF(ISNUMBER(A$2:A149),A$2:A149,1))=YEAR(A149))*IF(ISNUMBER(K$2:K149),K$2:K149,0))=0,"",SUMPRODUCT((ISNUMBER(A$2:A149))*(A$2:A149&gt;1000)*(MONTH(IF(ISNUMBER(A$2:A149),A$2:A149,1))=MONTH(A149))*(YEAR(IF(ISNUMBER(A$2:A149),A$2:A149,1))=YEAR(A149))*IF(ISNUMBER(K$2:K149),K$2:K149,0))),""))</f>
        <v/>
      </c>
      <c r="M149" s="21" t="str">
        <f>IF(A149="","",IFERROR(IF(SUMIF(N$2:N149,"CASA",K$2:K149)=0,"",SUMIF(N$2:N149,"CASA",K$2:K149)),""))</f>
        <v/>
      </c>
      <c r="N149" s="17" t="str">
        <f>IF(J149="","",IF(J149=0.2,"CASA",IF(Dati!G149="","",Dati!G149)))</f>
        <v/>
      </c>
    </row>
    <row r="150" spans="1:14" ht="15" customHeight="1" x14ac:dyDescent="0.2">
      <c r="A150" s="23" t="str">
        <f>IF(Dati!A150="","",Dati!A150)</f>
        <v/>
      </c>
      <c r="B150" s="17" t="str">
        <f>IF(Dati!B150="","",Dati!B150)</f>
        <v/>
      </c>
      <c r="C150" s="17" t="str">
        <f>IF(B150="","",IF(ISNUMBER(B149),IF(B150-B149&lt;0,B150,IF(B150-B149=0,"",B150-B149)),B150))</f>
        <v/>
      </c>
      <c r="D150" s="18" t="str">
        <f>IF(Dati!C150="","",IF(Dati!C150&gt;1,Dati!C150/100,Dati!C150))</f>
        <v/>
      </c>
      <c r="E150" s="18" t="str">
        <f>IF(Dati!D150="","",IF(Dati!D150&gt;1,Dati!D150/100,Dati!D150))</f>
        <v/>
      </c>
      <c r="F150" s="18" t="str">
        <f>IF(OR(D150="",E150=""),"",IF(OR(D150&gt;1,E150&gt;1),(E150-D150)/100,E150-D150))</f>
        <v/>
      </c>
      <c r="G150" s="17" t="str">
        <f>IF(F150="","",IF(64*F150=0,"",64*F150))</f>
        <v/>
      </c>
      <c r="H150" s="19" t="str">
        <f>IF(Dati!E150="","",Dati!E150)</f>
        <v/>
      </c>
      <c r="I150" s="19" t="str">
        <f>IFERROR(IF(OR(C150="",C150=0),"",H150/C150*100),"")</f>
        <v/>
      </c>
      <c r="J150" s="20" t="str">
        <f>IF(Dati!F150="","",Dati!F150)</f>
        <v/>
      </c>
      <c r="K150" s="19" t="str">
        <f>IF(OR(H150="",J150=""),"",IF(H150*J150=0,"",H150*J150))</f>
        <v/>
      </c>
      <c r="L150" s="19" t="str">
        <f>IF(A150="","",IFERROR(IF(SUMPRODUCT((ISNUMBER(A$2:A150))*(A$2:A150&gt;1000)*(MONTH(IF(ISNUMBER(A$2:A150),A$2:A150,1))=MONTH(A150))*(YEAR(IF(ISNUMBER(A$2:A150),A$2:A150,1))=YEAR(A150))*IF(ISNUMBER(K$2:K150),K$2:K150,0))=0,"",SUMPRODUCT((ISNUMBER(A$2:A150))*(A$2:A150&gt;1000)*(MONTH(IF(ISNUMBER(A$2:A150),A$2:A150,1))=MONTH(A150))*(YEAR(IF(ISNUMBER(A$2:A150),A$2:A150,1))=YEAR(A150))*IF(ISNUMBER(K$2:K150),K$2:K150,0))),""))</f>
        <v/>
      </c>
      <c r="M150" s="21" t="str">
        <f>IF(A150="","",IFERROR(IF(SUMIF(N$2:N150,"CASA",K$2:K150)=0,"",SUMIF(N$2:N150,"CASA",K$2:K150)),""))</f>
        <v/>
      </c>
      <c r="N150" s="17" t="str">
        <f>IF(J150="","",IF(J150=0.2,"CASA",IF(Dati!G150="","",Dati!G150)))</f>
        <v/>
      </c>
    </row>
    <row r="151" spans="1:14" ht="15" customHeight="1" x14ac:dyDescent="0.2">
      <c r="A151" s="23" t="str">
        <f>IF(Dati!A151="","",Dati!A151)</f>
        <v/>
      </c>
      <c r="B151" s="17" t="str">
        <f>IF(Dati!B151="","",Dati!B151)</f>
        <v/>
      </c>
      <c r="C151" s="17" t="str">
        <f>IF(B151="","",IF(ISNUMBER(B150),IF(B151-B150&lt;0,B151,IF(B151-B150=0,"",B151-B150)),B151))</f>
        <v/>
      </c>
      <c r="D151" s="18" t="str">
        <f>IF(Dati!C151="","",IF(Dati!C151&gt;1,Dati!C151/100,Dati!C151))</f>
        <v/>
      </c>
      <c r="E151" s="18" t="str">
        <f>IF(Dati!D151="","",IF(Dati!D151&gt;1,Dati!D151/100,Dati!D151))</f>
        <v/>
      </c>
      <c r="F151" s="18" t="str">
        <f>IF(OR(D151="",E151=""),"",IF(OR(D151&gt;1,E151&gt;1),(E151-D151)/100,E151-D151))</f>
        <v/>
      </c>
      <c r="G151" s="17" t="str">
        <f>IF(F151="","",IF(64*F151=0,"",64*F151))</f>
        <v/>
      </c>
      <c r="H151" s="19" t="str">
        <f>IF(Dati!E151="","",Dati!E151)</f>
        <v/>
      </c>
      <c r="I151" s="19" t="str">
        <f>IFERROR(IF(OR(C151="",C151=0),"",H151/C151*100),"")</f>
        <v/>
      </c>
      <c r="J151" s="20" t="str">
        <f>IF(Dati!F151="","",Dati!F151)</f>
        <v/>
      </c>
      <c r="K151" s="19" t="str">
        <f>IF(OR(H151="",J151=""),"",IF(H151*J151=0,"",H151*J151))</f>
        <v/>
      </c>
      <c r="L151" s="19" t="str">
        <f>IF(A151="","",IFERROR(IF(SUMPRODUCT((ISNUMBER(A$2:A151))*(A$2:A151&gt;1000)*(MONTH(IF(ISNUMBER(A$2:A151),A$2:A151,1))=MONTH(A151))*(YEAR(IF(ISNUMBER(A$2:A151),A$2:A151,1))=YEAR(A151))*IF(ISNUMBER(K$2:K151),K$2:K151,0))=0,"",SUMPRODUCT((ISNUMBER(A$2:A151))*(A$2:A151&gt;1000)*(MONTH(IF(ISNUMBER(A$2:A151),A$2:A151,1))=MONTH(A151))*(YEAR(IF(ISNUMBER(A$2:A151),A$2:A151,1))=YEAR(A151))*IF(ISNUMBER(K$2:K151),K$2:K151,0))),""))</f>
        <v/>
      </c>
      <c r="M151" s="21" t="str">
        <f>IF(A151="","",IFERROR(IF(SUMIF(N$2:N151,"CASA",K$2:K151)=0,"",SUMIF(N$2:N151,"CASA",K$2:K151)),""))</f>
        <v/>
      </c>
      <c r="N151" s="17" t="str">
        <f>IF(J151="","",IF(J151=0.2,"CASA",IF(Dati!G151="","",Dati!G151)))</f>
        <v/>
      </c>
    </row>
    <row r="152" spans="1:14" ht="15" customHeight="1" x14ac:dyDescent="0.2">
      <c r="A152" s="23" t="str">
        <f>IF(Dati!A152="","",Dati!A152)</f>
        <v/>
      </c>
      <c r="B152" s="17" t="str">
        <f>IF(Dati!B152="","",Dati!B152)</f>
        <v/>
      </c>
      <c r="C152" s="17" t="str">
        <f>IF(B152="","",IF(ISNUMBER(B151),IF(B152-B151&lt;0,B152,IF(B152-B151=0,"",B152-B151)),B152))</f>
        <v/>
      </c>
      <c r="D152" s="18" t="str">
        <f>IF(Dati!C152="","",IF(Dati!C152&gt;1,Dati!C152/100,Dati!C152))</f>
        <v/>
      </c>
      <c r="E152" s="18" t="str">
        <f>IF(Dati!D152="","",IF(Dati!D152&gt;1,Dati!D152/100,Dati!D152))</f>
        <v/>
      </c>
      <c r="F152" s="18" t="str">
        <f>IF(OR(D152="",E152=""),"",IF(OR(D152&gt;1,E152&gt;1),(E152-D152)/100,E152-D152))</f>
        <v/>
      </c>
      <c r="G152" s="17" t="str">
        <f>IF(F152="","",IF(64*F152=0,"",64*F152))</f>
        <v/>
      </c>
      <c r="H152" s="19" t="str">
        <f>IF(Dati!E152="","",Dati!E152)</f>
        <v/>
      </c>
      <c r="I152" s="19" t="str">
        <f>IFERROR(IF(OR(C152="",C152=0),"",H152/C152*100),"")</f>
        <v/>
      </c>
      <c r="J152" s="20" t="str">
        <f>IF(Dati!F152="","",Dati!F152)</f>
        <v/>
      </c>
      <c r="K152" s="19" t="str">
        <f>IF(OR(H152="",J152=""),"",IF(H152*J152=0,"",H152*J152))</f>
        <v/>
      </c>
      <c r="L152" s="19" t="str">
        <f>IF(A152="","",IFERROR(IF(SUMPRODUCT((ISNUMBER(A$2:A152))*(A$2:A152&gt;1000)*(MONTH(IF(ISNUMBER(A$2:A152),A$2:A152,1))=MONTH(A152))*(YEAR(IF(ISNUMBER(A$2:A152),A$2:A152,1))=YEAR(A152))*IF(ISNUMBER(K$2:K152),K$2:K152,0))=0,"",SUMPRODUCT((ISNUMBER(A$2:A152))*(A$2:A152&gt;1000)*(MONTH(IF(ISNUMBER(A$2:A152),A$2:A152,1))=MONTH(A152))*(YEAR(IF(ISNUMBER(A$2:A152),A$2:A152,1))=YEAR(A152))*IF(ISNUMBER(K$2:K152),K$2:K152,0))),""))</f>
        <v/>
      </c>
      <c r="M152" s="21" t="str">
        <f>IF(A152="","",IFERROR(IF(SUMIF(N$2:N152,"CASA",K$2:K152)=0,"",SUMIF(N$2:N152,"CASA",K$2:K152)),""))</f>
        <v/>
      </c>
      <c r="N152" s="17" t="str">
        <f>IF(J152="","",IF(J152=0.2,"CASA",IF(Dati!G152="","",Dati!G152)))</f>
        <v/>
      </c>
    </row>
    <row r="153" spans="1:14" ht="15" customHeight="1" x14ac:dyDescent="0.2">
      <c r="A153" s="23" t="str">
        <f>IF(Dati!A153="","",Dati!A153)</f>
        <v/>
      </c>
      <c r="B153" s="17" t="str">
        <f>IF(Dati!B153="","",Dati!B153)</f>
        <v/>
      </c>
      <c r="C153" s="17" t="str">
        <f>IF(B153="","",IF(ISNUMBER(B152),IF(B153-B152&lt;0,B153,IF(B153-B152=0,"",B153-B152)),B153))</f>
        <v/>
      </c>
      <c r="D153" s="18" t="str">
        <f>IF(Dati!C153="","",IF(Dati!C153&gt;1,Dati!C153/100,Dati!C153))</f>
        <v/>
      </c>
      <c r="E153" s="18" t="str">
        <f>IF(Dati!D153="","",IF(Dati!D153&gt;1,Dati!D153/100,Dati!D153))</f>
        <v/>
      </c>
      <c r="F153" s="18" t="str">
        <f>IF(OR(D153="",E153=""),"",IF(OR(D153&gt;1,E153&gt;1),(E153-D153)/100,E153-D153))</f>
        <v/>
      </c>
      <c r="G153" s="17" t="str">
        <f>IF(F153="","",IF(64*F153=0,"",64*F153))</f>
        <v/>
      </c>
      <c r="H153" s="19" t="str">
        <f>IF(Dati!E153="","",Dati!E153)</f>
        <v/>
      </c>
      <c r="I153" s="19" t="str">
        <f>IFERROR(IF(OR(C153="",C153=0),"",H153/C153*100),"")</f>
        <v/>
      </c>
      <c r="J153" s="20" t="str">
        <f>IF(Dati!F153="","",Dati!F153)</f>
        <v/>
      </c>
      <c r="K153" s="19" t="str">
        <f>IF(OR(H153="",J153=""),"",IF(H153*J153=0,"",H153*J153))</f>
        <v/>
      </c>
      <c r="L153" s="19" t="str">
        <f>IF(A153="","",IFERROR(IF(SUMPRODUCT((ISNUMBER(A$2:A153))*(A$2:A153&gt;1000)*(MONTH(IF(ISNUMBER(A$2:A153),A$2:A153,1))=MONTH(A153))*(YEAR(IF(ISNUMBER(A$2:A153),A$2:A153,1))=YEAR(A153))*IF(ISNUMBER(K$2:K153),K$2:K153,0))=0,"",SUMPRODUCT((ISNUMBER(A$2:A153))*(A$2:A153&gt;1000)*(MONTH(IF(ISNUMBER(A$2:A153),A$2:A153,1))=MONTH(A153))*(YEAR(IF(ISNUMBER(A$2:A153),A$2:A153,1))=YEAR(A153))*IF(ISNUMBER(K$2:K153),K$2:K153,0))),""))</f>
        <v/>
      </c>
      <c r="M153" s="21" t="str">
        <f>IF(A153="","",IFERROR(IF(SUMIF(N$2:N153,"CASA",K$2:K153)=0,"",SUMIF(N$2:N153,"CASA",K$2:K153)),""))</f>
        <v/>
      </c>
      <c r="N153" s="17" t="str">
        <f>IF(J153="","",IF(J153=0.2,"CASA",IF(Dati!G153="","",Dati!G153)))</f>
        <v/>
      </c>
    </row>
    <row r="154" spans="1:14" ht="15" customHeight="1" x14ac:dyDescent="0.2">
      <c r="A154" s="23" t="str">
        <f>IF(Dati!A154="","",Dati!A154)</f>
        <v/>
      </c>
      <c r="B154" s="17" t="str">
        <f>IF(Dati!B154="","",Dati!B154)</f>
        <v/>
      </c>
      <c r="C154" s="17" t="str">
        <f>IF(B154="","",IF(ISNUMBER(B153),IF(B154-B153&lt;0,B154,IF(B154-B153=0,"",B154-B153)),B154))</f>
        <v/>
      </c>
      <c r="D154" s="18" t="str">
        <f>IF(Dati!C154="","",IF(Dati!C154&gt;1,Dati!C154/100,Dati!C154))</f>
        <v/>
      </c>
      <c r="E154" s="18" t="str">
        <f>IF(Dati!D154="","",IF(Dati!D154&gt;1,Dati!D154/100,Dati!D154))</f>
        <v/>
      </c>
      <c r="F154" s="18" t="str">
        <f>IF(OR(D154="",E154=""),"",IF(OR(D154&gt;1,E154&gt;1),(E154-D154)/100,E154-D154))</f>
        <v/>
      </c>
      <c r="G154" s="17" t="str">
        <f>IF(F154="","",IF(64*F154=0,"",64*F154))</f>
        <v/>
      </c>
      <c r="H154" s="19" t="str">
        <f>IF(Dati!E154="","",Dati!E154)</f>
        <v/>
      </c>
      <c r="I154" s="19" t="str">
        <f>IFERROR(IF(OR(C154="",C154=0),"",H154/C154*100),"")</f>
        <v/>
      </c>
      <c r="J154" s="20" t="str">
        <f>IF(Dati!F154="","",Dati!F154)</f>
        <v/>
      </c>
      <c r="K154" s="19" t="str">
        <f>IF(OR(H154="",J154=""),"",IF(H154*J154=0,"",H154*J154))</f>
        <v/>
      </c>
      <c r="L154" s="19" t="str">
        <f>IF(A154="","",IFERROR(IF(SUMPRODUCT((ISNUMBER(A$2:A154))*(A$2:A154&gt;1000)*(MONTH(IF(ISNUMBER(A$2:A154),A$2:A154,1))=MONTH(A154))*(YEAR(IF(ISNUMBER(A$2:A154),A$2:A154,1))=YEAR(A154))*IF(ISNUMBER(K$2:K154),K$2:K154,0))=0,"",SUMPRODUCT((ISNUMBER(A$2:A154))*(A$2:A154&gt;1000)*(MONTH(IF(ISNUMBER(A$2:A154),A$2:A154,1))=MONTH(A154))*(YEAR(IF(ISNUMBER(A$2:A154),A$2:A154,1))=YEAR(A154))*IF(ISNUMBER(K$2:K154),K$2:K154,0))),""))</f>
        <v/>
      </c>
      <c r="M154" s="21" t="str">
        <f>IF(A154="","",IFERROR(IF(SUMIF(N$2:N154,"CASA",K$2:K154)=0,"",SUMIF(N$2:N154,"CASA",K$2:K154)),""))</f>
        <v/>
      </c>
      <c r="N154" s="17" t="str">
        <f>IF(J154="","",IF(J154=0.2,"CASA",IF(Dati!G154="","",Dati!G154)))</f>
        <v/>
      </c>
    </row>
    <row r="155" spans="1:14" ht="15" customHeight="1" x14ac:dyDescent="0.2">
      <c r="A155" s="23" t="str">
        <f>IF(Dati!A155="","",Dati!A155)</f>
        <v/>
      </c>
      <c r="B155" s="17" t="str">
        <f>IF(Dati!B155="","",Dati!B155)</f>
        <v/>
      </c>
      <c r="C155" s="17" t="str">
        <f>IF(B155="","",IF(ISNUMBER(B154),IF(B155-B154&lt;0,B155,IF(B155-B154=0,"",B155-B154)),B155))</f>
        <v/>
      </c>
      <c r="D155" s="18" t="str">
        <f>IF(Dati!C155="","",IF(Dati!C155&gt;1,Dati!C155/100,Dati!C155))</f>
        <v/>
      </c>
      <c r="E155" s="18" t="str">
        <f>IF(Dati!D155="","",IF(Dati!D155&gt;1,Dati!D155/100,Dati!D155))</f>
        <v/>
      </c>
      <c r="F155" s="18" t="str">
        <f>IF(OR(D155="",E155=""),"",IF(OR(D155&gt;1,E155&gt;1),(E155-D155)/100,E155-D155))</f>
        <v/>
      </c>
      <c r="G155" s="17" t="str">
        <f>IF(F155="","",IF(64*F155=0,"",64*F155))</f>
        <v/>
      </c>
      <c r="H155" s="19" t="str">
        <f>IF(Dati!E155="","",Dati!E155)</f>
        <v/>
      </c>
      <c r="I155" s="19" t="str">
        <f>IFERROR(IF(OR(C155="",C155=0),"",H155/C155*100),"")</f>
        <v/>
      </c>
      <c r="J155" s="20" t="str">
        <f>IF(Dati!F155="","",Dati!F155)</f>
        <v/>
      </c>
      <c r="K155" s="19" t="str">
        <f>IF(OR(H155="",J155=""),"",IF(H155*J155=0,"",H155*J155))</f>
        <v/>
      </c>
      <c r="L155" s="19" t="str">
        <f>IF(A155="","",IFERROR(IF(SUMPRODUCT((ISNUMBER(A$2:A155))*(A$2:A155&gt;1000)*(MONTH(IF(ISNUMBER(A$2:A155),A$2:A155,1))=MONTH(A155))*(YEAR(IF(ISNUMBER(A$2:A155),A$2:A155,1))=YEAR(A155))*IF(ISNUMBER(K$2:K155),K$2:K155,0))=0,"",SUMPRODUCT((ISNUMBER(A$2:A155))*(A$2:A155&gt;1000)*(MONTH(IF(ISNUMBER(A$2:A155),A$2:A155,1))=MONTH(A155))*(YEAR(IF(ISNUMBER(A$2:A155),A$2:A155,1))=YEAR(A155))*IF(ISNUMBER(K$2:K155),K$2:K155,0))),""))</f>
        <v/>
      </c>
      <c r="M155" s="21" t="str">
        <f>IF(A155="","",IFERROR(IF(SUMIF(N$2:N155,"CASA",K$2:K155)=0,"",SUMIF(N$2:N155,"CASA",K$2:K155)),""))</f>
        <v/>
      </c>
      <c r="N155" s="17" t="str">
        <f>IF(J155="","",IF(J155=0.2,"CASA",IF(Dati!G155="","",Dati!G155)))</f>
        <v/>
      </c>
    </row>
    <row r="156" spans="1:14" ht="15" customHeight="1" x14ac:dyDescent="0.2">
      <c r="A156" s="23" t="str">
        <f>IF(Dati!A156="","",Dati!A156)</f>
        <v/>
      </c>
      <c r="B156" s="17" t="str">
        <f>IF(Dati!B156="","",Dati!B156)</f>
        <v/>
      </c>
      <c r="C156" s="17" t="str">
        <f>IF(B156="","",IF(ISNUMBER(B155),IF(B156-B155&lt;0,B156,IF(B156-B155=0,"",B156-B155)),B156))</f>
        <v/>
      </c>
      <c r="D156" s="18" t="str">
        <f>IF(Dati!C156="","",IF(Dati!C156&gt;1,Dati!C156/100,Dati!C156))</f>
        <v/>
      </c>
      <c r="E156" s="18" t="str">
        <f>IF(Dati!D156="","",IF(Dati!D156&gt;1,Dati!D156/100,Dati!D156))</f>
        <v/>
      </c>
      <c r="F156" s="18" t="str">
        <f>IF(OR(D156="",E156=""),"",IF(OR(D156&gt;1,E156&gt;1),(E156-D156)/100,E156-D156))</f>
        <v/>
      </c>
      <c r="G156" s="17" t="str">
        <f>IF(F156="","",IF(64*F156=0,"",64*F156))</f>
        <v/>
      </c>
      <c r="H156" s="19" t="str">
        <f>IF(Dati!E156="","",Dati!E156)</f>
        <v/>
      </c>
      <c r="I156" s="19" t="str">
        <f>IFERROR(IF(OR(C156="",C156=0),"",H156/C156*100),"")</f>
        <v/>
      </c>
      <c r="J156" s="20" t="str">
        <f>IF(Dati!F156="","",Dati!F156)</f>
        <v/>
      </c>
      <c r="K156" s="19" t="str">
        <f>IF(OR(H156="",J156=""),"",IF(H156*J156=0,"",H156*J156))</f>
        <v/>
      </c>
      <c r="L156" s="19" t="str">
        <f>IF(A156="","",IFERROR(IF(SUMPRODUCT((ISNUMBER(A$2:A156))*(A$2:A156&gt;1000)*(MONTH(IF(ISNUMBER(A$2:A156),A$2:A156,1))=MONTH(A156))*(YEAR(IF(ISNUMBER(A$2:A156),A$2:A156,1))=YEAR(A156))*IF(ISNUMBER(K$2:K156),K$2:K156,0))=0,"",SUMPRODUCT((ISNUMBER(A$2:A156))*(A$2:A156&gt;1000)*(MONTH(IF(ISNUMBER(A$2:A156),A$2:A156,1))=MONTH(A156))*(YEAR(IF(ISNUMBER(A$2:A156),A$2:A156,1))=YEAR(A156))*IF(ISNUMBER(K$2:K156),K$2:K156,0))),""))</f>
        <v/>
      </c>
      <c r="M156" s="21" t="str">
        <f>IF(A156="","",IFERROR(IF(SUMIF(N$2:N156,"CASA",K$2:K156)=0,"",SUMIF(N$2:N156,"CASA",K$2:K156)),""))</f>
        <v/>
      </c>
      <c r="N156" s="17" t="str">
        <f>IF(J156="","",IF(J156=0.2,"CASA",IF(Dati!G156="","",Dati!G156)))</f>
        <v/>
      </c>
    </row>
    <row r="157" spans="1:14" ht="15" customHeight="1" x14ac:dyDescent="0.2">
      <c r="A157" s="23" t="str">
        <f>IF(Dati!A157="","",Dati!A157)</f>
        <v/>
      </c>
      <c r="B157" s="17" t="str">
        <f>IF(Dati!B157="","",Dati!B157)</f>
        <v/>
      </c>
      <c r="C157" s="17" t="str">
        <f>IF(B157="","",IF(ISNUMBER(B156),IF(B157-B156&lt;0,B157,IF(B157-B156=0,"",B157-B156)),B157))</f>
        <v/>
      </c>
      <c r="D157" s="18" t="str">
        <f>IF(Dati!C157="","",IF(Dati!C157&gt;1,Dati!C157/100,Dati!C157))</f>
        <v/>
      </c>
      <c r="E157" s="18" t="str">
        <f>IF(Dati!D157="","",IF(Dati!D157&gt;1,Dati!D157/100,Dati!D157))</f>
        <v/>
      </c>
      <c r="F157" s="18" t="str">
        <f>IF(OR(D157="",E157=""),"",IF(OR(D157&gt;1,E157&gt;1),(E157-D157)/100,E157-D157))</f>
        <v/>
      </c>
      <c r="G157" s="17" t="str">
        <f>IF(F157="","",IF(64*F157=0,"",64*F157))</f>
        <v/>
      </c>
      <c r="H157" s="19" t="str">
        <f>IF(Dati!E157="","",Dati!E157)</f>
        <v/>
      </c>
      <c r="I157" s="19" t="str">
        <f>IFERROR(IF(OR(C157="",C157=0),"",H157/C157*100),"")</f>
        <v/>
      </c>
      <c r="J157" s="20" t="str">
        <f>IF(Dati!F157="","",Dati!F157)</f>
        <v/>
      </c>
      <c r="K157" s="19" t="str">
        <f>IF(OR(H157="",J157=""),"",IF(H157*J157=0,"",H157*J157))</f>
        <v/>
      </c>
      <c r="L157" s="19" t="str">
        <f>IF(A157="","",IFERROR(IF(SUMPRODUCT((ISNUMBER(A$2:A157))*(A$2:A157&gt;1000)*(MONTH(IF(ISNUMBER(A$2:A157),A$2:A157,1))=MONTH(A157))*(YEAR(IF(ISNUMBER(A$2:A157),A$2:A157,1))=YEAR(A157))*IF(ISNUMBER(K$2:K157),K$2:K157,0))=0,"",SUMPRODUCT((ISNUMBER(A$2:A157))*(A$2:A157&gt;1000)*(MONTH(IF(ISNUMBER(A$2:A157),A$2:A157,1))=MONTH(A157))*(YEAR(IF(ISNUMBER(A$2:A157),A$2:A157,1))=YEAR(A157))*IF(ISNUMBER(K$2:K157),K$2:K157,0))),""))</f>
        <v/>
      </c>
      <c r="M157" s="21" t="str">
        <f>IF(A157="","",IFERROR(IF(SUMIF(N$2:N157,"CASA",K$2:K157)=0,"",SUMIF(N$2:N157,"CASA",K$2:K157)),""))</f>
        <v/>
      </c>
      <c r="N157" s="17" t="str">
        <f>IF(J157="","",IF(J157=0.2,"CASA",IF(Dati!G157="","",Dati!G157)))</f>
        <v/>
      </c>
    </row>
    <row r="158" spans="1:14" ht="15" customHeight="1" x14ac:dyDescent="0.2">
      <c r="A158" s="23" t="str">
        <f>IF(Dati!A158="","",Dati!A158)</f>
        <v/>
      </c>
      <c r="B158" s="17" t="str">
        <f>IF(Dati!B158="","",Dati!B158)</f>
        <v/>
      </c>
      <c r="C158" s="17" t="str">
        <f>IF(B158="","",IF(ISNUMBER(B157),IF(B158-B157&lt;0,B158,IF(B158-B157=0,"",B158-B157)),B158))</f>
        <v/>
      </c>
      <c r="D158" s="18" t="str">
        <f>IF(Dati!C158="","",IF(Dati!C158&gt;1,Dati!C158/100,Dati!C158))</f>
        <v/>
      </c>
      <c r="E158" s="18" t="str">
        <f>IF(Dati!D158="","",IF(Dati!D158&gt;1,Dati!D158/100,Dati!D158))</f>
        <v/>
      </c>
      <c r="F158" s="18" t="str">
        <f>IF(OR(D158="",E158=""),"",IF(OR(D158&gt;1,E158&gt;1),(E158-D158)/100,E158-D158))</f>
        <v/>
      </c>
      <c r="G158" s="17" t="str">
        <f>IF(F158="","",IF(64*F158=0,"",64*F158))</f>
        <v/>
      </c>
      <c r="H158" s="19" t="str">
        <f>IF(Dati!E158="","",Dati!E158)</f>
        <v/>
      </c>
      <c r="I158" s="19" t="str">
        <f>IFERROR(IF(OR(C158="",C158=0),"",H158/C158*100),"")</f>
        <v/>
      </c>
      <c r="J158" s="20" t="str">
        <f>IF(Dati!F158="","",Dati!F158)</f>
        <v/>
      </c>
      <c r="K158" s="19" t="str">
        <f>IF(OR(H158="",J158=""),"",IF(H158*J158=0,"",H158*J158))</f>
        <v/>
      </c>
      <c r="L158" s="19" t="str">
        <f>IF(A158="","",IFERROR(IF(SUMPRODUCT((ISNUMBER(A$2:A158))*(A$2:A158&gt;1000)*(MONTH(IF(ISNUMBER(A$2:A158),A$2:A158,1))=MONTH(A158))*(YEAR(IF(ISNUMBER(A$2:A158),A$2:A158,1))=YEAR(A158))*IF(ISNUMBER(K$2:K158),K$2:K158,0))=0,"",SUMPRODUCT((ISNUMBER(A$2:A158))*(A$2:A158&gt;1000)*(MONTH(IF(ISNUMBER(A$2:A158),A$2:A158,1))=MONTH(A158))*(YEAR(IF(ISNUMBER(A$2:A158),A$2:A158,1))=YEAR(A158))*IF(ISNUMBER(K$2:K158),K$2:K158,0))),""))</f>
        <v/>
      </c>
      <c r="M158" s="21" t="str">
        <f>IF(A158="","",IFERROR(IF(SUMIF(N$2:N158,"CASA",K$2:K158)=0,"",SUMIF(N$2:N158,"CASA",K$2:K158)),""))</f>
        <v/>
      </c>
      <c r="N158" s="17" t="str">
        <f>IF(J158="","",IF(J158=0.2,"CASA",IF(Dati!G158="","",Dati!G158)))</f>
        <v/>
      </c>
    </row>
    <row r="159" spans="1:14" ht="15" customHeight="1" x14ac:dyDescent="0.2">
      <c r="A159" s="23" t="str">
        <f>IF(Dati!A159="","",Dati!A159)</f>
        <v/>
      </c>
      <c r="B159" s="17" t="str">
        <f>IF(Dati!B159="","",Dati!B159)</f>
        <v/>
      </c>
      <c r="C159" s="17" t="str">
        <f>IF(B159="","",IF(ISNUMBER(B158),IF(B159-B158&lt;0,B159,IF(B159-B158=0,"",B159-B158)),B159))</f>
        <v/>
      </c>
      <c r="D159" s="18" t="str">
        <f>IF(Dati!C159="","",IF(Dati!C159&gt;1,Dati!C159/100,Dati!C159))</f>
        <v/>
      </c>
      <c r="E159" s="18" t="str">
        <f>IF(Dati!D159="","",IF(Dati!D159&gt;1,Dati!D159/100,Dati!D159))</f>
        <v/>
      </c>
      <c r="F159" s="18" t="str">
        <f>IF(OR(D159="",E159=""),"",IF(OR(D159&gt;1,E159&gt;1),(E159-D159)/100,E159-D159))</f>
        <v/>
      </c>
      <c r="G159" s="17" t="str">
        <f>IF(F159="","",IF(64*F159=0,"",64*F159))</f>
        <v/>
      </c>
      <c r="H159" s="19" t="str">
        <f>IF(Dati!E159="","",Dati!E159)</f>
        <v/>
      </c>
      <c r="I159" s="19" t="str">
        <f>IFERROR(IF(OR(C159="",C159=0),"",H159/C159*100),"")</f>
        <v/>
      </c>
      <c r="J159" s="20" t="str">
        <f>IF(Dati!F159="","",Dati!F159)</f>
        <v/>
      </c>
      <c r="K159" s="19" t="str">
        <f>IF(OR(H159="",J159=""),"",IF(H159*J159=0,"",H159*J159))</f>
        <v/>
      </c>
      <c r="L159" s="19" t="str">
        <f>IF(A159="","",IFERROR(IF(SUMPRODUCT((ISNUMBER(A$2:A159))*(A$2:A159&gt;1000)*(MONTH(IF(ISNUMBER(A$2:A159),A$2:A159,1))=MONTH(A159))*(YEAR(IF(ISNUMBER(A$2:A159),A$2:A159,1))=YEAR(A159))*IF(ISNUMBER(K$2:K159),K$2:K159,0))=0,"",SUMPRODUCT((ISNUMBER(A$2:A159))*(A$2:A159&gt;1000)*(MONTH(IF(ISNUMBER(A$2:A159),A$2:A159,1))=MONTH(A159))*(YEAR(IF(ISNUMBER(A$2:A159),A$2:A159,1))=YEAR(A159))*IF(ISNUMBER(K$2:K159),K$2:K159,0))),""))</f>
        <v/>
      </c>
      <c r="M159" s="21" t="str">
        <f>IF(A159="","",IFERROR(IF(SUMIF(N$2:N159,"CASA",K$2:K159)=0,"",SUMIF(N$2:N159,"CASA",K$2:K159)),""))</f>
        <v/>
      </c>
      <c r="N159" s="17" t="str">
        <f>IF(J159="","",IF(J159=0.2,"CASA",IF(Dati!G159="","",Dati!G159)))</f>
        <v/>
      </c>
    </row>
    <row r="160" spans="1:14" ht="15" customHeight="1" x14ac:dyDescent="0.2">
      <c r="A160" s="23" t="str">
        <f>IF(Dati!A160="","",Dati!A160)</f>
        <v/>
      </c>
      <c r="B160" s="17" t="str">
        <f>IF(Dati!B160="","",Dati!B160)</f>
        <v/>
      </c>
      <c r="C160" s="17" t="str">
        <f>IF(B160="","",IF(ISNUMBER(B159),IF(B160-B159&lt;0,B160,IF(B160-B159=0,"",B160-B159)),B160))</f>
        <v/>
      </c>
      <c r="D160" s="18" t="str">
        <f>IF(Dati!C160="","",IF(Dati!C160&gt;1,Dati!C160/100,Dati!C160))</f>
        <v/>
      </c>
      <c r="E160" s="18" t="str">
        <f>IF(Dati!D160="","",IF(Dati!D160&gt;1,Dati!D160/100,Dati!D160))</f>
        <v/>
      </c>
      <c r="F160" s="18" t="str">
        <f>IF(OR(D160="",E160=""),"",IF(OR(D160&gt;1,E160&gt;1),(E160-D160)/100,E160-D160))</f>
        <v/>
      </c>
      <c r="G160" s="17" t="str">
        <f>IF(F160="","",IF(64*F160=0,"",64*F160))</f>
        <v/>
      </c>
      <c r="H160" s="19" t="str">
        <f>IF(Dati!E160="","",Dati!E160)</f>
        <v/>
      </c>
      <c r="I160" s="19" t="str">
        <f>IFERROR(IF(OR(C160="",C160=0),"",H160/C160*100),"")</f>
        <v/>
      </c>
      <c r="J160" s="20" t="str">
        <f>IF(Dati!F160="","",Dati!F160)</f>
        <v/>
      </c>
      <c r="K160" s="19" t="str">
        <f>IF(OR(H160="",J160=""),"",IF(H160*J160=0,"",H160*J160))</f>
        <v/>
      </c>
      <c r="L160" s="19" t="str">
        <f>IF(A160="","",IFERROR(IF(SUMPRODUCT((ISNUMBER(A$2:A160))*(A$2:A160&gt;1000)*(MONTH(IF(ISNUMBER(A$2:A160),A$2:A160,1))=MONTH(A160))*(YEAR(IF(ISNUMBER(A$2:A160),A$2:A160,1))=YEAR(A160))*IF(ISNUMBER(K$2:K160),K$2:K160,0))=0,"",SUMPRODUCT((ISNUMBER(A$2:A160))*(A$2:A160&gt;1000)*(MONTH(IF(ISNUMBER(A$2:A160),A$2:A160,1))=MONTH(A160))*(YEAR(IF(ISNUMBER(A$2:A160),A$2:A160,1))=YEAR(A160))*IF(ISNUMBER(K$2:K160),K$2:K160,0))),""))</f>
        <v/>
      </c>
      <c r="M160" s="21" t="str">
        <f>IF(A160="","",IFERROR(IF(SUMIF(N$2:N160,"CASA",K$2:K160)=0,"",SUMIF(N$2:N160,"CASA",K$2:K160)),""))</f>
        <v/>
      </c>
      <c r="N160" s="17" t="str">
        <f>IF(J160="","",IF(J160=0.2,"CASA",IF(Dati!G160="","",Dati!G160)))</f>
        <v/>
      </c>
    </row>
    <row r="161" spans="1:14" ht="15" customHeight="1" x14ac:dyDescent="0.2">
      <c r="A161" s="23" t="str">
        <f>IF(Dati!A161="","",Dati!A161)</f>
        <v/>
      </c>
      <c r="B161" s="17" t="str">
        <f>IF(Dati!B161="","",Dati!B161)</f>
        <v/>
      </c>
      <c r="C161" s="17" t="str">
        <f>IF(B161="","",IF(ISNUMBER(B160),IF(B161-B160&lt;0,B161,IF(B161-B160=0,"",B161-B160)),B161))</f>
        <v/>
      </c>
      <c r="D161" s="18" t="str">
        <f>IF(Dati!C161="","",IF(Dati!C161&gt;1,Dati!C161/100,Dati!C161))</f>
        <v/>
      </c>
      <c r="E161" s="18" t="str">
        <f>IF(Dati!D161="","",IF(Dati!D161&gt;1,Dati!D161/100,Dati!D161))</f>
        <v/>
      </c>
      <c r="F161" s="18" t="str">
        <f>IF(OR(D161="",E161=""),"",IF(OR(D161&gt;1,E161&gt;1),(E161-D161)/100,E161-D161))</f>
        <v/>
      </c>
      <c r="G161" s="17" t="str">
        <f>IF(F161="","",IF(64*F161=0,"",64*F161))</f>
        <v/>
      </c>
      <c r="H161" s="19" t="str">
        <f>IF(Dati!E161="","",Dati!E161)</f>
        <v/>
      </c>
      <c r="I161" s="19" t="str">
        <f>IFERROR(IF(OR(C161="",C161=0),"",H161/C161*100),"")</f>
        <v/>
      </c>
      <c r="J161" s="20" t="str">
        <f>IF(Dati!F161="","",Dati!F161)</f>
        <v/>
      </c>
      <c r="K161" s="19" t="str">
        <f>IF(OR(H161="",J161=""),"",IF(H161*J161=0,"",H161*J161))</f>
        <v/>
      </c>
      <c r="L161" s="19" t="str">
        <f>IF(A161="","",IFERROR(IF(SUMPRODUCT((ISNUMBER(A$2:A161))*(A$2:A161&gt;1000)*(MONTH(IF(ISNUMBER(A$2:A161),A$2:A161,1))=MONTH(A161))*(YEAR(IF(ISNUMBER(A$2:A161),A$2:A161,1))=YEAR(A161))*IF(ISNUMBER(K$2:K161),K$2:K161,0))=0,"",SUMPRODUCT((ISNUMBER(A$2:A161))*(A$2:A161&gt;1000)*(MONTH(IF(ISNUMBER(A$2:A161),A$2:A161,1))=MONTH(A161))*(YEAR(IF(ISNUMBER(A$2:A161),A$2:A161,1))=YEAR(A161))*IF(ISNUMBER(K$2:K161),K$2:K161,0))),""))</f>
        <v/>
      </c>
      <c r="M161" s="21" t="str">
        <f>IF(A161="","",IFERROR(IF(SUMIF(N$2:N161,"CASA",K$2:K161)=0,"",SUMIF(N$2:N161,"CASA",K$2:K161)),""))</f>
        <v/>
      </c>
      <c r="N161" s="17" t="str">
        <f>IF(J161="","",IF(J161=0.2,"CASA",IF(Dati!G161="","",Dati!G161)))</f>
        <v/>
      </c>
    </row>
    <row r="162" spans="1:14" ht="15" customHeight="1" x14ac:dyDescent="0.2">
      <c r="A162" s="23" t="str">
        <f>IF(Dati!A162="","",Dati!A162)</f>
        <v/>
      </c>
      <c r="B162" s="17" t="str">
        <f>IF(Dati!B162="","",Dati!B162)</f>
        <v/>
      </c>
      <c r="C162" s="17" t="str">
        <f>IF(B162="","",IF(ISNUMBER(B161),IF(B162-B161&lt;0,B162,IF(B162-B161=0,"",B162-B161)),B162))</f>
        <v/>
      </c>
      <c r="D162" s="18" t="str">
        <f>IF(Dati!C162="","",IF(Dati!C162&gt;1,Dati!C162/100,Dati!C162))</f>
        <v/>
      </c>
      <c r="E162" s="18" t="str">
        <f>IF(Dati!D162="","",IF(Dati!D162&gt;1,Dati!D162/100,Dati!D162))</f>
        <v/>
      </c>
      <c r="F162" s="18" t="str">
        <f>IF(OR(D162="",E162=""),"",IF(OR(D162&gt;1,E162&gt;1),(E162-D162)/100,E162-D162))</f>
        <v/>
      </c>
      <c r="G162" s="17" t="str">
        <f>IF(F162="","",IF(64*F162=0,"",64*F162))</f>
        <v/>
      </c>
      <c r="H162" s="19" t="str">
        <f>IF(Dati!E162="","",Dati!E162)</f>
        <v/>
      </c>
      <c r="I162" s="19" t="str">
        <f>IFERROR(IF(OR(C162="",C162=0),"",H162/C162*100),"")</f>
        <v/>
      </c>
      <c r="J162" s="20" t="str">
        <f>IF(Dati!F162="","",Dati!F162)</f>
        <v/>
      </c>
      <c r="K162" s="19" t="str">
        <f>IF(OR(H162="",J162=""),"",IF(H162*J162=0,"",H162*J162))</f>
        <v/>
      </c>
      <c r="L162" s="19" t="str">
        <f>IF(A162="","",IFERROR(IF(SUMPRODUCT((ISNUMBER(A$2:A162))*(A$2:A162&gt;1000)*(MONTH(IF(ISNUMBER(A$2:A162),A$2:A162,1))=MONTH(A162))*(YEAR(IF(ISNUMBER(A$2:A162),A$2:A162,1))=YEAR(A162))*IF(ISNUMBER(K$2:K162),K$2:K162,0))=0,"",SUMPRODUCT((ISNUMBER(A$2:A162))*(A$2:A162&gt;1000)*(MONTH(IF(ISNUMBER(A$2:A162),A$2:A162,1))=MONTH(A162))*(YEAR(IF(ISNUMBER(A$2:A162),A$2:A162,1))=YEAR(A162))*IF(ISNUMBER(K$2:K162),K$2:K162,0))),""))</f>
        <v/>
      </c>
      <c r="M162" s="21" t="str">
        <f>IF(A162="","",IFERROR(IF(SUMIF(N$2:N162,"CASA",K$2:K162)=0,"",SUMIF(N$2:N162,"CASA",K$2:K162)),""))</f>
        <v/>
      </c>
      <c r="N162" s="17" t="str">
        <f>IF(J162="","",IF(J162=0.2,"CASA",IF(Dati!G162="","",Dati!G162)))</f>
        <v/>
      </c>
    </row>
    <row r="163" spans="1:14" ht="15" customHeight="1" x14ac:dyDescent="0.2">
      <c r="A163" s="23" t="str">
        <f>IF(Dati!A163="","",Dati!A163)</f>
        <v/>
      </c>
      <c r="B163" s="17" t="str">
        <f>IF(Dati!B163="","",Dati!B163)</f>
        <v/>
      </c>
      <c r="C163" s="17" t="str">
        <f>IF(B163="","",IF(ISNUMBER(B162),IF(B163-B162&lt;0,B163,IF(B163-B162=0,"",B163-B162)),B163))</f>
        <v/>
      </c>
      <c r="D163" s="18" t="str">
        <f>IF(Dati!C163="","",IF(Dati!C163&gt;1,Dati!C163/100,Dati!C163))</f>
        <v/>
      </c>
      <c r="E163" s="18" t="str">
        <f>IF(Dati!D163="","",IF(Dati!D163&gt;1,Dati!D163/100,Dati!D163))</f>
        <v/>
      </c>
      <c r="F163" s="18" t="str">
        <f>IF(OR(D163="",E163=""),"",IF(OR(D163&gt;1,E163&gt;1),(E163-D163)/100,E163-D163))</f>
        <v/>
      </c>
      <c r="G163" s="17" t="str">
        <f>IF(F163="","",IF(64*F163=0,"",64*F163))</f>
        <v/>
      </c>
      <c r="H163" s="19" t="str">
        <f>IF(Dati!E163="","",Dati!E163)</f>
        <v/>
      </c>
      <c r="I163" s="19" t="str">
        <f>IFERROR(IF(OR(C163="",C163=0),"",H163/C163*100),"")</f>
        <v/>
      </c>
      <c r="J163" s="20" t="str">
        <f>IF(Dati!F163="","",Dati!F163)</f>
        <v/>
      </c>
      <c r="K163" s="19" t="str">
        <f>IF(OR(H163="",J163=""),"",IF(H163*J163=0,"",H163*J163))</f>
        <v/>
      </c>
      <c r="L163" s="19" t="str">
        <f>IF(A163="","",IFERROR(IF(SUMPRODUCT((ISNUMBER(A$2:A163))*(A$2:A163&gt;1000)*(MONTH(IF(ISNUMBER(A$2:A163),A$2:A163,1))=MONTH(A163))*(YEAR(IF(ISNUMBER(A$2:A163),A$2:A163,1))=YEAR(A163))*IF(ISNUMBER(K$2:K163),K$2:K163,0))=0,"",SUMPRODUCT((ISNUMBER(A$2:A163))*(A$2:A163&gt;1000)*(MONTH(IF(ISNUMBER(A$2:A163),A$2:A163,1))=MONTH(A163))*(YEAR(IF(ISNUMBER(A$2:A163),A$2:A163,1))=YEAR(A163))*IF(ISNUMBER(K$2:K163),K$2:K163,0))),""))</f>
        <v/>
      </c>
      <c r="M163" s="21" t="str">
        <f>IF(A163="","",IFERROR(IF(SUMIF(N$2:N163,"CASA",K$2:K163)=0,"",SUMIF(N$2:N163,"CASA",K$2:K163)),""))</f>
        <v/>
      </c>
      <c r="N163" s="17" t="str">
        <f>IF(J163="","",IF(J163=0.2,"CASA",IF(Dati!G163="","",Dati!G163)))</f>
        <v/>
      </c>
    </row>
    <row r="164" spans="1:14" ht="15" customHeight="1" x14ac:dyDescent="0.2">
      <c r="A164" s="23" t="str">
        <f>IF(Dati!A164="","",Dati!A164)</f>
        <v/>
      </c>
      <c r="B164" s="17" t="str">
        <f>IF(Dati!B164="","",Dati!B164)</f>
        <v/>
      </c>
      <c r="C164" s="17" t="str">
        <f>IF(B164="","",IF(ISNUMBER(B163),IF(B164-B163&lt;0,B164,IF(B164-B163=0,"",B164-B163)),B164))</f>
        <v/>
      </c>
      <c r="D164" s="18" t="str">
        <f>IF(Dati!C164="","",IF(Dati!C164&gt;1,Dati!C164/100,Dati!C164))</f>
        <v/>
      </c>
      <c r="E164" s="18" t="str">
        <f>IF(Dati!D164="","",IF(Dati!D164&gt;1,Dati!D164/100,Dati!D164))</f>
        <v/>
      </c>
      <c r="F164" s="18" t="str">
        <f>IF(OR(D164="",E164=""),"",IF(OR(D164&gt;1,E164&gt;1),(E164-D164)/100,E164-D164))</f>
        <v/>
      </c>
      <c r="G164" s="17" t="str">
        <f>IF(F164="","",IF(64*F164=0,"",64*F164))</f>
        <v/>
      </c>
      <c r="H164" s="19" t="str">
        <f>IF(Dati!E164="","",Dati!E164)</f>
        <v/>
      </c>
      <c r="I164" s="19" t="str">
        <f>IFERROR(IF(OR(C164="",C164=0),"",H164/C164*100),"")</f>
        <v/>
      </c>
      <c r="J164" s="20" t="str">
        <f>IF(Dati!F164="","",Dati!F164)</f>
        <v/>
      </c>
      <c r="K164" s="19" t="str">
        <f>IF(OR(H164="",J164=""),"",IF(H164*J164=0,"",H164*J164))</f>
        <v/>
      </c>
      <c r="L164" s="19" t="str">
        <f>IF(A164="","",IFERROR(IF(SUMPRODUCT((ISNUMBER(A$2:A164))*(A$2:A164&gt;1000)*(MONTH(IF(ISNUMBER(A$2:A164),A$2:A164,1))=MONTH(A164))*(YEAR(IF(ISNUMBER(A$2:A164),A$2:A164,1))=YEAR(A164))*IF(ISNUMBER(K$2:K164),K$2:K164,0))=0,"",SUMPRODUCT((ISNUMBER(A$2:A164))*(A$2:A164&gt;1000)*(MONTH(IF(ISNUMBER(A$2:A164),A$2:A164,1))=MONTH(A164))*(YEAR(IF(ISNUMBER(A$2:A164),A$2:A164,1))=YEAR(A164))*IF(ISNUMBER(K$2:K164),K$2:K164,0))),""))</f>
        <v/>
      </c>
      <c r="M164" s="21" t="str">
        <f>IF(A164="","",IFERROR(IF(SUMIF(N$2:N164,"CASA",K$2:K164)=0,"",SUMIF(N$2:N164,"CASA",K$2:K164)),""))</f>
        <v/>
      </c>
      <c r="N164" s="17" t="str">
        <f>IF(J164="","",IF(J164=0.2,"CASA",IF(Dati!G164="","",Dati!G164)))</f>
        <v/>
      </c>
    </row>
    <row r="165" spans="1:14" ht="15" customHeight="1" x14ac:dyDescent="0.2">
      <c r="A165" s="23" t="str">
        <f>IF(Dati!A165="","",Dati!A165)</f>
        <v/>
      </c>
      <c r="B165" s="17" t="str">
        <f>IF(Dati!B165="","",Dati!B165)</f>
        <v/>
      </c>
      <c r="C165" s="17" t="str">
        <f>IF(B165="","",IF(ISNUMBER(B164),IF(B165-B164&lt;0,B165,IF(B165-B164=0,"",B165-B164)),B165))</f>
        <v/>
      </c>
      <c r="D165" s="18" t="str">
        <f>IF(Dati!C165="","",IF(Dati!C165&gt;1,Dati!C165/100,Dati!C165))</f>
        <v/>
      </c>
      <c r="E165" s="18" t="str">
        <f>IF(Dati!D165="","",IF(Dati!D165&gt;1,Dati!D165/100,Dati!D165))</f>
        <v/>
      </c>
      <c r="F165" s="18" t="str">
        <f>IF(OR(D165="",E165=""),"",IF(OR(D165&gt;1,E165&gt;1),(E165-D165)/100,E165-D165))</f>
        <v/>
      </c>
      <c r="G165" s="17" t="str">
        <f>IF(F165="","",IF(64*F165=0,"",64*F165))</f>
        <v/>
      </c>
      <c r="H165" s="19" t="str">
        <f>IF(Dati!E165="","",Dati!E165)</f>
        <v/>
      </c>
      <c r="I165" s="19" t="str">
        <f>IFERROR(IF(OR(C165="",C165=0),"",H165/C165*100),"")</f>
        <v/>
      </c>
      <c r="J165" s="20" t="str">
        <f>IF(Dati!F165="","",Dati!F165)</f>
        <v/>
      </c>
      <c r="K165" s="19" t="str">
        <f>IF(OR(H165="",J165=""),"",IF(H165*J165=0,"",H165*J165))</f>
        <v/>
      </c>
      <c r="L165" s="19" t="str">
        <f>IF(A165="","",IFERROR(IF(SUMPRODUCT((ISNUMBER(A$2:A165))*(A$2:A165&gt;1000)*(MONTH(IF(ISNUMBER(A$2:A165),A$2:A165,1))=MONTH(A165))*(YEAR(IF(ISNUMBER(A$2:A165),A$2:A165,1))=YEAR(A165))*IF(ISNUMBER(K$2:K165),K$2:K165,0))=0,"",SUMPRODUCT((ISNUMBER(A$2:A165))*(A$2:A165&gt;1000)*(MONTH(IF(ISNUMBER(A$2:A165),A$2:A165,1))=MONTH(A165))*(YEAR(IF(ISNUMBER(A$2:A165),A$2:A165,1))=YEAR(A165))*IF(ISNUMBER(K$2:K165),K$2:K165,0))),""))</f>
        <v/>
      </c>
      <c r="M165" s="21" t="str">
        <f>IF(A165="","",IFERROR(IF(SUMIF(N$2:N165,"CASA",K$2:K165)=0,"",SUMIF(N$2:N165,"CASA",K$2:K165)),""))</f>
        <v/>
      </c>
      <c r="N165" s="17" t="str">
        <f>IF(J165="","",IF(J165=0.2,"CASA",IF(Dati!G165="","",Dati!G165)))</f>
        <v/>
      </c>
    </row>
    <row r="166" spans="1:14" ht="15" customHeight="1" x14ac:dyDescent="0.2">
      <c r="A166" s="23" t="str">
        <f>IF(Dati!A166="","",Dati!A166)</f>
        <v/>
      </c>
      <c r="B166" s="17" t="str">
        <f>IF(Dati!B166="","",Dati!B166)</f>
        <v/>
      </c>
      <c r="C166" s="17" t="str">
        <f>IF(B166="","",IF(ISNUMBER(B165),IF(B166-B165&lt;0,B166,IF(B166-B165=0,"",B166-B165)),B166))</f>
        <v/>
      </c>
      <c r="D166" s="18" t="str">
        <f>IF(Dati!C166="","",IF(Dati!C166&gt;1,Dati!C166/100,Dati!C166))</f>
        <v/>
      </c>
      <c r="E166" s="18" t="str">
        <f>IF(Dati!D166="","",IF(Dati!D166&gt;1,Dati!D166/100,Dati!D166))</f>
        <v/>
      </c>
      <c r="F166" s="18" t="str">
        <f>IF(OR(D166="",E166=""),"",IF(OR(D166&gt;1,E166&gt;1),(E166-D166)/100,E166-D166))</f>
        <v/>
      </c>
      <c r="G166" s="17" t="str">
        <f>IF(F166="","",IF(64*F166=0,"",64*F166))</f>
        <v/>
      </c>
      <c r="H166" s="19" t="str">
        <f>IF(Dati!E166="","",Dati!E166)</f>
        <v/>
      </c>
      <c r="I166" s="19" t="str">
        <f>IFERROR(IF(OR(C166="",C166=0),"",H166/C166*100),"")</f>
        <v/>
      </c>
      <c r="J166" s="20" t="str">
        <f>IF(Dati!F166="","",Dati!F166)</f>
        <v/>
      </c>
      <c r="K166" s="19" t="str">
        <f>IF(OR(H166="",J166=""),"",IF(H166*J166=0,"",H166*J166))</f>
        <v/>
      </c>
      <c r="L166" s="19" t="str">
        <f>IF(A166="","",IFERROR(IF(SUMPRODUCT((ISNUMBER(A$2:A166))*(A$2:A166&gt;1000)*(MONTH(IF(ISNUMBER(A$2:A166),A$2:A166,1))=MONTH(A166))*(YEAR(IF(ISNUMBER(A$2:A166),A$2:A166,1))=YEAR(A166))*IF(ISNUMBER(K$2:K166),K$2:K166,0))=0,"",SUMPRODUCT((ISNUMBER(A$2:A166))*(A$2:A166&gt;1000)*(MONTH(IF(ISNUMBER(A$2:A166),A$2:A166,1))=MONTH(A166))*(YEAR(IF(ISNUMBER(A$2:A166),A$2:A166,1))=YEAR(A166))*IF(ISNUMBER(K$2:K166),K$2:K166,0))),""))</f>
        <v/>
      </c>
      <c r="M166" s="21" t="str">
        <f>IF(A166="","",IFERROR(IF(SUMIF(N$2:N166,"CASA",K$2:K166)=0,"",SUMIF(N$2:N166,"CASA",K$2:K166)),""))</f>
        <v/>
      </c>
      <c r="N166" s="17" t="str">
        <f>IF(J166="","",IF(J166=0.2,"CASA",IF(Dati!G166="","",Dati!G166)))</f>
        <v/>
      </c>
    </row>
    <row r="167" spans="1:14" ht="15" customHeight="1" x14ac:dyDescent="0.2">
      <c r="A167" s="23" t="str">
        <f>IF(Dati!A167="","",Dati!A167)</f>
        <v/>
      </c>
      <c r="B167" s="17" t="str">
        <f>IF(Dati!B167="","",Dati!B167)</f>
        <v/>
      </c>
      <c r="C167" s="17" t="str">
        <f>IF(B167="","",IF(ISNUMBER(B166),IF(B167-B166&lt;0,B167,IF(B167-B166=0,"",B167-B166)),B167))</f>
        <v/>
      </c>
      <c r="D167" s="18" t="str">
        <f>IF(Dati!C167="","",IF(Dati!C167&gt;1,Dati!C167/100,Dati!C167))</f>
        <v/>
      </c>
      <c r="E167" s="18" t="str">
        <f>IF(Dati!D167="","",IF(Dati!D167&gt;1,Dati!D167/100,Dati!D167))</f>
        <v/>
      </c>
      <c r="F167" s="18" t="str">
        <f>IF(OR(D167="",E167=""),"",IF(OR(D167&gt;1,E167&gt;1),(E167-D167)/100,E167-D167))</f>
        <v/>
      </c>
      <c r="G167" s="17" t="str">
        <f>IF(F167="","",IF(64*F167=0,"",64*F167))</f>
        <v/>
      </c>
      <c r="H167" s="19" t="str">
        <f>IF(Dati!E167="","",Dati!E167)</f>
        <v/>
      </c>
      <c r="I167" s="19" t="str">
        <f>IFERROR(IF(OR(C167="",C167=0),"",H167/C167*100),"")</f>
        <v/>
      </c>
      <c r="J167" s="20" t="str">
        <f>IF(Dati!F167="","",Dati!F167)</f>
        <v/>
      </c>
      <c r="K167" s="19" t="str">
        <f>IF(OR(H167="",J167=""),"",IF(H167*J167=0,"",H167*J167))</f>
        <v/>
      </c>
      <c r="L167" s="19" t="str">
        <f>IF(A167="","",IFERROR(IF(SUMPRODUCT((ISNUMBER(A$2:A167))*(A$2:A167&gt;1000)*(MONTH(IF(ISNUMBER(A$2:A167),A$2:A167,1))=MONTH(A167))*(YEAR(IF(ISNUMBER(A$2:A167),A$2:A167,1))=YEAR(A167))*IF(ISNUMBER(K$2:K167),K$2:K167,0))=0,"",SUMPRODUCT((ISNUMBER(A$2:A167))*(A$2:A167&gt;1000)*(MONTH(IF(ISNUMBER(A$2:A167),A$2:A167,1))=MONTH(A167))*(YEAR(IF(ISNUMBER(A$2:A167),A$2:A167,1))=YEAR(A167))*IF(ISNUMBER(K$2:K167),K$2:K167,0))),""))</f>
        <v/>
      </c>
      <c r="M167" s="21" t="str">
        <f>IF(A167="","",IFERROR(IF(SUMIF(N$2:N167,"CASA",K$2:K167)=0,"",SUMIF(N$2:N167,"CASA",K$2:K167)),""))</f>
        <v/>
      </c>
      <c r="N167" s="17" t="str">
        <f>IF(J167="","",IF(J167=0.2,"CASA",IF(Dati!G167="","",Dati!G167)))</f>
        <v/>
      </c>
    </row>
    <row r="168" spans="1:14" ht="15" customHeight="1" x14ac:dyDescent="0.2">
      <c r="A168" s="23" t="str">
        <f>IF(Dati!A168="","",Dati!A168)</f>
        <v/>
      </c>
      <c r="B168" s="17" t="str">
        <f>IF(Dati!B168="","",Dati!B168)</f>
        <v/>
      </c>
      <c r="C168" s="17" t="str">
        <f>IF(B168="","",IF(ISNUMBER(B167),IF(B168-B167&lt;0,B168,IF(B168-B167=0,"",B168-B167)),B168))</f>
        <v/>
      </c>
      <c r="D168" s="18" t="str">
        <f>IF(Dati!C168="","",IF(Dati!C168&gt;1,Dati!C168/100,Dati!C168))</f>
        <v/>
      </c>
      <c r="E168" s="18" t="str">
        <f>IF(Dati!D168="","",IF(Dati!D168&gt;1,Dati!D168/100,Dati!D168))</f>
        <v/>
      </c>
      <c r="F168" s="18" t="str">
        <f>IF(OR(D168="",E168=""),"",IF(OR(D168&gt;1,E168&gt;1),(E168-D168)/100,E168-D168))</f>
        <v/>
      </c>
      <c r="G168" s="17" t="str">
        <f>IF(F168="","",IF(64*F168=0,"",64*F168))</f>
        <v/>
      </c>
      <c r="H168" s="19" t="str">
        <f>IF(Dati!E168="","",Dati!E168)</f>
        <v/>
      </c>
      <c r="I168" s="19" t="str">
        <f>IFERROR(IF(OR(C168="",C168=0),"",H168/C168*100),"")</f>
        <v/>
      </c>
      <c r="J168" s="20" t="str">
        <f>IF(Dati!F168="","",Dati!F168)</f>
        <v/>
      </c>
      <c r="K168" s="19" t="str">
        <f>IF(OR(H168="",J168=""),"",IF(H168*J168=0,"",H168*J168))</f>
        <v/>
      </c>
      <c r="L168" s="19" t="str">
        <f>IF(A168="","",IFERROR(IF(SUMPRODUCT((ISNUMBER(A$2:A168))*(A$2:A168&gt;1000)*(MONTH(IF(ISNUMBER(A$2:A168),A$2:A168,1))=MONTH(A168))*(YEAR(IF(ISNUMBER(A$2:A168),A$2:A168,1))=YEAR(A168))*IF(ISNUMBER(K$2:K168),K$2:K168,0))=0,"",SUMPRODUCT((ISNUMBER(A$2:A168))*(A$2:A168&gt;1000)*(MONTH(IF(ISNUMBER(A$2:A168),A$2:A168,1))=MONTH(A168))*(YEAR(IF(ISNUMBER(A$2:A168),A$2:A168,1))=YEAR(A168))*IF(ISNUMBER(K$2:K168),K$2:K168,0))),""))</f>
        <v/>
      </c>
      <c r="M168" s="21" t="str">
        <f>IF(A168="","",IFERROR(IF(SUMIF(N$2:N168,"CASA",K$2:K168)=0,"",SUMIF(N$2:N168,"CASA",K$2:K168)),""))</f>
        <v/>
      </c>
      <c r="N168" s="17" t="str">
        <f>IF(J168="","",IF(J168=0.2,"CASA",IF(Dati!G168="","",Dati!G168)))</f>
        <v/>
      </c>
    </row>
    <row r="169" spans="1:14" ht="15" customHeight="1" x14ac:dyDescent="0.2">
      <c r="A169" s="23" t="str">
        <f>IF(Dati!A169="","",Dati!A169)</f>
        <v/>
      </c>
      <c r="B169" s="17" t="str">
        <f>IF(Dati!B169="","",Dati!B169)</f>
        <v/>
      </c>
      <c r="C169" s="17" t="str">
        <f>IF(B169="","",IF(ISNUMBER(B168),IF(B169-B168&lt;0,B169,IF(B169-B168=0,"",B169-B168)),B169))</f>
        <v/>
      </c>
      <c r="D169" s="18" t="str">
        <f>IF(Dati!C169="","",IF(Dati!C169&gt;1,Dati!C169/100,Dati!C169))</f>
        <v/>
      </c>
      <c r="E169" s="18" t="str">
        <f>IF(Dati!D169="","",IF(Dati!D169&gt;1,Dati!D169/100,Dati!D169))</f>
        <v/>
      </c>
      <c r="F169" s="18" t="str">
        <f>IF(OR(D169="",E169=""),"",IF(OR(D169&gt;1,E169&gt;1),(E169-D169)/100,E169-D169))</f>
        <v/>
      </c>
      <c r="G169" s="17" t="str">
        <f>IF(F169="","",IF(64*F169=0,"",64*F169))</f>
        <v/>
      </c>
      <c r="H169" s="19" t="str">
        <f>IF(Dati!E169="","",Dati!E169)</f>
        <v/>
      </c>
      <c r="I169" s="19" t="str">
        <f>IFERROR(IF(OR(C169="",C169=0),"",H169/C169*100),"")</f>
        <v/>
      </c>
      <c r="J169" s="20" t="str">
        <f>IF(Dati!F169="","",Dati!F169)</f>
        <v/>
      </c>
      <c r="K169" s="19" t="str">
        <f>IF(OR(H169="",J169=""),"",IF(H169*J169=0,"",H169*J169))</f>
        <v/>
      </c>
      <c r="L169" s="19" t="str">
        <f>IF(A169="","",IFERROR(IF(SUMPRODUCT((ISNUMBER(A$2:A169))*(A$2:A169&gt;1000)*(MONTH(IF(ISNUMBER(A$2:A169),A$2:A169,1))=MONTH(A169))*(YEAR(IF(ISNUMBER(A$2:A169),A$2:A169,1))=YEAR(A169))*IF(ISNUMBER(K$2:K169),K$2:K169,0))=0,"",SUMPRODUCT((ISNUMBER(A$2:A169))*(A$2:A169&gt;1000)*(MONTH(IF(ISNUMBER(A$2:A169),A$2:A169,1))=MONTH(A169))*(YEAR(IF(ISNUMBER(A$2:A169),A$2:A169,1))=YEAR(A169))*IF(ISNUMBER(K$2:K169),K$2:K169,0))),""))</f>
        <v/>
      </c>
      <c r="M169" s="21" t="str">
        <f>IF(A169="","",IFERROR(IF(SUMIF(N$2:N169,"CASA",K$2:K169)=0,"",SUMIF(N$2:N169,"CASA",K$2:K169)),""))</f>
        <v/>
      </c>
      <c r="N169" s="17" t="str">
        <f>IF(J169="","",IF(J169=0.2,"CASA",IF(Dati!G169="","",Dati!G169)))</f>
        <v/>
      </c>
    </row>
    <row r="170" spans="1:14" ht="15" customHeight="1" x14ac:dyDescent="0.2">
      <c r="A170" s="23" t="str">
        <f>IF(Dati!A170="","",Dati!A170)</f>
        <v/>
      </c>
      <c r="B170" s="17" t="str">
        <f>IF(Dati!B170="","",Dati!B170)</f>
        <v/>
      </c>
      <c r="C170" s="17" t="str">
        <f>IF(B170="","",IF(ISNUMBER(B169),IF(B170-B169&lt;0,B170,IF(B170-B169=0,"",B170-B169)),B170))</f>
        <v/>
      </c>
      <c r="D170" s="18" t="str">
        <f>IF(Dati!C170="","",IF(Dati!C170&gt;1,Dati!C170/100,Dati!C170))</f>
        <v/>
      </c>
      <c r="E170" s="18" t="str">
        <f>IF(Dati!D170="","",IF(Dati!D170&gt;1,Dati!D170/100,Dati!D170))</f>
        <v/>
      </c>
      <c r="F170" s="18" t="str">
        <f>IF(OR(D170="",E170=""),"",IF(OR(D170&gt;1,E170&gt;1),(E170-D170)/100,E170-D170))</f>
        <v/>
      </c>
      <c r="G170" s="17" t="str">
        <f>IF(F170="","",IF(64*F170=0,"",64*F170))</f>
        <v/>
      </c>
      <c r="H170" s="19" t="str">
        <f>IF(Dati!E170="","",Dati!E170)</f>
        <v/>
      </c>
      <c r="I170" s="19" t="str">
        <f>IFERROR(IF(OR(C170="",C170=0),"",H170/C170*100),"")</f>
        <v/>
      </c>
      <c r="J170" s="20" t="str">
        <f>IF(Dati!F170="","",Dati!F170)</f>
        <v/>
      </c>
      <c r="K170" s="19" t="str">
        <f>IF(OR(H170="",J170=""),"",IF(H170*J170=0,"",H170*J170))</f>
        <v/>
      </c>
      <c r="L170" s="19" t="str">
        <f>IF(A170="","",IFERROR(IF(SUMPRODUCT((ISNUMBER(A$2:A170))*(A$2:A170&gt;1000)*(MONTH(IF(ISNUMBER(A$2:A170),A$2:A170,1))=MONTH(A170))*(YEAR(IF(ISNUMBER(A$2:A170),A$2:A170,1))=YEAR(A170))*IF(ISNUMBER(K$2:K170),K$2:K170,0))=0,"",SUMPRODUCT((ISNUMBER(A$2:A170))*(A$2:A170&gt;1000)*(MONTH(IF(ISNUMBER(A$2:A170),A$2:A170,1))=MONTH(A170))*(YEAR(IF(ISNUMBER(A$2:A170),A$2:A170,1))=YEAR(A170))*IF(ISNUMBER(K$2:K170),K$2:K170,0))),""))</f>
        <v/>
      </c>
      <c r="M170" s="21" t="str">
        <f>IF(A170="","",IFERROR(IF(SUMIF(N$2:N170,"CASA",K$2:K170)=0,"",SUMIF(N$2:N170,"CASA",K$2:K170)),""))</f>
        <v/>
      </c>
      <c r="N170" s="17" t="str">
        <f>IF(J170="","",IF(J170=0.2,"CASA",IF(Dati!G170="","",Dati!G170)))</f>
        <v/>
      </c>
    </row>
    <row r="171" spans="1:14" ht="15" customHeight="1" x14ac:dyDescent="0.2">
      <c r="A171" s="23" t="str">
        <f>IF(Dati!A171="","",Dati!A171)</f>
        <v/>
      </c>
      <c r="B171" s="17" t="str">
        <f>IF(Dati!B171="","",Dati!B171)</f>
        <v/>
      </c>
      <c r="C171" s="17" t="str">
        <f>IF(B171="","",IF(ISNUMBER(B170),IF(B171-B170&lt;0,B171,IF(B171-B170=0,"",B171-B170)),B171))</f>
        <v/>
      </c>
      <c r="D171" s="18" t="str">
        <f>IF(Dati!C171="","",IF(Dati!C171&gt;1,Dati!C171/100,Dati!C171))</f>
        <v/>
      </c>
      <c r="E171" s="18" t="str">
        <f>IF(Dati!D171="","",IF(Dati!D171&gt;1,Dati!D171/100,Dati!D171))</f>
        <v/>
      </c>
      <c r="F171" s="18" t="str">
        <f>IF(OR(D171="",E171=""),"",IF(OR(D171&gt;1,E171&gt;1),(E171-D171)/100,E171-D171))</f>
        <v/>
      </c>
      <c r="G171" s="17" t="str">
        <f>IF(F171="","",IF(64*F171=0,"",64*F171))</f>
        <v/>
      </c>
      <c r="H171" s="19" t="str">
        <f>IF(Dati!E171="","",Dati!E171)</f>
        <v/>
      </c>
      <c r="I171" s="19" t="str">
        <f>IFERROR(IF(OR(C171="",C171=0),"",H171/C171*100),"")</f>
        <v/>
      </c>
      <c r="J171" s="20" t="str">
        <f>IF(Dati!F171="","",Dati!F171)</f>
        <v/>
      </c>
      <c r="K171" s="19" t="str">
        <f>IF(OR(H171="",J171=""),"",IF(H171*J171=0,"",H171*J171))</f>
        <v/>
      </c>
      <c r="L171" s="19" t="str">
        <f>IF(A171="","",IFERROR(IF(SUMPRODUCT((ISNUMBER(A$2:A171))*(A$2:A171&gt;1000)*(MONTH(IF(ISNUMBER(A$2:A171),A$2:A171,1))=MONTH(A171))*(YEAR(IF(ISNUMBER(A$2:A171),A$2:A171,1))=YEAR(A171))*IF(ISNUMBER(K$2:K171),K$2:K171,0))=0,"",SUMPRODUCT((ISNUMBER(A$2:A171))*(A$2:A171&gt;1000)*(MONTH(IF(ISNUMBER(A$2:A171),A$2:A171,1))=MONTH(A171))*(YEAR(IF(ISNUMBER(A$2:A171),A$2:A171,1))=YEAR(A171))*IF(ISNUMBER(K$2:K171),K$2:K171,0))),""))</f>
        <v/>
      </c>
      <c r="M171" s="21" t="str">
        <f>IF(A171="","",IFERROR(IF(SUMIF(N$2:N171,"CASA",K$2:K171)=0,"",SUMIF(N$2:N171,"CASA",K$2:K171)),""))</f>
        <v/>
      </c>
      <c r="N171" s="17" t="str">
        <f>IF(J171="","",IF(J171=0.2,"CASA",IF(Dati!G171="","",Dati!G171)))</f>
        <v/>
      </c>
    </row>
    <row r="172" spans="1:14" ht="15" customHeight="1" x14ac:dyDescent="0.2">
      <c r="A172" s="23" t="str">
        <f>IF(Dati!A172="","",Dati!A172)</f>
        <v/>
      </c>
      <c r="B172" s="17" t="str">
        <f>IF(Dati!B172="","",Dati!B172)</f>
        <v/>
      </c>
      <c r="C172" s="17" t="str">
        <f>IF(B172="","",IF(ISNUMBER(B171),IF(B172-B171&lt;0,B172,IF(B172-B171=0,"",B172-B171)),B172))</f>
        <v/>
      </c>
      <c r="D172" s="18" t="str">
        <f>IF(Dati!C172="","",IF(Dati!C172&gt;1,Dati!C172/100,Dati!C172))</f>
        <v/>
      </c>
      <c r="E172" s="18" t="str">
        <f>IF(Dati!D172="","",IF(Dati!D172&gt;1,Dati!D172/100,Dati!D172))</f>
        <v/>
      </c>
      <c r="F172" s="18" t="str">
        <f>IF(OR(D172="",E172=""),"",IF(OR(D172&gt;1,E172&gt;1),(E172-D172)/100,E172-D172))</f>
        <v/>
      </c>
      <c r="G172" s="17" t="str">
        <f>IF(F172="","",IF(64*F172=0,"",64*F172))</f>
        <v/>
      </c>
      <c r="H172" s="19" t="str">
        <f>IF(Dati!E172="","",Dati!E172)</f>
        <v/>
      </c>
      <c r="I172" s="19" t="str">
        <f>IFERROR(IF(OR(C172="",C172=0),"",H172/C172*100),"")</f>
        <v/>
      </c>
      <c r="J172" s="20" t="str">
        <f>IF(Dati!F172="","",Dati!F172)</f>
        <v/>
      </c>
      <c r="K172" s="19" t="str">
        <f>IF(OR(H172="",J172=""),"",IF(H172*J172=0,"",H172*J172))</f>
        <v/>
      </c>
      <c r="L172" s="19" t="str">
        <f>IF(A172="","",IFERROR(IF(SUMPRODUCT((ISNUMBER(A$2:A172))*(A$2:A172&gt;1000)*(MONTH(IF(ISNUMBER(A$2:A172),A$2:A172,1))=MONTH(A172))*(YEAR(IF(ISNUMBER(A$2:A172),A$2:A172,1))=YEAR(A172))*IF(ISNUMBER(K$2:K172),K$2:K172,0))=0,"",SUMPRODUCT((ISNUMBER(A$2:A172))*(A$2:A172&gt;1000)*(MONTH(IF(ISNUMBER(A$2:A172),A$2:A172,1))=MONTH(A172))*(YEAR(IF(ISNUMBER(A$2:A172),A$2:A172,1))=YEAR(A172))*IF(ISNUMBER(K$2:K172),K$2:K172,0))),""))</f>
        <v/>
      </c>
      <c r="M172" s="21" t="str">
        <f>IF(A172="","",IFERROR(IF(SUMIF(N$2:N172,"CASA",K$2:K172)=0,"",SUMIF(N$2:N172,"CASA",K$2:K172)),""))</f>
        <v/>
      </c>
      <c r="N172" s="17" t="str">
        <f>IF(J172="","",IF(J172=0.2,"CASA",IF(Dati!G172="","",Dati!G172)))</f>
        <v/>
      </c>
    </row>
    <row r="173" spans="1:14" ht="15" customHeight="1" x14ac:dyDescent="0.2">
      <c r="A173" s="23" t="str">
        <f>IF(Dati!A173="","",Dati!A173)</f>
        <v/>
      </c>
      <c r="B173" s="17" t="str">
        <f>IF(Dati!B173="","",Dati!B173)</f>
        <v/>
      </c>
      <c r="C173" s="17" t="str">
        <f>IF(B173="","",IF(ISNUMBER(B172),IF(B173-B172&lt;0,B173,IF(B173-B172=0,"",B173-B172)),B173))</f>
        <v/>
      </c>
      <c r="D173" s="18" t="str">
        <f>IF(Dati!C173="","",IF(Dati!C173&gt;1,Dati!C173/100,Dati!C173))</f>
        <v/>
      </c>
      <c r="E173" s="18" t="str">
        <f>IF(Dati!D173="","",IF(Dati!D173&gt;1,Dati!D173/100,Dati!D173))</f>
        <v/>
      </c>
      <c r="F173" s="18" t="str">
        <f>IF(OR(D173="",E173=""),"",IF(OR(D173&gt;1,E173&gt;1),(E173-D173)/100,E173-D173))</f>
        <v/>
      </c>
      <c r="G173" s="17" t="str">
        <f>IF(F173="","",IF(64*F173=0,"",64*F173))</f>
        <v/>
      </c>
      <c r="H173" s="19" t="str">
        <f>IF(Dati!E173="","",Dati!E173)</f>
        <v/>
      </c>
      <c r="I173" s="19" t="str">
        <f>IFERROR(IF(OR(C173="",C173=0),"",H173/C173*100),"")</f>
        <v/>
      </c>
      <c r="J173" s="20" t="str">
        <f>IF(Dati!F173="","",Dati!F173)</f>
        <v/>
      </c>
      <c r="K173" s="19" t="str">
        <f>IF(OR(H173="",J173=""),"",IF(H173*J173=0,"",H173*J173))</f>
        <v/>
      </c>
      <c r="L173" s="19" t="str">
        <f>IF(A173="","",IFERROR(IF(SUMPRODUCT((ISNUMBER(A$2:A173))*(A$2:A173&gt;1000)*(MONTH(IF(ISNUMBER(A$2:A173),A$2:A173,1))=MONTH(A173))*(YEAR(IF(ISNUMBER(A$2:A173),A$2:A173,1))=YEAR(A173))*IF(ISNUMBER(K$2:K173),K$2:K173,0))=0,"",SUMPRODUCT((ISNUMBER(A$2:A173))*(A$2:A173&gt;1000)*(MONTH(IF(ISNUMBER(A$2:A173),A$2:A173,1))=MONTH(A173))*(YEAR(IF(ISNUMBER(A$2:A173),A$2:A173,1))=YEAR(A173))*IF(ISNUMBER(K$2:K173),K$2:K173,0))),""))</f>
        <v/>
      </c>
      <c r="M173" s="21" t="str">
        <f>IF(A173="","",IFERROR(IF(SUMIF(N$2:N173,"CASA",K$2:K173)=0,"",SUMIF(N$2:N173,"CASA",K$2:K173)),""))</f>
        <v/>
      </c>
      <c r="N173" s="17" t="str">
        <f>IF(J173="","",IF(J173=0.2,"CASA",IF(Dati!G173="","",Dati!G173)))</f>
        <v/>
      </c>
    </row>
    <row r="174" spans="1:14" ht="15" customHeight="1" x14ac:dyDescent="0.2">
      <c r="A174" s="23" t="str">
        <f>IF(Dati!A174="","",Dati!A174)</f>
        <v/>
      </c>
      <c r="B174" s="17" t="str">
        <f>IF(Dati!B174="","",Dati!B174)</f>
        <v/>
      </c>
      <c r="C174" s="17" t="str">
        <f>IF(B174="","",IF(ISNUMBER(B173),IF(B174-B173&lt;0,B174,IF(B174-B173=0,"",B174-B173)),B174))</f>
        <v/>
      </c>
      <c r="D174" s="18" t="str">
        <f>IF(Dati!C174="","",IF(Dati!C174&gt;1,Dati!C174/100,Dati!C174))</f>
        <v/>
      </c>
      <c r="E174" s="18" t="str">
        <f>IF(Dati!D174="","",IF(Dati!D174&gt;1,Dati!D174/100,Dati!D174))</f>
        <v/>
      </c>
      <c r="F174" s="18" t="str">
        <f>IF(OR(D174="",E174=""),"",IF(OR(D174&gt;1,E174&gt;1),(E174-D174)/100,E174-D174))</f>
        <v/>
      </c>
      <c r="G174" s="17" t="str">
        <f>IF(F174="","",IF(64*F174=0,"",64*F174))</f>
        <v/>
      </c>
      <c r="H174" s="19" t="str">
        <f>IF(Dati!E174="","",Dati!E174)</f>
        <v/>
      </c>
      <c r="I174" s="19" t="str">
        <f>IFERROR(IF(OR(C174="",C174=0),"",H174/C174*100),"")</f>
        <v/>
      </c>
      <c r="J174" s="20" t="str">
        <f>IF(Dati!F174="","",Dati!F174)</f>
        <v/>
      </c>
      <c r="K174" s="19" t="str">
        <f>IF(OR(H174="",J174=""),"",IF(H174*J174=0,"",H174*J174))</f>
        <v/>
      </c>
      <c r="L174" s="19" t="str">
        <f>IF(A174="","",IFERROR(IF(SUMPRODUCT((ISNUMBER(A$2:A174))*(A$2:A174&gt;1000)*(MONTH(IF(ISNUMBER(A$2:A174),A$2:A174,1))=MONTH(A174))*(YEAR(IF(ISNUMBER(A$2:A174),A$2:A174,1))=YEAR(A174))*IF(ISNUMBER(K$2:K174),K$2:K174,0))=0,"",SUMPRODUCT((ISNUMBER(A$2:A174))*(A$2:A174&gt;1000)*(MONTH(IF(ISNUMBER(A$2:A174),A$2:A174,1))=MONTH(A174))*(YEAR(IF(ISNUMBER(A$2:A174),A$2:A174,1))=YEAR(A174))*IF(ISNUMBER(K$2:K174),K$2:K174,0))),""))</f>
        <v/>
      </c>
      <c r="M174" s="21" t="str">
        <f>IF(A174="","",IFERROR(IF(SUMIF(N$2:N174,"CASA",K$2:K174)=0,"",SUMIF(N$2:N174,"CASA",K$2:K174)),""))</f>
        <v/>
      </c>
      <c r="N174" s="17" t="str">
        <f>IF(J174="","",IF(J174=0.2,"CASA",IF(Dati!G174="","",Dati!G174)))</f>
        <v/>
      </c>
    </row>
    <row r="175" spans="1:14" ht="15" customHeight="1" x14ac:dyDescent="0.2">
      <c r="A175" s="23" t="str">
        <f>IF(Dati!A175="","",Dati!A175)</f>
        <v/>
      </c>
      <c r="B175" s="17" t="str">
        <f>IF(Dati!B175="","",Dati!B175)</f>
        <v/>
      </c>
      <c r="C175" s="17" t="str">
        <f>IF(B175="","",IF(ISNUMBER(B174),IF(B175-B174&lt;0,B175,IF(B175-B174=0,"",B175-B174)),B175))</f>
        <v/>
      </c>
      <c r="D175" s="18" t="str">
        <f>IF(Dati!C175="","",IF(Dati!C175&gt;1,Dati!C175/100,Dati!C175))</f>
        <v/>
      </c>
      <c r="E175" s="18" t="str">
        <f>IF(Dati!D175="","",IF(Dati!D175&gt;1,Dati!D175/100,Dati!D175))</f>
        <v/>
      </c>
      <c r="F175" s="18" t="str">
        <f>IF(OR(D175="",E175=""),"",IF(OR(D175&gt;1,E175&gt;1),(E175-D175)/100,E175-D175))</f>
        <v/>
      </c>
      <c r="G175" s="17" t="str">
        <f>IF(F175="","",IF(64*F175=0,"",64*F175))</f>
        <v/>
      </c>
      <c r="H175" s="19" t="str">
        <f>IF(Dati!E175="","",Dati!E175)</f>
        <v/>
      </c>
      <c r="I175" s="19" t="str">
        <f>IFERROR(IF(OR(C175="",C175=0),"",H175/C175*100),"")</f>
        <v/>
      </c>
      <c r="J175" s="20" t="str">
        <f>IF(Dati!F175="","",Dati!F175)</f>
        <v/>
      </c>
      <c r="K175" s="19" t="str">
        <f>IF(OR(H175="",J175=""),"",IF(H175*J175=0,"",H175*J175))</f>
        <v/>
      </c>
      <c r="L175" s="19" t="str">
        <f>IF(A175="","",IFERROR(IF(SUMPRODUCT((ISNUMBER(A$2:A175))*(A$2:A175&gt;1000)*(MONTH(IF(ISNUMBER(A$2:A175),A$2:A175,1))=MONTH(A175))*(YEAR(IF(ISNUMBER(A$2:A175),A$2:A175,1))=YEAR(A175))*IF(ISNUMBER(K$2:K175),K$2:K175,0))=0,"",SUMPRODUCT((ISNUMBER(A$2:A175))*(A$2:A175&gt;1000)*(MONTH(IF(ISNUMBER(A$2:A175),A$2:A175,1))=MONTH(A175))*(YEAR(IF(ISNUMBER(A$2:A175),A$2:A175,1))=YEAR(A175))*IF(ISNUMBER(K$2:K175),K$2:K175,0))),""))</f>
        <v/>
      </c>
      <c r="M175" s="21" t="str">
        <f>IF(A175="","",IFERROR(IF(SUMIF(N$2:N175,"CASA",K$2:K175)=0,"",SUMIF(N$2:N175,"CASA",K$2:K175)),""))</f>
        <v/>
      </c>
      <c r="N175" s="17" t="str">
        <f>IF(J175="","",IF(J175=0.2,"CASA",IF(Dati!G175="","",Dati!G175)))</f>
        <v/>
      </c>
    </row>
    <row r="176" spans="1:14" ht="15" customHeight="1" x14ac:dyDescent="0.2">
      <c r="A176" s="23" t="str">
        <f>IF(Dati!A176="","",Dati!A176)</f>
        <v/>
      </c>
      <c r="B176" s="17" t="str">
        <f>IF(Dati!B176="","",Dati!B176)</f>
        <v/>
      </c>
      <c r="C176" s="17" t="str">
        <f>IF(B176="","",IF(ISNUMBER(B175),IF(B176-B175&lt;0,B176,IF(B176-B175=0,"",B176-B175)),B176))</f>
        <v/>
      </c>
      <c r="D176" s="18" t="str">
        <f>IF(Dati!C176="","",IF(Dati!C176&gt;1,Dati!C176/100,Dati!C176))</f>
        <v/>
      </c>
      <c r="E176" s="18" t="str">
        <f>IF(Dati!D176="","",IF(Dati!D176&gt;1,Dati!D176/100,Dati!D176))</f>
        <v/>
      </c>
      <c r="F176" s="18" t="str">
        <f>IF(OR(D176="",E176=""),"",IF(OR(D176&gt;1,E176&gt;1),(E176-D176)/100,E176-D176))</f>
        <v/>
      </c>
      <c r="G176" s="17" t="str">
        <f>IF(F176="","",IF(64*F176=0,"",64*F176))</f>
        <v/>
      </c>
      <c r="H176" s="19" t="str">
        <f>IF(Dati!E176="","",Dati!E176)</f>
        <v/>
      </c>
      <c r="I176" s="19" t="str">
        <f>IFERROR(IF(OR(C176="",C176=0),"",H176/C176*100),"")</f>
        <v/>
      </c>
      <c r="J176" s="20" t="str">
        <f>IF(Dati!F176="","",Dati!F176)</f>
        <v/>
      </c>
      <c r="K176" s="19" t="str">
        <f>IF(OR(H176="",J176=""),"",IF(H176*J176=0,"",H176*J176))</f>
        <v/>
      </c>
      <c r="L176" s="19" t="str">
        <f>IF(A176="","",IFERROR(IF(SUMPRODUCT((ISNUMBER(A$2:A176))*(A$2:A176&gt;1000)*(MONTH(IF(ISNUMBER(A$2:A176),A$2:A176,1))=MONTH(A176))*(YEAR(IF(ISNUMBER(A$2:A176),A$2:A176,1))=YEAR(A176))*IF(ISNUMBER(K$2:K176),K$2:K176,0))=0,"",SUMPRODUCT((ISNUMBER(A$2:A176))*(A$2:A176&gt;1000)*(MONTH(IF(ISNUMBER(A$2:A176),A$2:A176,1))=MONTH(A176))*(YEAR(IF(ISNUMBER(A$2:A176),A$2:A176,1))=YEAR(A176))*IF(ISNUMBER(K$2:K176),K$2:K176,0))),""))</f>
        <v/>
      </c>
      <c r="M176" s="21" t="str">
        <f>IF(A176="","",IFERROR(IF(SUMIF(N$2:N176,"CASA",K$2:K176)=0,"",SUMIF(N$2:N176,"CASA",K$2:K176)),""))</f>
        <v/>
      </c>
      <c r="N176" s="17" t="str">
        <f>IF(J176="","",IF(J176=0.2,"CASA",IF(Dati!G176="","",Dati!G176)))</f>
        <v/>
      </c>
    </row>
    <row r="177" spans="1:14" ht="15" customHeight="1" x14ac:dyDescent="0.2">
      <c r="A177" s="23" t="str">
        <f>IF(Dati!A177="","",Dati!A177)</f>
        <v/>
      </c>
      <c r="B177" s="17" t="str">
        <f>IF(Dati!B177="","",Dati!B177)</f>
        <v/>
      </c>
      <c r="C177" s="17" t="str">
        <f>IF(B177="","",IF(ISNUMBER(B176),IF(B177-B176&lt;0,B177,IF(B177-B176=0,"",B177-B176)),B177))</f>
        <v/>
      </c>
      <c r="D177" s="18" t="str">
        <f>IF(Dati!C177="","",IF(Dati!C177&gt;1,Dati!C177/100,Dati!C177))</f>
        <v/>
      </c>
      <c r="E177" s="18" t="str">
        <f>IF(Dati!D177="","",IF(Dati!D177&gt;1,Dati!D177/100,Dati!D177))</f>
        <v/>
      </c>
      <c r="F177" s="18" t="str">
        <f>IF(OR(D177="",E177=""),"",IF(OR(D177&gt;1,E177&gt;1),(E177-D177)/100,E177-D177))</f>
        <v/>
      </c>
      <c r="G177" s="17" t="str">
        <f>IF(F177="","",IF(64*F177=0,"",64*F177))</f>
        <v/>
      </c>
      <c r="H177" s="19" t="str">
        <f>IF(Dati!E177="","",Dati!E177)</f>
        <v/>
      </c>
      <c r="I177" s="19" t="str">
        <f>IFERROR(IF(OR(C177="",C177=0),"",H177/C177*100),"")</f>
        <v/>
      </c>
      <c r="J177" s="20" t="str">
        <f>IF(Dati!F177="","",Dati!F177)</f>
        <v/>
      </c>
      <c r="K177" s="19" t="str">
        <f>IF(OR(H177="",J177=""),"",IF(H177*J177=0,"",H177*J177))</f>
        <v/>
      </c>
      <c r="L177" s="19" t="str">
        <f>IF(A177="","",IFERROR(IF(SUMPRODUCT((ISNUMBER(A$2:A177))*(A$2:A177&gt;1000)*(MONTH(IF(ISNUMBER(A$2:A177),A$2:A177,1))=MONTH(A177))*(YEAR(IF(ISNUMBER(A$2:A177),A$2:A177,1))=YEAR(A177))*IF(ISNUMBER(K$2:K177),K$2:K177,0))=0,"",SUMPRODUCT((ISNUMBER(A$2:A177))*(A$2:A177&gt;1000)*(MONTH(IF(ISNUMBER(A$2:A177),A$2:A177,1))=MONTH(A177))*(YEAR(IF(ISNUMBER(A$2:A177),A$2:A177,1))=YEAR(A177))*IF(ISNUMBER(K$2:K177),K$2:K177,0))),""))</f>
        <v/>
      </c>
      <c r="M177" s="21" t="str">
        <f>IF(A177="","",IFERROR(IF(SUMIF(N$2:N177,"CASA",K$2:K177)=0,"",SUMIF(N$2:N177,"CASA",K$2:K177)),""))</f>
        <v/>
      </c>
      <c r="N177" s="17" t="str">
        <f>IF(J177="","",IF(J177=0.2,"CASA",IF(Dati!G177="","",Dati!G177)))</f>
        <v/>
      </c>
    </row>
    <row r="178" spans="1:14" ht="15" customHeight="1" x14ac:dyDescent="0.2">
      <c r="A178" s="23" t="str">
        <f>IF(Dati!A178="","",Dati!A178)</f>
        <v/>
      </c>
      <c r="B178" s="17" t="str">
        <f>IF(Dati!B178="","",Dati!B178)</f>
        <v/>
      </c>
      <c r="C178" s="17" t="str">
        <f>IF(B178="","",IF(ISNUMBER(B177),IF(B178-B177&lt;0,B178,IF(B178-B177=0,"",B178-B177)),B178))</f>
        <v/>
      </c>
      <c r="D178" s="18" t="str">
        <f>IF(Dati!C178="","",IF(Dati!C178&gt;1,Dati!C178/100,Dati!C178))</f>
        <v/>
      </c>
      <c r="E178" s="18" t="str">
        <f>IF(Dati!D178="","",IF(Dati!D178&gt;1,Dati!D178/100,Dati!D178))</f>
        <v/>
      </c>
      <c r="F178" s="18" t="str">
        <f>IF(OR(D178="",E178=""),"",IF(OR(D178&gt;1,E178&gt;1),(E178-D178)/100,E178-D178))</f>
        <v/>
      </c>
      <c r="G178" s="17" t="str">
        <f>IF(F178="","",IF(64*F178=0,"",64*F178))</f>
        <v/>
      </c>
      <c r="H178" s="19" t="str">
        <f>IF(Dati!E178="","",Dati!E178)</f>
        <v/>
      </c>
      <c r="I178" s="19" t="str">
        <f>IFERROR(IF(OR(C178="",C178=0),"",H178/C178*100),"")</f>
        <v/>
      </c>
      <c r="J178" s="20" t="str">
        <f>IF(Dati!F178="","",Dati!F178)</f>
        <v/>
      </c>
      <c r="K178" s="19" t="str">
        <f>IF(OR(H178="",J178=""),"",IF(H178*J178=0,"",H178*J178))</f>
        <v/>
      </c>
      <c r="L178" s="19" t="str">
        <f>IF(A178="","",IFERROR(IF(SUMPRODUCT((ISNUMBER(A$2:A178))*(A$2:A178&gt;1000)*(MONTH(IF(ISNUMBER(A$2:A178),A$2:A178,1))=MONTH(A178))*(YEAR(IF(ISNUMBER(A$2:A178),A$2:A178,1))=YEAR(A178))*IF(ISNUMBER(K$2:K178),K$2:K178,0))=0,"",SUMPRODUCT((ISNUMBER(A$2:A178))*(A$2:A178&gt;1000)*(MONTH(IF(ISNUMBER(A$2:A178),A$2:A178,1))=MONTH(A178))*(YEAR(IF(ISNUMBER(A$2:A178),A$2:A178,1))=YEAR(A178))*IF(ISNUMBER(K$2:K178),K$2:K178,0))),""))</f>
        <v/>
      </c>
      <c r="M178" s="21" t="str">
        <f>IF(A178="","",IFERROR(IF(SUMIF(N$2:N178,"CASA",K$2:K178)=0,"",SUMIF(N$2:N178,"CASA",K$2:K178)),""))</f>
        <v/>
      </c>
      <c r="N178" s="17" t="str">
        <f>IF(J178="","",IF(J178=0.2,"CASA",IF(Dati!G178="","",Dati!G178)))</f>
        <v/>
      </c>
    </row>
    <row r="179" spans="1:14" ht="15" customHeight="1" x14ac:dyDescent="0.2">
      <c r="A179" s="23" t="str">
        <f>IF(Dati!A179="","",Dati!A179)</f>
        <v/>
      </c>
      <c r="B179" s="17" t="str">
        <f>IF(Dati!B179="","",Dati!B179)</f>
        <v/>
      </c>
      <c r="C179" s="17" t="str">
        <f>IF(B179="","",IF(ISNUMBER(B178),IF(B179-B178&lt;0,B179,IF(B179-B178=0,"",B179-B178)),B179))</f>
        <v/>
      </c>
      <c r="D179" s="18" t="str">
        <f>IF(Dati!C179="","",IF(Dati!C179&gt;1,Dati!C179/100,Dati!C179))</f>
        <v/>
      </c>
      <c r="E179" s="18" t="str">
        <f>IF(Dati!D179="","",IF(Dati!D179&gt;1,Dati!D179/100,Dati!D179))</f>
        <v/>
      </c>
      <c r="F179" s="18" t="str">
        <f>IF(OR(D179="",E179=""),"",IF(OR(D179&gt;1,E179&gt;1),(E179-D179)/100,E179-D179))</f>
        <v/>
      </c>
      <c r="G179" s="17" t="str">
        <f>IF(F179="","",IF(64*F179=0,"",64*F179))</f>
        <v/>
      </c>
      <c r="H179" s="19" t="str">
        <f>IF(Dati!E179="","",Dati!E179)</f>
        <v/>
      </c>
      <c r="I179" s="19" t="str">
        <f>IFERROR(IF(OR(C179="",C179=0),"",H179/C179*100),"")</f>
        <v/>
      </c>
      <c r="J179" s="20" t="str">
        <f>IF(Dati!F179="","",Dati!F179)</f>
        <v/>
      </c>
      <c r="K179" s="19" t="str">
        <f>IF(OR(H179="",J179=""),"",IF(H179*J179=0,"",H179*J179))</f>
        <v/>
      </c>
      <c r="L179" s="19" t="str">
        <f>IF(A179="","",IFERROR(IF(SUMPRODUCT((ISNUMBER(A$2:A179))*(A$2:A179&gt;1000)*(MONTH(IF(ISNUMBER(A$2:A179),A$2:A179,1))=MONTH(A179))*(YEAR(IF(ISNUMBER(A$2:A179),A$2:A179,1))=YEAR(A179))*IF(ISNUMBER(K$2:K179),K$2:K179,0))=0,"",SUMPRODUCT((ISNUMBER(A$2:A179))*(A$2:A179&gt;1000)*(MONTH(IF(ISNUMBER(A$2:A179),A$2:A179,1))=MONTH(A179))*(YEAR(IF(ISNUMBER(A$2:A179),A$2:A179,1))=YEAR(A179))*IF(ISNUMBER(K$2:K179),K$2:K179,0))),""))</f>
        <v/>
      </c>
      <c r="M179" s="21" t="str">
        <f>IF(A179="","",IFERROR(IF(SUMIF(N$2:N179,"CASA",K$2:K179)=0,"",SUMIF(N$2:N179,"CASA",K$2:K179)),""))</f>
        <v/>
      </c>
      <c r="N179" s="17" t="str">
        <f>IF(J179="","",IF(J179=0.2,"CASA",IF(Dati!G179="","",Dati!G179)))</f>
        <v/>
      </c>
    </row>
    <row r="180" spans="1:14" ht="15" customHeight="1" x14ac:dyDescent="0.2">
      <c r="A180" s="23" t="str">
        <f>IF(Dati!A180="","",Dati!A180)</f>
        <v/>
      </c>
      <c r="B180" s="17" t="str">
        <f>IF(Dati!B180="","",Dati!B180)</f>
        <v/>
      </c>
      <c r="C180" s="17" t="str">
        <f>IF(B180="","",IF(ISNUMBER(B179),IF(B180-B179&lt;0,B180,IF(B180-B179=0,"",B180-B179)),B180))</f>
        <v/>
      </c>
      <c r="D180" s="18" t="str">
        <f>IF(Dati!C180="","",IF(Dati!C180&gt;1,Dati!C180/100,Dati!C180))</f>
        <v/>
      </c>
      <c r="E180" s="18" t="str">
        <f>IF(Dati!D180="","",IF(Dati!D180&gt;1,Dati!D180/100,Dati!D180))</f>
        <v/>
      </c>
      <c r="F180" s="18" t="str">
        <f>IF(OR(D180="",E180=""),"",IF(OR(D180&gt;1,E180&gt;1),(E180-D180)/100,E180-D180))</f>
        <v/>
      </c>
      <c r="G180" s="17" t="str">
        <f>IF(F180="","",IF(64*F180=0,"",64*F180))</f>
        <v/>
      </c>
      <c r="H180" s="19" t="str">
        <f>IF(Dati!E180="","",Dati!E180)</f>
        <v/>
      </c>
      <c r="I180" s="19" t="str">
        <f>IFERROR(IF(OR(C180="",C180=0),"",H180/C180*100),"")</f>
        <v/>
      </c>
      <c r="J180" s="20" t="str">
        <f>IF(Dati!F180="","",Dati!F180)</f>
        <v/>
      </c>
      <c r="K180" s="19" t="str">
        <f>IF(OR(H180="",J180=""),"",IF(H180*J180=0,"",H180*J180))</f>
        <v/>
      </c>
      <c r="L180" s="19" t="str">
        <f>IF(A180="","",IFERROR(IF(SUMPRODUCT((ISNUMBER(A$2:A180))*(A$2:A180&gt;1000)*(MONTH(IF(ISNUMBER(A$2:A180),A$2:A180,1))=MONTH(A180))*(YEAR(IF(ISNUMBER(A$2:A180),A$2:A180,1))=YEAR(A180))*IF(ISNUMBER(K$2:K180),K$2:K180,0))=0,"",SUMPRODUCT((ISNUMBER(A$2:A180))*(A$2:A180&gt;1000)*(MONTH(IF(ISNUMBER(A$2:A180),A$2:A180,1))=MONTH(A180))*(YEAR(IF(ISNUMBER(A$2:A180),A$2:A180,1))=YEAR(A180))*IF(ISNUMBER(K$2:K180),K$2:K180,0))),""))</f>
        <v/>
      </c>
      <c r="M180" s="21" t="str">
        <f>IF(A180="","",IFERROR(IF(SUMIF(N$2:N180,"CASA",K$2:K180)=0,"",SUMIF(N$2:N180,"CASA",K$2:K180)),""))</f>
        <v/>
      </c>
      <c r="N180" s="17" t="str">
        <f>IF(J180="","",IF(J180=0.2,"CASA",IF(Dati!G180="","",Dati!G180)))</f>
        <v/>
      </c>
    </row>
    <row r="181" spans="1:14" ht="15" customHeight="1" x14ac:dyDescent="0.2">
      <c r="A181" s="23" t="str">
        <f>IF(Dati!A181="","",Dati!A181)</f>
        <v/>
      </c>
      <c r="B181" s="17" t="str">
        <f>IF(Dati!B181="","",Dati!B181)</f>
        <v/>
      </c>
      <c r="C181" s="17" t="str">
        <f>IF(B181="","",IF(ISNUMBER(B180),IF(B181-B180&lt;0,B181,IF(B181-B180=0,"",B181-B180)),B181))</f>
        <v/>
      </c>
      <c r="D181" s="18" t="str">
        <f>IF(Dati!C181="","",IF(Dati!C181&gt;1,Dati!C181/100,Dati!C181))</f>
        <v/>
      </c>
      <c r="E181" s="18" t="str">
        <f>IF(Dati!D181="","",IF(Dati!D181&gt;1,Dati!D181/100,Dati!D181))</f>
        <v/>
      </c>
      <c r="F181" s="18" t="str">
        <f>IF(OR(D181="",E181=""),"",IF(OR(D181&gt;1,E181&gt;1),(E181-D181)/100,E181-D181))</f>
        <v/>
      </c>
      <c r="G181" s="17" t="str">
        <f>IF(F181="","",IF(64*F181=0,"",64*F181))</f>
        <v/>
      </c>
      <c r="H181" s="19" t="str">
        <f>IF(Dati!E181="","",Dati!E181)</f>
        <v/>
      </c>
      <c r="I181" s="19" t="str">
        <f>IFERROR(IF(OR(C181="",C181=0),"",H181/C181*100),"")</f>
        <v/>
      </c>
      <c r="J181" s="20" t="str">
        <f>IF(Dati!F181="","",Dati!F181)</f>
        <v/>
      </c>
      <c r="K181" s="19" t="str">
        <f>IF(OR(H181="",J181=""),"",IF(H181*J181=0,"",H181*J181))</f>
        <v/>
      </c>
      <c r="L181" s="19" t="str">
        <f>IF(A181="","",IFERROR(IF(SUMPRODUCT((ISNUMBER(A$2:A181))*(A$2:A181&gt;1000)*(MONTH(IF(ISNUMBER(A$2:A181),A$2:A181,1))=MONTH(A181))*(YEAR(IF(ISNUMBER(A$2:A181),A$2:A181,1))=YEAR(A181))*IF(ISNUMBER(K$2:K181),K$2:K181,0))=0,"",SUMPRODUCT((ISNUMBER(A$2:A181))*(A$2:A181&gt;1000)*(MONTH(IF(ISNUMBER(A$2:A181),A$2:A181,1))=MONTH(A181))*(YEAR(IF(ISNUMBER(A$2:A181),A$2:A181,1))=YEAR(A181))*IF(ISNUMBER(K$2:K181),K$2:K181,0))),""))</f>
        <v/>
      </c>
      <c r="M181" s="21" t="str">
        <f>IF(A181="","",IFERROR(IF(SUMIF(N$2:N181,"CASA",K$2:K181)=0,"",SUMIF(N$2:N181,"CASA",K$2:K181)),""))</f>
        <v/>
      </c>
      <c r="N181" s="17" t="str">
        <f>IF(J181="","",IF(J181=0.2,"CASA",IF(Dati!G181="","",Dati!G181)))</f>
        <v/>
      </c>
    </row>
    <row r="182" spans="1:14" ht="15" customHeight="1" x14ac:dyDescent="0.2">
      <c r="A182" s="23" t="str">
        <f>IF(Dati!A182="","",Dati!A182)</f>
        <v/>
      </c>
      <c r="B182" s="17" t="str">
        <f>IF(Dati!B182="","",Dati!B182)</f>
        <v/>
      </c>
      <c r="C182" s="17" t="str">
        <f>IF(B182="","",IF(ISNUMBER(B181),IF(B182-B181&lt;0,B182,IF(B182-B181=0,"",B182-B181)),B182))</f>
        <v/>
      </c>
      <c r="D182" s="18" t="str">
        <f>IF(Dati!C182="","",IF(Dati!C182&gt;1,Dati!C182/100,Dati!C182))</f>
        <v/>
      </c>
      <c r="E182" s="18" t="str">
        <f>IF(Dati!D182="","",IF(Dati!D182&gt;1,Dati!D182/100,Dati!D182))</f>
        <v/>
      </c>
      <c r="F182" s="18" t="str">
        <f>IF(OR(D182="",E182=""),"",IF(OR(D182&gt;1,E182&gt;1),(E182-D182)/100,E182-D182))</f>
        <v/>
      </c>
      <c r="G182" s="17" t="str">
        <f>IF(F182="","",IF(64*F182=0,"",64*F182))</f>
        <v/>
      </c>
      <c r="H182" s="19" t="str">
        <f>IF(Dati!E182="","",Dati!E182)</f>
        <v/>
      </c>
      <c r="I182" s="19" t="str">
        <f>IFERROR(IF(OR(C182="",C182=0),"",H182/C182*100),"")</f>
        <v/>
      </c>
      <c r="J182" s="20" t="str">
        <f>IF(Dati!F182="","",Dati!F182)</f>
        <v/>
      </c>
      <c r="K182" s="19" t="str">
        <f>IF(OR(H182="",J182=""),"",IF(H182*J182=0,"",H182*J182))</f>
        <v/>
      </c>
      <c r="L182" s="19" t="str">
        <f>IF(A182="","",IFERROR(IF(SUMPRODUCT((ISNUMBER(A$2:A182))*(A$2:A182&gt;1000)*(MONTH(IF(ISNUMBER(A$2:A182),A$2:A182,1))=MONTH(A182))*(YEAR(IF(ISNUMBER(A$2:A182),A$2:A182,1))=YEAR(A182))*IF(ISNUMBER(K$2:K182),K$2:K182,0))=0,"",SUMPRODUCT((ISNUMBER(A$2:A182))*(A$2:A182&gt;1000)*(MONTH(IF(ISNUMBER(A$2:A182),A$2:A182,1))=MONTH(A182))*(YEAR(IF(ISNUMBER(A$2:A182),A$2:A182,1))=YEAR(A182))*IF(ISNUMBER(K$2:K182),K$2:K182,0))),""))</f>
        <v/>
      </c>
      <c r="M182" s="21" t="str">
        <f>IF(A182="","",IFERROR(IF(SUMIF(N$2:N182,"CASA",K$2:K182)=0,"",SUMIF(N$2:N182,"CASA",K$2:K182)),""))</f>
        <v/>
      </c>
      <c r="N182" s="17" t="str">
        <f>IF(J182="","",IF(J182=0.2,"CASA",IF(Dati!G182="","",Dati!G182)))</f>
        <v/>
      </c>
    </row>
    <row r="183" spans="1:14" ht="15" customHeight="1" x14ac:dyDescent="0.2">
      <c r="A183" s="23" t="str">
        <f>IF(Dati!A183="","",Dati!A183)</f>
        <v/>
      </c>
      <c r="B183" s="17" t="str">
        <f>IF(Dati!B183="","",Dati!B183)</f>
        <v/>
      </c>
      <c r="C183" s="17" t="str">
        <f>IF(B183="","",IF(ISNUMBER(B182),IF(B183-B182&lt;0,B183,IF(B183-B182=0,"",B183-B182)),B183))</f>
        <v/>
      </c>
      <c r="D183" s="18" t="str">
        <f>IF(Dati!C183="","",IF(Dati!C183&gt;1,Dati!C183/100,Dati!C183))</f>
        <v/>
      </c>
      <c r="E183" s="18" t="str">
        <f>IF(Dati!D183="","",IF(Dati!D183&gt;1,Dati!D183/100,Dati!D183))</f>
        <v/>
      </c>
      <c r="F183" s="18" t="str">
        <f>IF(OR(D183="",E183=""),"",IF(OR(D183&gt;1,E183&gt;1),(E183-D183)/100,E183-D183))</f>
        <v/>
      </c>
      <c r="G183" s="17" t="str">
        <f>IF(F183="","",IF(64*F183=0,"",64*F183))</f>
        <v/>
      </c>
      <c r="H183" s="19" t="str">
        <f>IF(Dati!E183="","",Dati!E183)</f>
        <v/>
      </c>
      <c r="I183" s="19" t="str">
        <f>IFERROR(IF(OR(C183="",C183=0),"",H183/C183*100),"")</f>
        <v/>
      </c>
      <c r="J183" s="20" t="str">
        <f>IF(Dati!F183="","",Dati!F183)</f>
        <v/>
      </c>
      <c r="K183" s="19" t="str">
        <f>IF(OR(H183="",J183=""),"",IF(H183*J183=0,"",H183*J183))</f>
        <v/>
      </c>
      <c r="L183" s="19" t="str">
        <f>IF(A183="","",IFERROR(IF(SUMPRODUCT((ISNUMBER(A$2:A183))*(A$2:A183&gt;1000)*(MONTH(IF(ISNUMBER(A$2:A183),A$2:A183,1))=MONTH(A183))*(YEAR(IF(ISNUMBER(A$2:A183),A$2:A183,1))=YEAR(A183))*IF(ISNUMBER(K$2:K183),K$2:K183,0))=0,"",SUMPRODUCT((ISNUMBER(A$2:A183))*(A$2:A183&gt;1000)*(MONTH(IF(ISNUMBER(A$2:A183),A$2:A183,1))=MONTH(A183))*(YEAR(IF(ISNUMBER(A$2:A183),A$2:A183,1))=YEAR(A183))*IF(ISNUMBER(K$2:K183),K$2:K183,0))),""))</f>
        <v/>
      </c>
      <c r="M183" s="21" t="str">
        <f>IF(A183="","",IFERROR(IF(SUMIF(N$2:N183,"CASA",K$2:K183)=0,"",SUMIF(N$2:N183,"CASA",K$2:K183)),""))</f>
        <v/>
      </c>
      <c r="N183" s="17" t="str">
        <f>IF(J183="","",IF(J183=0.2,"CASA",IF(Dati!G183="","",Dati!G183)))</f>
        <v/>
      </c>
    </row>
    <row r="184" spans="1:14" ht="15" customHeight="1" x14ac:dyDescent="0.2">
      <c r="A184" s="23" t="str">
        <f>IF(Dati!A184="","",Dati!A184)</f>
        <v/>
      </c>
      <c r="B184" s="17" t="str">
        <f>IF(Dati!B184="","",Dati!B184)</f>
        <v/>
      </c>
      <c r="C184" s="17" t="str">
        <f>IF(B184="","",IF(ISNUMBER(B183),IF(B184-B183&lt;0,B184,IF(B184-B183=0,"",B184-B183)),B184))</f>
        <v/>
      </c>
      <c r="D184" s="18" t="str">
        <f>IF(Dati!C184="","",IF(Dati!C184&gt;1,Dati!C184/100,Dati!C184))</f>
        <v/>
      </c>
      <c r="E184" s="18" t="str">
        <f>IF(Dati!D184="","",IF(Dati!D184&gt;1,Dati!D184/100,Dati!D184))</f>
        <v/>
      </c>
      <c r="F184" s="18" t="str">
        <f>IF(OR(D184="",E184=""),"",IF(OR(D184&gt;1,E184&gt;1),(E184-D184)/100,E184-D184))</f>
        <v/>
      </c>
      <c r="G184" s="17" t="str">
        <f>IF(F184="","",IF(64*F184=0,"",64*F184))</f>
        <v/>
      </c>
      <c r="H184" s="19" t="str">
        <f>IF(Dati!E184="","",Dati!E184)</f>
        <v/>
      </c>
      <c r="I184" s="19" t="str">
        <f>IFERROR(IF(OR(C184="",C184=0),"",H184/C184*100),"")</f>
        <v/>
      </c>
      <c r="J184" s="20" t="str">
        <f>IF(Dati!F184="","",Dati!F184)</f>
        <v/>
      </c>
      <c r="K184" s="19" t="str">
        <f>IF(OR(H184="",J184=""),"",IF(H184*J184=0,"",H184*J184))</f>
        <v/>
      </c>
      <c r="L184" s="19" t="str">
        <f>IF(A184="","",IFERROR(IF(SUMPRODUCT((ISNUMBER(A$2:A184))*(A$2:A184&gt;1000)*(MONTH(IF(ISNUMBER(A$2:A184),A$2:A184,1))=MONTH(A184))*(YEAR(IF(ISNUMBER(A$2:A184),A$2:A184,1))=YEAR(A184))*IF(ISNUMBER(K$2:K184),K$2:K184,0))=0,"",SUMPRODUCT((ISNUMBER(A$2:A184))*(A$2:A184&gt;1000)*(MONTH(IF(ISNUMBER(A$2:A184),A$2:A184,1))=MONTH(A184))*(YEAR(IF(ISNUMBER(A$2:A184),A$2:A184,1))=YEAR(A184))*IF(ISNUMBER(K$2:K184),K$2:K184,0))),""))</f>
        <v/>
      </c>
      <c r="M184" s="21" t="str">
        <f>IF(A184="","",IFERROR(IF(SUMIF(N$2:N184,"CASA",K$2:K184)=0,"",SUMIF(N$2:N184,"CASA",K$2:K184)),""))</f>
        <v/>
      </c>
      <c r="N184" s="17" t="str">
        <f>IF(J184="","",IF(J184=0.2,"CASA",IF(Dati!G184="","",Dati!G184)))</f>
        <v/>
      </c>
    </row>
    <row r="185" spans="1:14" ht="15" customHeight="1" x14ac:dyDescent="0.2">
      <c r="A185" s="23" t="str">
        <f>IF(Dati!A185="","",Dati!A185)</f>
        <v/>
      </c>
      <c r="B185" s="17" t="str">
        <f>IF(Dati!B185="","",Dati!B185)</f>
        <v/>
      </c>
      <c r="C185" s="17" t="str">
        <f>IF(B185="","",IF(ISNUMBER(B184),IF(B185-B184&lt;0,B185,IF(B185-B184=0,"",B185-B184)),B185))</f>
        <v/>
      </c>
      <c r="D185" s="18" t="str">
        <f>IF(Dati!C185="","",IF(Dati!C185&gt;1,Dati!C185/100,Dati!C185))</f>
        <v/>
      </c>
      <c r="E185" s="18" t="str">
        <f>IF(Dati!D185="","",IF(Dati!D185&gt;1,Dati!D185/100,Dati!D185))</f>
        <v/>
      </c>
      <c r="F185" s="18" t="str">
        <f>IF(OR(D185="",E185=""),"",IF(OR(D185&gt;1,E185&gt;1),(E185-D185)/100,E185-D185))</f>
        <v/>
      </c>
      <c r="G185" s="17" t="str">
        <f>IF(F185="","",IF(64*F185=0,"",64*F185))</f>
        <v/>
      </c>
      <c r="H185" s="19" t="str">
        <f>IF(Dati!E185="","",Dati!E185)</f>
        <v/>
      </c>
      <c r="I185" s="19" t="str">
        <f>IFERROR(IF(OR(C185="",C185=0),"",H185/C185*100),"")</f>
        <v/>
      </c>
      <c r="J185" s="20" t="str">
        <f>IF(Dati!F185="","",Dati!F185)</f>
        <v/>
      </c>
      <c r="K185" s="19" t="str">
        <f>IF(OR(H185="",J185=""),"",IF(H185*J185=0,"",H185*J185))</f>
        <v/>
      </c>
      <c r="L185" s="19" t="str">
        <f>IF(A185="","",IFERROR(IF(SUMPRODUCT((ISNUMBER(A$2:A185))*(A$2:A185&gt;1000)*(MONTH(IF(ISNUMBER(A$2:A185),A$2:A185,1))=MONTH(A185))*(YEAR(IF(ISNUMBER(A$2:A185),A$2:A185,1))=YEAR(A185))*IF(ISNUMBER(K$2:K185),K$2:K185,0))=0,"",SUMPRODUCT((ISNUMBER(A$2:A185))*(A$2:A185&gt;1000)*(MONTH(IF(ISNUMBER(A$2:A185),A$2:A185,1))=MONTH(A185))*(YEAR(IF(ISNUMBER(A$2:A185),A$2:A185,1))=YEAR(A185))*IF(ISNUMBER(K$2:K185),K$2:K185,0))),""))</f>
        <v/>
      </c>
      <c r="M185" s="21" t="str">
        <f>IF(A185="","",IFERROR(IF(SUMIF(N$2:N185,"CASA",K$2:K185)=0,"",SUMIF(N$2:N185,"CASA",K$2:K185)),""))</f>
        <v/>
      </c>
      <c r="N185" s="17" t="str">
        <f>IF(J185="","",IF(J185=0.2,"CASA",IF(Dati!G185="","",Dati!G185)))</f>
        <v/>
      </c>
    </row>
    <row r="186" spans="1:14" ht="15" customHeight="1" x14ac:dyDescent="0.2">
      <c r="A186" s="23" t="str">
        <f>IF(Dati!A186="","",Dati!A186)</f>
        <v/>
      </c>
      <c r="B186" s="17" t="str">
        <f>IF(Dati!B186="","",Dati!B186)</f>
        <v/>
      </c>
      <c r="C186" s="17" t="str">
        <f>IF(B186="","",IF(ISNUMBER(B185),IF(B186-B185&lt;0,B186,IF(B186-B185=0,"",B186-B185)),B186))</f>
        <v/>
      </c>
      <c r="D186" s="18" t="str">
        <f>IF(Dati!C186="","",IF(Dati!C186&gt;1,Dati!C186/100,Dati!C186))</f>
        <v/>
      </c>
      <c r="E186" s="18" t="str">
        <f>IF(Dati!D186="","",IF(Dati!D186&gt;1,Dati!D186/100,Dati!D186))</f>
        <v/>
      </c>
      <c r="F186" s="18" t="str">
        <f>IF(OR(D186="",E186=""),"",IF(OR(D186&gt;1,E186&gt;1),(E186-D186)/100,E186-D186))</f>
        <v/>
      </c>
      <c r="G186" s="17" t="str">
        <f>IF(F186="","",IF(64*F186=0,"",64*F186))</f>
        <v/>
      </c>
      <c r="H186" s="19" t="str">
        <f>IF(Dati!E186="","",Dati!E186)</f>
        <v/>
      </c>
      <c r="I186" s="19" t="str">
        <f>IFERROR(IF(OR(C186="",C186=0),"",H186/C186*100),"")</f>
        <v/>
      </c>
      <c r="J186" s="20" t="str">
        <f>IF(Dati!F186="","",Dati!F186)</f>
        <v/>
      </c>
      <c r="K186" s="19" t="str">
        <f>IF(OR(H186="",J186=""),"",IF(H186*J186=0,"",H186*J186))</f>
        <v/>
      </c>
      <c r="L186" s="19" t="str">
        <f>IF(A186="","",IFERROR(IF(SUMPRODUCT((ISNUMBER(A$2:A186))*(A$2:A186&gt;1000)*(MONTH(IF(ISNUMBER(A$2:A186),A$2:A186,1))=MONTH(A186))*(YEAR(IF(ISNUMBER(A$2:A186),A$2:A186,1))=YEAR(A186))*IF(ISNUMBER(K$2:K186),K$2:K186,0))=0,"",SUMPRODUCT((ISNUMBER(A$2:A186))*(A$2:A186&gt;1000)*(MONTH(IF(ISNUMBER(A$2:A186),A$2:A186,1))=MONTH(A186))*(YEAR(IF(ISNUMBER(A$2:A186),A$2:A186,1))=YEAR(A186))*IF(ISNUMBER(K$2:K186),K$2:K186,0))),""))</f>
        <v/>
      </c>
      <c r="M186" s="21" t="str">
        <f>IF(A186="","",IFERROR(IF(SUMIF(N$2:N186,"CASA",K$2:K186)=0,"",SUMIF(N$2:N186,"CASA",K$2:K186)),""))</f>
        <v/>
      </c>
      <c r="N186" s="17" t="str">
        <f>IF(J186="","",IF(J186=0.2,"CASA",IF(Dati!G186="","",Dati!G186)))</f>
        <v/>
      </c>
    </row>
    <row r="187" spans="1:14" ht="15" customHeight="1" x14ac:dyDescent="0.2">
      <c r="A187" s="23" t="str">
        <f>IF(Dati!A187="","",Dati!A187)</f>
        <v/>
      </c>
      <c r="B187" s="17" t="str">
        <f>IF(Dati!B187="","",Dati!B187)</f>
        <v/>
      </c>
      <c r="C187" s="17" t="str">
        <f>IF(B187="","",IF(ISNUMBER(B186),IF(B187-B186&lt;0,B187,IF(B187-B186=0,"",B187-B186)),B187))</f>
        <v/>
      </c>
      <c r="D187" s="18" t="str">
        <f>IF(Dati!C187="","",IF(Dati!C187&gt;1,Dati!C187/100,Dati!C187))</f>
        <v/>
      </c>
      <c r="E187" s="18" t="str">
        <f>IF(Dati!D187="","",IF(Dati!D187&gt;1,Dati!D187/100,Dati!D187))</f>
        <v/>
      </c>
      <c r="F187" s="18" t="str">
        <f>IF(OR(D187="",E187=""),"",IF(OR(D187&gt;1,E187&gt;1),(E187-D187)/100,E187-D187))</f>
        <v/>
      </c>
      <c r="G187" s="17" t="str">
        <f>IF(F187="","",IF(64*F187=0,"",64*F187))</f>
        <v/>
      </c>
      <c r="H187" s="19" t="str">
        <f>IF(Dati!E187="","",Dati!E187)</f>
        <v/>
      </c>
      <c r="I187" s="19" t="str">
        <f>IFERROR(IF(OR(C187="",C187=0),"",H187/C187*100),"")</f>
        <v/>
      </c>
      <c r="J187" s="20" t="str">
        <f>IF(Dati!F187="","",Dati!F187)</f>
        <v/>
      </c>
      <c r="K187" s="19" t="str">
        <f>IF(OR(H187="",J187=""),"",IF(H187*J187=0,"",H187*J187))</f>
        <v/>
      </c>
      <c r="L187" s="19" t="str">
        <f>IF(A187="","",IFERROR(IF(SUMPRODUCT((ISNUMBER(A$2:A187))*(A$2:A187&gt;1000)*(MONTH(IF(ISNUMBER(A$2:A187),A$2:A187,1))=MONTH(A187))*(YEAR(IF(ISNUMBER(A$2:A187),A$2:A187,1))=YEAR(A187))*IF(ISNUMBER(K$2:K187),K$2:K187,0))=0,"",SUMPRODUCT((ISNUMBER(A$2:A187))*(A$2:A187&gt;1000)*(MONTH(IF(ISNUMBER(A$2:A187),A$2:A187,1))=MONTH(A187))*(YEAR(IF(ISNUMBER(A$2:A187),A$2:A187,1))=YEAR(A187))*IF(ISNUMBER(K$2:K187),K$2:K187,0))),""))</f>
        <v/>
      </c>
      <c r="M187" s="21" t="str">
        <f>IF(A187="","",IFERROR(IF(SUMIF(N$2:N187,"CASA",K$2:K187)=0,"",SUMIF(N$2:N187,"CASA",K$2:K187)),""))</f>
        <v/>
      </c>
      <c r="N187" s="17" t="str">
        <f>IF(J187="","",IF(J187=0.2,"CASA",IF(Dati!G187="","",Dati!G187)))</f>
        <v/>
      </c>
    </row>
    <row r="188" spans="1:14" ht="15" customHeight="1" x14ac:dyDescent="0.2">
      <c r="A188" s="23" t="str">
        <f>IF(Dati!A188="","",Dati!A188)</f>
        <v/>
      </c>
      <c r="B188" s="17" t="str">
        <f>IF(Dati!B188="","",Dati!B188)</f>
        <v/>
      </c>
      <c r="C188" s="17" t="str">
        <f>IF(B188="","",IF(ISNUMBER(B187),IF(B188-B187&lt;0,B188,IF(B188-B187=0,"",B188-B187)),B188))</f>
        <v/>
      </c>
      <c r="D188" s="18" t="str">
        <f>IF(Dati!C188="","",IF(Dati!C188&gt;1,Dati!C188/100,Dati!C188))</f>
        <v/>
      </c>
      <c r="E188" s="18" t="str">
        <f>IF(Dati!D188="","",IF(Dati!D188&gt;1,Dati!D188/100,Dati!D188))</f>
        <v/>
      </c>
      <c r="F188" s="18" t="str">
        <f>IF(OR(D188="",E188=""),"",IF(OR(D188&gt;1,E188&gt;1),(E188-D188)/100,E188-D188))</f>
        <v/>
      </c>
      <c r="G188" s="17" t="str">
        <f>IF(F188="","",IF(64*F188=0,"",64*F188))</f>
        <v/>
      </c>
      <c r="H188" s="19" t="str">
        <f>IF(Dati!E188="","",Dati!E188)</f>
        <v/>
      </c>
      <c r="I188" s="19" t="str">
        <f>IFERROR(IF(OR(C188="",C188=0),"",H188/C188*100),"")</f>
        <v/>
      </c>
      <c r="J188" s="20" t="str">
        <f>IF(Dati!F188="","",Dati!F188)</f>
        <v/>
      </c>
      <c r="K188" s="19" t="str">
        <f>IF(OR(H188="",J188=""),"",IF(H188*J188=0,"",H188*J188))</f>
        <v/>
      </c>
      <c r="L188" s="19" t="str">
        <f>IF(A188="","",IFERROR(IF(SUMPRODUCT((ISNUMBER(A$2:A188))*(A$2:A188&gt;1000)*(MONTH(IF(ISNUMBER(A$2:A188),A$2:A188,1))=MONTH(A188))*(YEAR(IF(ISNUMBER(A$2:A188),A$2:A188,1))=YEAR(A188))*IF(ISNUMBER(K$2:K188),K$2:K188,0))=0,"",SUMPRODUCT((ISNUMBER(A$2:A188))*(A$2:A188&gt;1000)*(MONTH(IF(ISNUMBER(A$2:A188),A$2:A188,1))=MONTH(A188))*(YEAR(IF(ISNUMBER(A$2:A188),A$2:A188,1))=YEAR(A188))*IF(ISNUMBER(K$2:K188),K$2:K188,0))),""))</f>
        <v/>
      </c>
      <c r="M188" s="21" t="str">
        <f>IF(A188="","",IFERROR(IF(SUMIF(N$2:N188,"CASA",K$2:K188)=0,"",SUMIF(N$2:N188,"CASA",K$2:K188)),""))</f>
        <v/>
      </c>
      <c r="N188" s="17" t="str">
        <f>IF(J188="","",IF(J188=0.2,"CASA",IF(Dati!G188="","",Dati!G188)))</f>
        <v/>
      </c>
    </row>
    <row r="189" spans="1:14" ht="15" customHeight="1" x14ac:dyDescent="0.2">
      <c r="A189" s="23" t="str">
        <f>IF(Dati!A189="","",Dati!A189)</f>
        <v/>
      </c>
      <c r="B189" s="17" t="str">
        <f>IF(Dati!B189="","",Dati!B189)</f>
        <v/>
      </c>
      <c r="C189" s="17" t="str">
        <f>IF(B189="","",IF(ISNUMBER(B188),IF(B189-B188&lt;0,B189,IF(B189-B188=0,"",B189-B188)),B189))</f>
        <v/>
      </c>
      <c r="D189" s="18" t="str">
        <f>IF(Dati!C189="","",IF(Dati!C189&gt;1,Dati!C189/100,Dati!C189))</f>
        <v/>
      </c>
      <c r="E189" s="18" t="str">
        <f>IF(Dati!D189="","",IF(Dati!D189&gt;1,Dati!D189/100,Dati!D189))</f>
        <v/>
      </c>
      <c r="F189" s="18" t="str">
        <f>IF(OR(D189="",E189=""),"",IF(OR(D189&gt;1,E189&gt;1),(E189-D189)/100,E189-D189))</f>
        <v/>
      </c>
      <c r="G189" s="17" t="str">
        <f>IF(F189="","",IF(64*F189=0,"",64*F189))</f>
        <v/>
      </c>
      <c r="H189" s="19" t="str">
        <f>IF(Dati!E189="","",Dati!E189)</f>
        <v/>
      </c>
      <c r="I189" s="19" t="str">
        <f>IFERROR(IF(OR(C189="",C189=0),"",H189/C189*100),"")</f>
        <v/>
      </c>
      <c r="J189" s="20" t="str">
        <f>IF(Dati!F189="","",Dati!F189)</f>
        <v/>
      </c>
      <c r="K189" s="19" t="str">
        <f>IF(OR(H189="",J189=""),"",IF(H189*J189=0,"",H189*J189))</f>
        <v/>
      </c>
      <c r="L189" s="19" t="str">
        <f>IF(A189="","",IFERROR(IF(SUMPRODUCT((ISNUMBER(A$2:A189))*(A$2:A189&gt;1000)*(MONTH(IF(ISNUMBER(A$2:A189),A$2:A189,1))=MONTH(A189))*(YEAR(IF(ISNUMBER(A$2:A189),A$2:A189,1))=YEAR(A189))*IF(ISNUMBER(K$2:K189),K$2:K189,0))=0,"",SUMPRODUCT((ISNUMBER(A$2:A189))*(A$2:A189&gt;1000)*(MONTH(IF(ISNUMBER(A$2:A189),A$2:A189,1))=MONTH(A189))*(YEAR(IF(ISNUMBER(A$2:A189),A$2:A189,1))=YEAR(A189))*IF(ISNUMBER(K$2:K189),K$2:K189,0))),""))</f>
        <v/>
      </c>
      <c r="M189" s="21" t="str">
        <f>IF(A189="","",IFERROR(IF(SUMIF(N$2:N189,"CASA",K$2:K189)=0,"",SUMIF(N$2:N189,"CASA",K$2:K189)),""))</f>
        <v/>
      </c>
      <c r="N189" s="17" t="str">
        <f>IF(J189="","",IF(J189=0.2,"CASA",IF(Dati!G189="","",Dati!G189)))</f>
        <v/>
      </c>
    </row>
    <row r="190" spans="1:14" ht="15" customHeight="1" x14ac:dyDescent="0.2">
      <c r="A190" s="23" t="str">
        <f>IF(Dati!A190="","",Dati!A190)</f>
        <v/>
      </c>
      <c r="B190" s="17" t="str">
        <f>IF(Dati!B190="","",Dati!B190)</f>
        <v/>
      </c>
      <c r="C190" s="17" t="str">
        <f>IF(B190="","",IF(ISNUMBER(B189),IF(B190-B189&lt;0,B190,IF(B190-B189=0,"",B190-B189)),B190))</f>
        <v/>
      </c>
      <c r="D190" s="18" t="str">
        <f>IF(Dati!C190="","",IF(Dati!C190&gt;1,Dati!C190/100,Dati!C190))</f>
        <v/>
      </c>
      <c r="E190" s="18" t="str">
        <f>IF(Dati!D190="","",IF(Dati!D190&gt;1,Dati!D190/100,Dati!D190))</f>
        <v/>
      </c>
      <c r="F190" s="18" t="str">
        <f>IF(OR(D190="",E190=""),"",IF(OR(D190&gt;1,E190&gt;1),(E190-D190)/100,E190-D190))</f>
        <v/>
      </c>
      <c r="G190" s="17" t="str">
        <f>IF(F190="","",IF(64*F190=0,"",64*F190))</f>
        <v/>
      </c>
      <c r="H190" s="19" t="str">
        <f>IF(Dati!E190="","",Dati!E190)</f>
        <v/>
      </c>
      <c r="I190" s="19" t="str">
        <f>IFERROR(IF(OR(C190="",C190=0),"",H190/C190*100),"")</f>
        <v/>
      </c>
      <c r="J190" s="20" t="str">
        <f>IF(Dati!F190="","",Dati!F190)</f>
        <v/>
      </c>
      <c r="K190" s="19" t="str">
        <f>IF(OR(H190="",J190=""),"",IF(H190*J190=0,"",H190*J190))</f>
        <v/>
      </c>
      <c r="L190" s="19" t="str">
        <f>IF(A190="","",IFERROR(IF(SUMPRODUCT((ISNUMBER(A$2:A190))*(A$2:A190&gt;1000)*(MONTH(IF(ISNUMBER(A$2:A190),A$2:A190,1))=MONTH(A190))*(YEAR(IF(ISNUMBER(A$2:A190),A$2:A190,1))=YEAR(A190))*IF(ISNUMBER(K$2:K190),K$2:K190,0))=0,"",SUMPRODUCT((ISNUMBER(A$2:A190))*(A$2:A190&gt;1000)*(MONTH(IF(ISNUMBER(A$2:A190),A$2:A190,1))=MONTH(A190))*(YEAR(IF(ISNUMBER(A$2:A190),A$2:A190,1))=YEAR(A190))*IF(ISNUMBER(K$2:K190),K$2:K190,0))),""))</f>
        <v/>
      </c>
      <c r="M190" s="21" t="str">
        <f>IF(A190="","",IFERROR(IF(SUMIF(N$2:N190,"CASA",K$2:K190)=0,"",SUMIF(N$2:N190,"CASA",K$2:K190)),""))</f>
        <v/>
      </c>
      <c r="N190" s="17" t="str">
        <f>IF(J190="","",IF(J190=0.2,"CASA",IF(Dati!G190="","",Dati!G190)))</f>
        <v/>
      </c>
    </row>
    <row r="191" spans="1:14" ht="15" customHeight="1" x14ac:dyDescent="0.2">
      <c r="A191" s="23" t="str">
        <f>IF(Dati!A191="","",Dati!A191)</f>
        <v/>
      </c>
      <c r="B191" s="17" t="str">
        <f>IF(Dati!B191="","",Dati!B191)</f>
        <v/>
      </c>
      <c r="C191" s="17" t="str">
        <f>IF(B191="","",IF(ISNUMBER(B190),IF(B191-B190&lt;0,B191,IF(B191-B190=0,"",B191-B190)),B191))</f>
        <v/>
      </c>
      <c r="D191" s="18" t="str">
        <f>IF(Dati!C191="","",IF(Dati!C191&gt;1,Dati!C191/100,Dati!C191))</f>
        <v/>
      </c>
      <c r="E191" s="18" t="str">
        <f>IF(Dati!D191="","",IF(Dati!D191&gt;1,Dati!D191/100,Dati!D191))</f>
        <v/>
      </c>
      <c r="F191" s="18" t="str">
        <f>IF(OR(D191="",E191=""),"",IF(OR(D191&gt;1,E191&gt;1),(E191-D191)/100,E191-D191))</f>
        <v/>
      </c>
      <c r="G191" s="17" t="str">
        <f>IF(F191="","",IF(64*F191=0,"",64*F191))</f>
        <v/>
      </c>
      <c r="H191" s="19" t="str">
        <f>IF(Dati!E191="","",Dati!E191)</f>
        <v/>
      </c>
      <c r="I191" s="19" t="str">
        <f>IFERROR(IF(OR(C191="",C191=0),"",H191/C191*100),"")</f>
        <v/>
      </c>
      <c r="J191" s="20" t="str">
        <f>IF(Dati!F191="","",Dati!F191)</f>
        <v/>
      </c>
      <c r="K191" s="19" t="str">
        <f>IF(OR(H191="",J191=""),"",IF(H191*J191=0,"",H191*J191))</f>
        <v/>
      </c>
      <c r="L191" s="19" t="str">
        <f>IF(A191="","",IFERROR(IF(SUMPRODUCT((ISNUMBER(A$2:A191))*(A$2:A191&gt;1000)*(MONTH(IF(ISNUMBER(A$2:A191),A$2:A191,1))=MONTH(A191))*(YEAR(IF(ISNUMBER(A$2:A191),A$2:A191,1))=YEAR(A191))*IF(ISNUMBER(K$2:K191),K$2:K191,0))=0,"",SUMPRODUCT((ISNUMBER(A$2:A191))*(A$2:A191&gt;1000)*(MONTH(IF(ISNUMBER(A$2:A191),A$2:A191,1))=MONTH(A191))*(YEAR(IF(ISNUMBER(A$2:A191),A$2:A191,1))=YEAR(A191))*IF(ISNUMBER(K$2:K191),K$2:K191,0))),""))</f>
        <v/>
      </c>
      <c r="M191" s="21" t="str">
        <f>IF(A191="","",IFERROR(IF(SUMIF(N$2:N191,"CASA",K$2:K191)=0,"",SUMIF(N$2:N191,"CASA",K$2:K191)),""))</f>
        <v/>
      </c>
      <c r="N191" s="17" t="str">
        <f>IF(J191="","",IF(J191=0.2,"CASA",IF(Dati!G191="","",Dati!G191)))</f>
        <v/>
      </c>
    </row>
    <row r="192" spans="1:14" ht="15" customHeight="1" x14ac:dyDescent="0.2">
      <c r="A192" s="23" t="str">
        <f>IF(Dati!A192="","",Dati!A192)</f>
        <v/>
      </c>
      <c r="B192" s="17" t="str">
        <f>IF(Dati!B192="","",Dati!B192)</f>
        <v/>
      </c>
      <c r="C192" s="17" t="str">
        <f>IF(B192="","",IF(ISNUMBER(B191),IF(B192-B191&lt;0,B192,IF(B192-B191=0,"",B192-B191)),B192))</f>
        <v/>
      </c>
      <c r="D192" s="18" t="str">
        <f>IF(Dati!C192="","",IF(Dati!C192&gt;1,Dati!C192/100,Dati!C192))</f>
        <v/>
      </c>
      <c r="E192" s="18" t="str">
        <f>IF(Dati!D192="","",IF(Dati!D192&gt;1,Dati!D192/100,Dati!D192))</f>
        <v/>
      </c>
      <c r="F192" s="18" t="str">
        <f>IF(OR(D192="",E192=""),"",IF(OR(D192&gt;1,E192&gt;1),(E192-D192)/100,E192-D192))</f>
        <v/>
      </c>
      <c r="G192" s="17" t="str">
        <f>IF(F192="","",IF(64*F192=0,"",64*F192))</f>
        <v/>
      </c>
      <c r="H192" s="19" t="str">
        <f>IF(Dati!E192="","",Dati!E192)</f>
        <v/>
      </c>
      <c r="I192" s="19" t="str">
        <f>IFERROR(IF(OR(C192="",C192=0),"",H192/C192*100),"")</f>
        <v/>
      </c>
      <c r="J192" s="20" t="str">
        <f>IF(Dati!F192="","",Dati!F192)</f>
        <v/>
      </c>
      <c r="K192" s="19" t="str">
        <f>IF(OR(H192="",J192=""),"",IF(H192*J192=0,"",H192*J192))</f>
        <v/>
      </c>
      <c r="L192" s="19" t="str">
        <f>IF(A192="","",IFERROR(IF(SUMPRODUCT((ISNUMBER(A$2:A192))*(A$2:A192&gt;1000)*(MONTH(IF(ISNUMBER(A$2:A192),A$2:A192,1))=MONTH(A192))*(YEAR(IF(ISNUMBER(A$2:A192),A$2:A192,1))=YEAR(A192))*IF(ISNUMBER(K$2:K192),K$2:K192,0))=0,"",SUMPRODUCT((ISNUMBER(A$2:A192))*(A$2:A192&gt;1000)*(MONTH(IF(ISNUMBER(A$2:A192),A$2:A192,1))=MONTH(A192))*(YEAR(IF(ISNUMBER(A$2:A192),A$2:A192,1))=YEAR(A192))*IF(ISNUMBER(K$2:K192),K$2:K192,0))),""))</f>
        <v/>
      </c>
      <c r="M192" s="21" t="str">
        <f>IF(A192="","",IFERROR(IF(SUMIF(N$2:N192,"CASA",K$2:K192)=0,"",SUMIF(N$2:N192,"CASA",K$2:K192)),""))</f>
        <v/>
      </c>
      <c r="N192" s="17" t="str">
        <f>IF(J192="","",IF(J192=0.2,"CASA",IF(Dati!G192="","",Dati!G192)))</f>
        <v/>
      </c>
    </row>
    <row r="193" spans="1:14" ht="15" customHeight="1" x14ac:dyDescent="0.2">
      <c r="A193" s="23" t="str">
        <f>IF(Dati!A193="","",Dati!A193)</f>
        <v/>
      </c>
      <c r="B193" s="17" t="str">
        <f>IF(Dati!B193="","",Dati!B193)</f>
        <v/>
      </c>
      <c r="C193" s="17" t="str">
        <f>IF(B193="","",IF(ISNUMBER(B192),IF(B193-B192&lt;0,B193,IF(B193-B192=0,"",B193-B192)),B193))</f>
        <v/>
      </c>
      <c r="D193" s="18" t="str">
        <f>IF(Dati!C193="","",IF(Dati!C193&gt;1,Dati!C193/100,Dati!C193))</f>
        <v/>
      </c>
      <c r="E193" s="18" t="str">
        <f>IF(Dati!D193="","",IF(Dati!D193&gt;1,Dati!D193/100,Dati!D193))</f>
        <v/>
      </c>
      <c r="F193" s="18" t="str">
        <f>IF(OR(D193="",E193=""),"",IF(OR(D193&gt;1,E193&gt;1),(E193-D193)/100,E193-D193))</f>
        <v/>
      </c>
      <c r="G193" s="17" t="str">
        <f>IF(F193="","",IF(64*F193=0,"",64*F193))</f>
        <v/>
      </c>
      <c r="H193" s="19" t="str">
        <f>IF(Dati!E193="","",Dati!E193)</f>
        <v/>
      </c>
      <c r="I193" s="19" t="str">
        <f>IFERROR(IF(OR(C193="",C193=0),"",H193/C193*100),"")</f>
        <v/>
      </c>
      <c r="J193" s="20" t="str">
        <f>IF(Dati!F193="","",Dati!F193)</f>
        <v/>
      </c>
      <c r="K193" s="19" t="str">
        <f>IF(OR(H193="",J193=""),"",IF(H193*J193=0,"",H193*J193))</f>
        <v/>
      </c>
      <c r="L193" s="19" t="str">
        <f>IF(A193="","",IFERROR(IF(SUMPRODUCT((ISNUMBER(A$2:A193))*(A$2:A193&gt;1000)*(MONTH(IF(ISNUMBER(A$2:A193),A$2:A193,1))=MONTH(A193))*(YEAR(IF(ISNUMBER(A$2:A193),A$2:A193,1))=YEAR(A193))*IF(ISNUMBER(K$2:K193),K$2:K193,0))=0,"",SUMPRODUCT((ISNUMBER(A$2:A193))*(A$2:A193&gt;1000)*(MONTH(IF(ISNUMBER(A$2:A193),A$2:A193,1))=MONTH(A193))*(YEAR(IF(ISNUMBER(A$2:A193),A$2:A193,1))=YEAR(A193))*IF(ISNUMBER(K$2:K193),K$2:K193,0))),""))</f>
        <v/>
      </c>
      <c r="M193" s="21" t="str">
        <f>IF(A193="","",IFERROR(IF(SUMIF(N$2:N193,"CASA",K$2:K193)=0,"",SUMIF(N$2:N193,"CASA",K$2:K193)),""))</f>
        <v/>
      </c>
      <c r="N193" s="17" t="str">
        <f>IF(J193="","",IF(J193=0.2,"CASA",IF(Dati!G193="","",Dati!G193)))</f>
        <v/>
      </c>
    </row>
    <row r="194" spans="1:14" ht="15" customHeight="1" x14ac:dyDescent="0.2">
      <c r="A194" s="23" t="str">
        <f>IF(Dati!A194="","",Dati!A194)</f>
        <v/>
      </c>
      <c r="B194" s="17" t="str">
        <f>IF(Dati!B194="","",Dati!B194)</f>
        <v/>
      </c>
      <c r="C194" s="17" t="str">
        <f>IF(B194="","",IF(ISNUMBER(B193),IF(B194-B193&lt;0,B194,IF(B194-B193=0,"",B194-B193)),B194))</f>
        <v/>
      </c>
      <c r="D194" s="18" t="str">
        <f>IF(Dati!C194="","",IF(Dati!C194&gt;1,Dati!C194/100,Dati!C194))</f>
        <v/>
      </c>
      <c r="E194" s="18" t="str">
        <f>IF(Dati!D194="","",IF(Dati!D194&gt;1,Dati!D194/100,Dati!D194))</f>
        <v/>
      </c>
      <c r="F194" s="18" t="str">
        <f>IF(OR(D194="",E194=""),"",IF(OR(D194&gt;1,E194&gt;1),(E194-D194)/100,E194-D194))</f>
        <v/>
      </c>
      <c r="G194" s="17" t="str">
        <f>IF(F194="","",IF(64*F194=0,"",64*F194))</f>
        <v/>
      </c>
      <c r="H194" s="19" t="str">
        <f>IF(Dati!E194="","",Dati!E194)</f>
        <v/>
      </c>
      <c r="I194" s="19" t="str">
        <f>IFERROR(IF(OR(C194="",C194=0),"",H194/C194*100),"")</f>
        <v/>
      </c>
      <c r="J194" s="20" t="str">
        <f>IF(Dati!F194="","",Dati!F194)</f>
        <v/>
      </c>
      <c r="K194" s="19" t="str">
        <f>IF(OR(H194="",J194=""),"",IF(H194*J194=0,"",H194*J194))</f>
        <v/>
      </c>
      <c r="L194" s="19" t="str">
        <f>IF(A194="","",IFERROR(IF(SUMPRODUCT((ISNUMBER(A$2:A194))*(A$2:A194&gt;1000)*(MONTH(IF(ISNUMBER(A$2:A194),A$2:A194,1))=MONTH(A194))*(YEAR(IF(ISNUMBER(A$2:A194),A$2:A194,1))=YEAR(A194))*IF(ISNUMBER(K$2:K194),K$2:K194,0))=0,"",SUMPRODUCT((ISNUMBER(A$2:A194))*(A$2:A194&gt;1000)*(MONTH(IF(ISNUMBER(A$2:A194),A$2:A194,1))=MONTH(A194))*(YEAR(IF(ISNUMBER(A$2:A194),A$2:A194,1))=YEAR(A194))*IF(ISNUMBER(K$2:K194),K$2:K194,0))),""))</f>
        <v/>
      </c>
      <c r="M194" s="21" t="str">
        <f>IF(A194="","",IFERROR(IF(SUMIF(N$2:N194,"CASA",K$2:K194)=0,"",SUMIF(N$2:N194,"CASA",K$2:K194)),""))</f>
        <v/>
      </c>
      <c r="N194" s="17" t="str">
        <f>IF(J194="","",IF(J194=0.2,"CASA",IF(Dati!G194="","",Dati!G194)))</f>
        <v/>
      </c>
    </row>
    <row r="195" spans="1:14" ht="15" customHeight="1" x14ac:dyDescent="0.2">
      <c r="A195" s="23" t="str">
        <f>IF(Dati!A195="","",Dati!A195)</f>
        <v/>
      </c>
      <c r="B195" s="17" t="str">
        <f>IF(Dati!B195="","",Dati!B195)</f>
        <v/>
      </c>
      <c r="C195" s="17" t="str">
        <f>IF(B195="","",IF(ISNUMBER(B194),IF(B195-B194&lt;0,B195,IF(B195-B194=0,"",B195-B194)),B195))</f>
        <v/>
      </c>
      <c r="D195" s="18" t="str">
        <f>IF(Dati!C195="","",IF(Dati!C195&gt;1,Dati!C195/100,Dati!C195))</f>
        <v/>
      </c>
      <c r="E195" s="18" t="str">
        <f>IF(Dati!D195="","",IF(Dati!D195&gt;1,Dati!D195/100,Dati!D195))</f>
        <v/>
      </c>
      <c r="F195" s="18" t="str">
        <f>IF(OR(D195="",E195=""),"",IF(OR(D195&gt;1,E195&gt;1),(E195-D195)/100,E195-D195))</f>
        <v/>
      </c>
      <c r="G195" s="17" t="str">
        <f>IF(F195="","",IF(64*F195=0,"",64*F195))</f>
        <v/>
      </c>
      <c r="H195" s="19" t="str">
        <f>IF(Dati!E195="","",Dati!E195)</f>
        <v/>
      </c>
      <c r="I195" s="19" t="str">
        <f>IFERROR(IF(OR(C195="",C195=0),"",H195/C195*100),"")</f>
        <v/>
      </c>
      <c r="J195" s="20" t="str">
        <f>IF(Dati!F195="","",Dati!F195)</f>
        <v/>
      </c>
      <c r="K195" s="19" t="str">
        <f>IF(OR(H195="",J195=""),"",IF(H195*J195=0,"",H195*J195))</f>
        <v/>
      </c>
      <c r="L195" s="19" t="str">
        <f>IF(A195="","",IFERROR(IF(SUMPRODUCT((ISNUMBER(A$2:A195))*(A$2:A195&gt;1000)*(MONTH(IF(ISNUMBER(A$2:A195),A$2:A195,1))=MONTH(A195))*(YEAR(IF(ISNUMBER(A$2:A195),A$2:A195,1))=YEAR(A195))*IF(ISNUMBER(K$2:K195),K$2:K195,0))=0,"",SUMPRODUCT((ISNUMBER(A$2:A195))*(A$2:A195&gt;1000)*(MONTH(IF(ISNUMBER(A$2:A195),A$2:A195,1))=MONTH(A195))*(YEAR(IF(ISNUMBER(A$2:A195),A$2:A195,1))=YEAR(A195))*IF(ISNUMBER(K$2:K195),K$2:K195,0))),""))</f>
        <v/>
      </c>
      <c r="M195" s="21" t="str">
        <f>IF(A195="","",IFERROR(IF(SUMIF(N$2:N195,"CASA",K$2:K195)=0,"",SUMIF(N$2:N195,"CASA",K$2:K195)),""))</f>
        <v/>
      </c>
      <c r="N195" s="17" t="str">
        <f>IF(J195="","",IF(J195=0.2,"CASA",IF(Dati!G195="","",Dati!G195)))</f>
        <v/>
      </c>
    </row>
    <row r="196" spans="1:14" ht="15" customHeight="1" x14ac:dyDescent="0.2">
      <c r="A196" s="23" t="str">
        <f>IF(Dati!A196="","",Dati!A196)</f>
        <v/>
      </c>
      <c r="B196" s="17" t="str">
        <f>IF(Dati!B196="","",Dati!B196)</f>
        <v/>
      </c>
      <c r="C196" s="17" t="str">
        <f>IF(B196="","",IF(ISNUMBER(B195),IF(B196-B195&lt;0,B196,IF(B196-B195=0,"",B196-B195)),B196))</f>
        <v/>
      </c>
      <c r="D196" s="18" t="str">
        <f>IF(Dati!C196="","",IF(Dati!C196&gt;1,Dati!C196/100,Dati!C196))</f>
        <v/>
      </c>
      <c r="E196" s="18" t="str">
        <f>IF(Dati!D196="","",IF(Dati!D196&gt;1,Dati!D196/100,Dati!D196))</f>
        <v/>
      </c>
      <c r="F196" s="18" t="str">
        <f>IF(OR(D196="",E196=""),"",IF(OR(D196&gt;1,E196&gt;1),(E196-D196)/100,E196-D196))</f>
        <v/>
      </c>
      <c r="G196" s="17" t="str">
        <f>IF(F196="","",IF(64*F196=0,"",64*F196))</f>
        <v/>
      </c>
      <c r="H196" s="19" t="str">
        <f>IF(Dati!E196="","",Dati!E196)</f>
        <v/>
      </c>
      <c r="I196" s="19" t="str">
        <f>IFERROR(IF(OR(C196="",C196=0),"",H196/C196*100),"")</f>
        <v/>
      </c>
      <c r="J196" s="20" t="str">
        <f>IF(Dati!F196="","",Dati!F196)</f>
        <v/>
      </c>
      <c r="K196" s="19" t="str">
        <f>IF(OR(H196="",J196=""),"",IF(H196*J196=0,"",H196*J196))</f>
        <v/>
      </c>
      <c r="L196" s="19" t="str">
        <f>IF(A196="","",IFERROR(IF(SUMPRODUCT((ISNUMBER(A$2:A196))*(A$2:A196&gt;1000)*(MONTH(IF(ISNUMBER(A$2:A196),A$2:A196,1))=MONTH(A196))*(YEAR(IF(ISNUMBER(A$2:A196),A$2:A196,1))=YEAR(A196))*IF(ISNUMBER(K$2:K196),K$2:K196,0))=0,"",SUMPRODUCT((ISNUMBER(A$2:A196))*(A$2:A196&gt;1000)*(MONTH(IF(ISNUMBER(A$2:A196),A$2:A196,1))=MONTH(A196))*(YEAR(IF(ISNUMBER(A$2:A196),A$2:A196,1))=YEAR(A196))*IF(ISNUMBER(K$2:K196),K$2:K196,0))),""))</f>
        <v/>
      </c>
      <c r="M196" s="21" t="str">
        <f>IF(A196="","",IFERROR(IF(SUMIF(N$2:N196,"CASA",K$2:K196)=0,"",SUMIF(N$2:N196,"CASA",K$2:K196)),""))</f>
        <v/>
      </c>
      <c r="N196" s="17" t="str">
        <f>IF(J196="","",IF(J196=0.2,"CASA",IF(Dati!G196="","",Dati!G196)))</f>
        <v/>
      </c>
    </row>
    <row r="197" spans="1:14" ht="15" customHeight="1" x14ac:dyDescent="0.2">
      <c r="A197" s="23" t="str">
        <f>IF(Dati!A197="","",Dati!A197)</f>
        <v/>
      </c>
      <c r="B197" s="17" t="str">
        <f>IF(Dati!B197="","",Dati!B197)</f>
        <v/>
      </c>
      <c r="C197" s="17" t="str">
        <f>IF(B197="","",IF(ISNUMBER(B196),IF(B197-B196&lt;0,B197,IF(B197-B196=0,"",B197-B196)),B197))</f>
        <v/>
      </c>
      <c r="D197" s="18" t="str">
        <f>IF(Dati!C197="","",IF(Dati!C197&gt;1,Dati!C197/100,Dati!C197))</f>
        <v/>
      </c>
      <c r="E197" s="18" t="str">
        <f>IF(Dati!D197="","",IF(Dati!D197&gt;1,Dati!D197/100,Dati!D197))</f>
        <v/>
      </c>
      <c r="F197" s="18" t="str">
        <f>IF(OR(D197="",E197=""),"",IF(OR(D197&gt;1,E197&gt;1),(E197-D197)/100,E197-D197))</f>
        <v/>
      </c>
      <c r="G197" s="17" t="str">
        <f>IF(F197="","",IF(64*F197=0,"",64*F197))</f>
        <v/>
      </c>
      <c r="H197" s="19" t="str">
        <f>IF(Dati!E197="","",Dati!E197)</f>
        <v/>
      </c>
      <c r="I197" s="19" t="str">
        <f>IFERROR(IF(OR(C197="",C197=0),"",H197/C197*100),"")</f>
        <v/>
      </c>
      <c r="J197" s="20" t="str">
        <f>IF(Dati!F197="","",Dati!F197)</f>
        <v/>
      </c>
      <c r="K197" s="19" t="str">
        <f>IF(OR(H197="",J197=""),"",IF(H197*J197=0,"",H197*J197))</f>
        <v/>
      </c>
      <c r="L197" s="19" t="str">
        <f>IF(A197="","",IFERROR(IF(SUMPRODUCT((ISNUMBER(A$2:A197))*(A$2:A197&gt;1000)*(MONTH(IF(ISNUMBER(A$2:A197),A$2:A197,1))=MONTH(A197))*(YEAR(IF(ISNUMBER(A$2:A197),A$2:A197,1))=YEAR(A197))*IF(ISNUMBER(K$2:K197),K$2:K197,0))=0,"",SUMPRODUCT((ISNUMBER(A$2:A197))*(A$2:A197&gt;1000)*(MONTH(IF(ISNUMBER(A$2:A197),A$2:A197,1))=MONTH(A197))*(YEAR(IF(ISNUMBER(A$2:A197),A$2:A197,1))=YEAR(A197))*IF(ISNUMBER(K$2:K197),K$2:K197,0))),""))</f>
        <v/>
      </c>
      <c r="M197" s="21" t="str">
        <f>IF(A197="","",IFERROR(IF(SUMIF(N$2:N197,"CASA",K$2:K197)=0,"",SUMIF(N$2:N197,"CASA",K$2:K197)),""))</f>
        <v/>
      </c>
      <c r="N197" s="17" t="str">
        <f>IF(J197="","",IF(J197=0.2,"CASA",IF(Dati!G197="","",Dati!G197)))</f>
        <v/>
      </c>
    </row>
    <row r="198" spans="1:14" ht="15" customHeight="1" x14ac:dyDescent="0.2">
      <c r="A198" s="23" t="str">
        <f>IF(Dati!A198="","",Dati!A198)</f>
        <v/>
      </c>
      <c r="B198" s="17" t="str">
        <f>IF(Dati!B198="","",Dati!B198)</f>
        <v/>
      </c>
      <c r="C198" s="17" t="str">
        <f>IF(B198="","",IF(ISNUMBER(B197),IF(B198-B197&lt;0,B198,IF(B198-B197=0,"",B198-B197)),B198))</f>
        <v/>
      </c>
      <c r="D198" s="18" t="str">
        <f>IF(Dati!C198="","",IF(Dati!C198&gt;1,Dati!C198/100,Dati!C198))</f>
        <v/>
      </c>
      <c r="E198" s="18" t="str">
        <f>IF(Dati!D198="","",IF(Dati!D198&gt;1,Dati!D198/100,Dati!D198))</f>
        <v/>
      </c>
      <c r="F198" s="18" t="str">
        <f>IF(OR(D198="",E198=""),"",IF(OR(D198&gt;1,E198&gt;1),(E198-D198)/100,E198-D198))</f>
        <v/>
      </c>
      <c r="G198" s="17" t="str">
        <f>IF(F198="","",IF(64*F198=0,"",64*F198))</f>
        <v/>
      </c>
      <c r="H198" s="19" t="str">
        <f>IF(Dati!E198="","",Dati!E198)</f>
        <v/>
      </c>
      <c r="I198" s="19" t="str">
        <f>IFERROR(IF(OR(C198="",C198=0),"",H198/C198*100),"")</f>
        <v/>
      </c>
      <c r="J198" s="20" t="str">
        <f>IF(Dati!F198="","",Dati!F198)</f>
        <v/>
      </c>
      <c r="K198" s="19" t="str">
        <f>IF(OR(H198="",J198=""),"",IF(H198*J198=0,"",H198*J198))</f>
        <v/>
      </c>
      <c r="L198" s="19" t="str">
        <f>IF(A198="","",IFERROR(IF(SUMPRODUCT((ISNUMBER(A$2:A198))*(A$2:A198&gt;1000)*(MONTH(IF(ISNUMBER(A$2:A198),A$2:A198,1))=MONTH(A198))*(YEAR(IF(ISNUMBER(A$2:A198),A$2:A198,1))=YEAR(A198))*IF(ISNUMBER(K$2:K198),K$2:K198,0))=0,"",SUMPRODUCT((ISNUMBER(A$2:A198))*(A$2:A198&gt;1000)*(MONTH(IF(ISNUMBER(A$2:A198),A$2:A198,1))=MONTH(A198))*(YEAR(IF(ISNUMBER(A$2:A198),A$2:A198,1))=YEAR(A198))*IF(ISNUMBER(K$2:K198),K$2:K198,0))),""))</f>
        <v/>
      </c>
      <c r="M198" s="21" t="str">
        <f>IF(A198="","",IFERROR(IF(SUMIF(N$2:N198,"CASA",K$2:K198)=0,"",SUMIF(N$2:N198,"CASA",K$2:K198)),""))</f>
        <v/>
      </c>
      <c r="N198" s="17" t="str">
        <f>IF(J198="","",IF(J198=0.2,"CASA",IF(Dati!G198="","",Dati!G198)))</f>
        <v/>
      </c>
    </row>
    <row r="199" spans="1:14" ht="15" customHeight="1" x14ac:dyDescent="0.2">
      <c r="A199" s="23" t="str">
        <f>IF(Dati!A199="","",Dati!A199)</f>
        <v/>
      </c>
      <c r="B199" s="17" t="str">
        <f>IF(Dati!B199="","",Dati!B199)</f>
        <v/>
      </c>
      <c r="C199" s="17" t="str">
        <f>IF(B199="","",IF(ISNUMBER(B198),IF(B199-B198&lt;0,B199,IF(B199-B198=0,"",B199-B198)),B199))</f>
        <v/>
      </c>
      <c r="D199" s="18" t="str">
        <f>IF(Dati!C199="","",IF(Dati!C199&gt;1,Dati!C199/100,Dati!C199))</f>
        <v/>
      </c>
      <c r="E199" s="18" t="str">
        <f>IF(Dati!D199="","",IF(Dati!D199&gt;1,Dati!D199/100,Dati!D199))</f>
        <v/>
      </c>
      <c r="F199" s="18" t="str">
        <f>IF(OR(D199="",E199=""),"",IF(OR(D199&gt;1,E199&gt;1),(E199-D199)/100,E199-D199))</f>
        <v/>
      </c>
      <c r="G199" s="17" t="str">
        <f>IF(F199="","",IF(64*F199=0,"",64*F199))</f>
        <v/>
      </c>
      <c r="H199" s="19" t="str">
        <f>IF(Dati!E199="","",Dati!E199)</f>
        <v/>
      </c>
      <c r="I199" s="19" t="str">
        <f>IFERROR(IF(OR(C199="",C199=0),"",H199/C199*100),"")</f>
        <v/>
      </c>
      <c r="J199" s="20" t="str">
        <f>IF(Dati!F199="","",Dati!F199)</f>
        <v/>
      </c>
      <c r="K199" s="19" t="str">
        <f>IF(OR(H199="",J199=""),"",IF(H199*J199=0,"",H199*J199))</f>
        <v/>
      </c>
      <c r="L199" s="19" t="str">
        <f>IF(A199="","",IFERROR(IF(SUMPRODUCT((ISNUMBER(A$2:A199))*(A$2:A199&gt;1000)*(MONTH(IF(ISNUMBER(A$2:A199),A$2:A199,1))=MONTH(A199))*(YEAR(IF(ISNUMBER(A$2:A199),A$2:A199,1))=YEAR(A199))*IF(ISNUMBER(K$2:K199),K$2:K199,0))=0,"",SUMPRODUCT((ISNUMBER(A$2:A199))*(A$2:A199&gt;1000)*(MONTH(IF(ISNUMBER(A$2:A199),A$2:A199,1))=MONTH(A199))*(YEAR(IF(ISNUMBER(A$2:A199),A$2:A199,1))=YEAR(A199))*IF(ISNUMBER(K$2:K199),K$2:K199,0))),""))</f>
        <v/>
      </c>
      <c r="M199" s="21" t="str">
        <f>IF(A199="","",IFERROR(IF(SUMIF(N$2:N199,"CASA",K$2:K199)=0,"",SUMIF(N$2:N199,"CASA",K$2:K199)),""))</f>
        <v/>
      </c>
      <c r="N199" s="17" t="str">
        <f>IF(J199="","",IF(J199=0.2,"CASA",IF(Dati!G199="","",Dati!G199)))</f>
        <v/>
      </c>
    </row>
    <row r="200" spans="1:14" ht="15" customHeight="1" x14ac:dyDescent="0.2">
      <c r="A200" s="23" t="str">
        <f>IF(Dati!A200="","",Dati!A200)</f>
        <v/>
      </c>
      <c r="B200" s="17" t="str">
        <f>IF(Dati!B200="","",Dati!B200)</f>
        <v/>
      </c>
      <c r="C200" s="17" t="str">
        <f>IF(B200="","",IF(ISNUMBER(B199),IF(B200-B199&lt;0,B200,IF(B200-B199=0,"",B200-B199)),B200))</f>
        <v/>
      </c>
      <c r="D200" s="18" t="str">
        <f>IF(Dati!C200="","",IF(Dati!C200&gt;1,Dati!C200/100,Dati!C200))</f>
        <v/>
      </c>
      <c r="E200" s="18" t="str">
        <f>IF(Dati!D200="","",IF(Dati!D200&gt;1,Dati!D200/100,Dati!D200))</f>
        <v/>
      </c>
      <c r="F200" s="18" t="str">
        <f>IF(OR(D200="",E200=""),"",IF(OR(D200&gt;1,E200&gt;1),(E200-D200)/100,E200-D200))</f>
        <v/>
      </c>
      <c r="G200" s="17" t="str">
        <f>IF(F200="","",IF(64*F200=0,"",64*F200))</f>
        <v/>
      </c>
      <c r="H200" s="19" t="str">
        <f>IF(Dati!E200="","",Dati!E200)</f>
        <v/>
      </c>
      <c r="I200" s="19" t="str">
        <f>IFERROR(IF(OR(C200="",C200=0),"",H200/C200*100),"")</f>
        <v/>
      </c>
      <c r="J200" s="20" t="str">
        <f>IF(Dati!F200="","",Dati!F200)</f>
        <v/>
      </c>
      <c r="K200" s="19" t="str">
        <f>IF(OR(H200="",J200=""),"",IF(H200*J200=0,"",H200*J200))</f>
        <v/>
      </c>
      <c r="L200" s="19" t="str">
        <f>IF(A200="","",IFERROR(IF(SUMPRODUCT((ISNUMBER(A$2:A200))*(A$2:A200&gt;1000)*(MONTH(IF(ISNUMBER(A$2:A200),A$2:A200,1))=MONTH(A200))*(YEAR(IF(ISNUMBER(A$2:A200),A$2:A200,1))=YEAR(A200))*IF(ISNUMBER(K$2:K200),K$2:K200,0))=0,"",SUMPRODUCT((ISNUMBER(A$2:A200))*(A$2:A200&gt;1000)*(MONTH(IF(ISNUMBER(A$2:A200),A$2:A200,1))=MONTH(A200))*(YEAR(IF(ISNUMBER(A$2:A200),A$2:A200,1))=YEAR(A200))*IF(ISNUMBER(K$2:K200),K$2:K200,0))),""))</f>
        <v/>
      </c>
      <c r="M200" s="21" t="str">
        <f>IF(A200="","",IFERROR(IF(SUMIF(N$2:N200,"CASA",K$2:K200)=0,"",SUMIF(N$2:N200,"CASA",K$2:K200)),""))</f>
        <v/>
      </c>
      <c r="N200" s="17" t="str">
        <f>IF(J200="","",IF(J200=0.2,"CASA",IF(Dati!G200="","",Dati!G200)))</f>
        <v/>
      </c>
    </row>
    <row r="201" spans="1:14" ht="15" customHeight="1" x14ac:dyDescent="0.2">
      <c r="A201" s="23" t="str">
        <f>IF(Dati!A201="","",Dati!A201)</f>
        <v/>
      </c>
      <c r="B201" s="17" t="str">
        <f>IF(Dati!B201="","",Dati!B201)</f>
        <v/>
      </c>
      <c r="C201" s="17" t="str">
        <f>IF(B201="","",IF(ISNUMBER(B200),IF(B201-B200&lt;0,B201,IF(B201-B200=0,"",B201-B200)),B201))</f>
        <v/>
      </c>
      <c r="D201" s="18" t="str">
        <f>IF(Dati!C201="","",IF(Dati!C201&gt;1,Dati!C201/100,Dati!C201))</f>
        <v/>
      </c>
      <c r="E201" s="18" t="str">
        <f>IF(Dati!D201="","",IF(Dati!D201&gt;1,Dati!D201/100,Dati!D201))</f>
        <v/>
      </c>
      <c r="F201" s="18" t="str">
        <f>IF(OR(D201="",E201=""),"",IF(OR(D201&gt;1,E201&gt;1),(E201-D201)/100,E201-D201))</f>
        <v/>
      </c>
      <c r="G201" s="17" t="str">
        <f>IF(F201="","",IF(64*F201=0,"",64*F201))</f>
        <v/>
      </c>
      <c r="H201" s="19" t="str">
        <f>IF(Dati!E201="","",Dati!E201)</f>
        <v/>
      </c>
      <c r="I201" s="19" t="str">
        <f>IFERROR(IF(OR(C201="",C201=0),"",H201/C201*100),"")</f>
        <v/>
      </c>
      <c r="J201" s="20" t="str">
        <f>IF(Dati!F201="","",Dati!F201)</f>
        <v/>
      </c>
      <c r="K201" s="19" t="str">
        <f>IF(OR(H201="",J201=""),"",IF(H201*J201=0,"",H201*J201))</f>
        <v/>
      </c>
      <c r="L201" s="19" t="str">
        <f>IF(A201="","",IFERROR(IF(SUMPRODUCT((ISNUMBER(A$2:A201))*(A$2:A201&gt;1000)*(MONTH(IF(ISNUMBER(A$2:A201),A$2:A201,1))=MONTH(A201))*(YEAR(IF(ISNUMBER(A$2:A201),A$2:A201,1))=YEAR(A201))*IF(ISNUMBER(K$2:K201),K$2:K201,0))=0,"",SUMPRODUCT((ISNUMBER(A$2:A201))*(A$2:A201&gt;1000)*(MONTH(IF(ISNUMBER(A$2:A201),A$2:A201,1))=MONTH(A201))*(YEAR(IF(ISNUMBER(A$2:A201),A$2:A201,1))=YEAR(A201))*IF(ISNUMBER(K$2:K201),K$2:K201,0))),""))</f>
        <v/>
      </c>
      <c r="M201" s="21" t="str">
        <f>IF(A201="","",IFERROR(IF(SUMIF(N$2:N201,"CASA",K$2:K201)=0,"",SUMIF(N$2:N201,"CASA",K$2:K201)),""))</f>
        <v/>
      </c>
      <c r="N201" s="17" t="str">
        <f>IF(J201="","",IF(J201=0.2,"CASA",IF(Dati!G201="","",Dati!G201)))</f>
        <v/>
      </c>
    </row>
    <row r="202" spans="1:14" ht="15" customHeight="1" x14ac:dyDescent="0.2">
      <c r="A202" s="23" t="str">
        <f>IF(Dati!A202="","",Dati!A202)</f>
        <v/>
      </c>
      <c r="B202" s="17" t="str">
        <f>IF(Dati!B202="","",Dati!B202)</f>
        <v/>
      </c>
      <c r="C202" s="17" t="str">
        <f>IF(B202="","",IF(ISNUMBER(B201),IF(B202-B201&lt;0,B202,IF(B202-B201=0,"",B202-B201)),B202))</f>
        <v/>
      </c>
      <c r="D202" s="18" t="str">
        <f>IF(Dati!C202="","",IF(Dati!C202&gt;1,Dati!C202/100,Dati!C202))</f>
        <v/>
      </c>
      <c r="E202" s="18" t="str">
        <f>IF(Dati!D202="","",IF(Dati!D202&gt;1,Dati!D202/100,Dati!D202))</f>
        <v/>
      </c>
      <c r="F202" s="18" t="str">
        <f>IF(OR(D202="",E202=""),"",IF(OR(D202&gt;1,E202&gt;1),(E202-D202)/100,E202-D202))</f>
        <v/>
      </c>
      <c r="G202" s="17" t="str">
        <f>IF(F202="","",IF(64*F202=0,"",64*F202))</f>
        <v/>
      </c>
      <c r="H202" s="19" t="str">
        <f>IF(Dati!E202="","",Dati!E202)</f>
        <v/>
      </c>
      <c r="I202" s="19" t="str">
        <f>IFERROR(IF(OR(C202="",C202=0),"",H202/C202*100),"")</f>
        <v/>
      </c>
      <c r="J202" s="20" t="str">
        <f>IF(Dati!F202="","",Dati!F202)</f>
        <v/>
      </c>
      <c r="K202" s="19" t="str">
        <f>IF(OR(H202="",J202=""),"",IF(H202*J202=0,"",H202*J202))</f>
        <v/>
      </c>
      <c r="L202" s="19" t="str">
        <f>IF(A202="","",IFERROR(IF(SUMPRODUCT((ISNUMBER(A$2:A202))*(A$2:A202&gt;1000)*(MONTH(IF(ISNUMBER(A$2:A202),A$2:A202,1))=MONTH(A202))*(YEAR(IF(ISNUMBER(A$2:A202),A$2:A202,1))=YEAR(A202))*IF(ISNUMBER(K$2:K202),K$2:K202,0))=0,"",SUMPRODUCT((ISNUMBER(A$2:A202))*(A$2:A202&gt;1000)*(MONTH(IF(ISNUMBER(A$2:A202),A$2:A202,1))=MONTH(A202))*(YEAR(IF(ISNUMBER(A$2:A202),A$2:A202,1))=YEAR(A202))*IF(ISNUMBER(K$2:K202),K$2:K202,0))),""))</f>
        <v/>
      </c>
      <c r="M202" s="21" t="str">
        <f>IF(A202="","",IFERROR(IF(SUMIF(N$2:N202,"CASA",K$2:K202)=0,"",SUMIF(N$2:N202,"CASA",K$2:K202)),""))</f>
        <v/>
      </c>
      <c r="N202" s="17" t="str">
        <f>IF(J202="","",IF(J202=0.2,"CASA",IF(Dati!G202="","",Dati!G202)))</f>
        <v/>
      </c>
    </row>
    <row r="203" spans="1:14" ht="15" customHeight="1" x14ac:dyDescent="0.2">
      <c r="A203" s="23" t="str">
        <f>IF(Dati!A203="","",Dati!A203)</f>
        <v/>
      </c>
      <c r="B203" s="17" t="str">
        <f>IF(Dati!B203="","",Dati!B203)</f>
        <v/>
      </c>
      <c r="C203" s="17" t="str">
        <f>IF(B203="","",IF(ISNUMBER(B202),IF(B203-B202&lt;0,B203,IF(B203-B202=0,"",B203-B202)),B203))</f>
        <v/>
      </c>
      <c r="D203" s="18" t="str">
        <f>IF(Dati!C203="","",IF(Dati!C203&gt;1,Dati!C203/100,Dati!C203))</f>
        <v/>
      </c>
      <c r="E203" s="18" t="str">
        <f>IF(Dati!D203="","",IF(Dati!D203&gt;1,Dati!D203/100,Dati!D203))</f>
        <v/>
      </c>
      <c r="F203" s="18" t="str">
        <f>IF(OR(D203="",E203=""),"",IF(OR(D203&gt;1,E203&gt;1),(E203-D203)/100,E203-D203))</f>
        <v/>
      </c>
      <c r="G203" s="17" t="str">
        <f>IF(F203="","",IF(64*F203=0,"",64*F203))</f>
        <v/>
      </c>
      <c r="H203" s="19" t="str">
        <f>IF(Dati!E203="","",Dati!E203)</f>
        <v/>
      </c>
      <c r="I203" s="19" t="str">
        <f>IFERROR(IF(OR(C203="",C203=0),"",H203/C203*100),"")</f>
        <v/>
      </c>
      <c r="J203" s="20" t="str">
        <f>IF(Dati!F203="","",Dati!F203)</f>
        <v/>
      </c>
      <c r="K203" s="19" t="str">
        <f>IF(OR(H203="",J203=""),"",IF(H203*J203=0,"",H203*J203))</f>
        <v/>
      </c>
      <c r="L203" s="19" t="str">
        <f>IF(A203="","",IFERROR(IF(SUMPRODUCT((ISNUMBER(A$2:A203))*(A$2:A203&gt;1000)*(MONTH(IF(ISNUMBER(A$2:A203),A$2:A203,1))=MONTH(A203))*(YEAR(IF(ISNUMBER(A$2:A203),A$2:A203,1))=YEAR(A203))*IF(ISNUMBER(K$2:K203),K$2:K203,0))=0,"",SUMPRODUCT((ISNUMBER(A$2:A203))*(A$2:A203&gt;1000)*(MONTH(IF(ISNUMBER(A$2:A203),A$2:A203,1))=MONTH(A203))*(YEAR(IF(ISNUMBER(A$2:A203),A$2:A203,1))=YEAR(A203))*IF(ISNUMBER(K$2:K203),K$2:K203,0))),""))</f>
        <v/>
      </c>
      <c r="M203" s="21" t="str">
        <f>IF(A203="","",IFERROR(IF(SUMIF(N$2:N203,"CASA",K$2:K203)=0,"",SUMIF(N$2:N203,"CASA",K$2:K203)),""))</f>
        <v/>
      </c>
      <c r="N203" s="17" t="str">
        <f>IF(J203="","",IF(J203=0.2,"CASA",IF(Dati!G203="","",Dati!G203)))</f>
        <v/>
      </c>
    </row>
    <row r="204" spans="1:14" ht="15" customHeight="1" x14ac:dyDescent="0.2">
      <c r="A204" s="23" t="str">
        <f>IF(Dati!A204="","",Dati!A204)</f>
        <v/>
      </c>
      <c r="B204" s="17" t="str">
        <f>IF(Dati!B204="","",Dati!B204)</f>
        <v/>
      </c>
      <c r="C204" s="17" t="str">
        <f>IF(B204="","",IF(ISNUMBER(B203),IF(B204-B203&lt;0,B204,IF(B204-B203=0,"",B204-B203)),B204))</f>
        <v/>
      </c>
      <c r="D204" s="18" t="str">
        <f>IF(Dati!C204="","",IF(Dati!C204&gt;1,Dati!C204/100,Dati!C204))</f>
        <v/>
      </c>
      <c r="E204" s="18" t="str">
        <f>IF(Dati!D204="","",IF(Dati!D204&gt;1,Dati!D204/100,Dati!D204))</f>
        <v/>
      </c>
      <c r="F204" s="18" t="str">
        <f>IF(OR(D204="",E204=""),"",IF(OR(D204&gt;1,E204&gt;1),(E204-D204)/100,E204-D204))</f>
        <v/>
      </c>
      <c r="G204" s="17" t="str">
        <f>IF(F204="","",IF(64*F204=0,"",64*F204))</f>
        <v/>
      </c>
      <c r="H204" s="19" t="str">
        <f>IF(Dati!E204="","",Dati!E204)</f>
        <v/>
      </c>
      <c r="I204" s="19" t="str">
        <f>IFERROR(IF(OR(C204="",C204=0),"",H204/C204*100),"")</f>
        <v/>
      </c>
      <c r="J204" s="20" t="str">
        <f>IF(Dati!F204="","",Dati!F204)</f>
        <v/>
      </c>
      <c r="K204" s="19" t="str">
        <f>IF(OR(H204="",J204=""),"",IF(H204*J204=0,"",H204*J204))</f>
        <v/>
      </c>
      <c r="L204" s="19" t="str">
        <f>IF(A204="","",IFERROR(IF(SUMPRODUCT((ISNUMBER(A$2:A204))*(A$2:A204&gt;1000)*(MONTH(IF(ISNUMBER(A$2:A204),A$2:A204,1))=MONTH(A204))*(YEAR(IF(ISNUMBER(A$2:A204),A$2:A204,1))=YEAR(A204))*IF(ISNUMBER(K$2:K204),K$2:K204,0))=0,"",SUMPRODUCT((ISNUMBER(A$2:A204))*(A$2:A204&gt;1000)*(MONTH(IF(ISNUMBER(A$2:A204),A$2:A204,1))=MONTH(A204))*(YEAR(IF(ISNUMBER(A$2:A204),A$2:A204,1))=YEAR(A204))*IF(ISNUMBER(K$2:K204),K$2:K204,0))),""))</f>
        <v/>
      </c>
      <c r="M204" s="21" t="str">
        <f>IF(A204="","",IFERROR(IF(SUMIF(N$2:N204,"CASA",K$2:K204)=0,"",SUMIF(N$2:N204,"CASA",K$2:K204)),""))</f>
        <v/>
      </c>
      <c r="N204" s="17" t="str">
        <f>IF(J204="","",IF(J204=0.2,"CASA",IF(Dati!G204="","",Dati!G204)))</f>
        <v/>
      </c>
    </row>
    <row r="205" spans="1:14" ht="15" customHeight="1" x14ac:dyDescent="0.2">
      <c r="A205" s="23" t="str">
        <f>IF(Dati!A205="","",Dati!A205)</f>
        <v/>
      </c>
      <c r="B205" s="17" t="str">
        <f>IF(Dati!B205="","",Dati!B205)</f>
        <v/>
      </c>
      <c r="C205" s="17" t="str">
        <f>IF(B205="","",IF(ISNUMBER(B204),IF(B205-B204&lt;0,B205,IF(B205-B204=0,"",B205-B204)),B205))</f>
        <v/>
      </c>
      <c r="D205" s="18" t="str">
        <f>IF(Dati!C205="","",IF(Dati!C205&gt;1,Dati!C205/100,Dati!C205))</f>
        <v/>
      </c>
      <c r="E205" s="18" t="str">
        <f>IF(Dati!D205="","",IF(Dati!D205&gt;1,Dati!D205/100,Dati!D205))</f>
        <v/>
      </c>
      <c r="F205" s="18" t="str">
        <f>IF(OR(D205="",E205=""),"",IF(OR(D205&gt;1,E205&gt;1),(E205-D205)/100,E205-D205))</f>
        <v/>
      </c>
      <c r="G205" s="17" t="str">
        <f>IF(F205="","",IF(64*F205=0,"",64*F205))</f>
        <v/>
      </c>
      <c r="H205" s="19" t="str">
        <f>IF(Dati!E205="","",Dati!E205)</f>
        <v/>
      </c>
      <c r="I205" s="19" t="str">
        <f>IFERROR(IF(OR(C205="",C205=0),"",H205/C205*100),"")</f>
        <v/>
      </c>
      <c r="J205" s="20" t="str">
        <f>IF(Dati!F205="","",Dati!F205)</f>
        <v/>
      </c>
      <c r="K205" s="19" t="str">
        <f>IF(OR(H205="",J205=""),"",IF(H205*J205=0,"",H205*J205))</f>
        <v/>
      </c>
      <c r="L205" s="19" t="str">
        <f>IF(A205="","",IFERROR(IF(SUMPRODUCT((ISNUMBER(A$2:A205))*(A$2:A205&gt;1000)*(MONTH(IF(ISNUMBER(A$2:A205),A$2:A205,1))=MONTH(A205))*(YEAR(IF(ISNUMBER(A$2:A205),A$2:A205,1))=YEAR(A205))*IF(ISNUMBER(K$2:K205),K$2:K205,0))=0,"",SUMPRODUCT((ISNUMBER(A$2:A205))*(A$2:A205&gt;1000)*(MONTH(IF(ISNUMBER(A$2:A205),A$2:A205,1))=MONTH(A205))*(YEAR(IF(ISNUMBER(A$2:A205),A$2:A205,1))=YEAR(A205))*IF(ISNUMBER(K$2:K205),K$2:K205,0))),""))</f>
        <v/>
      </c>
      <c r="M205" s="21" t="str">
        <f>IF(A205="","",IFERROR(IF(SUMIF(N$2:N205,"CASA",K$2:K205)=0,"",SUMIF(N$2:N205,"CASA",K$2:K205)),""))</f>
        <v/>
      </c>
      <c r="N205" s="17" t="str">
        <f>IF(J205="","",IF(J205=0.2,"CASA",IF(Dati!G205="","",Dati!G205)))</f>
        <v/>
      </c>
    </row>
    <row r="206" spans="1:14" ht="15" customHeight="1" x14ac:dyDescent="0.2">
      <c r="A206" s="23" t="str">
        <f>IF(Dati!A206="","",Dati!A206)</f>
        <v/>
      </c>
      <c r="B206" s="17" t="str">
        <f>IF(Dati!B206="","",Dati!B206)</f>
        <v/>
      </c>
      <c r="C206" s="17" t="str">
        <f>IF(B206="","",IF(ISNUMBER(B205),IF(B206-B205&lt;0,B206,IF(B206-B205=0,"",B206-B205)),B206))</f>
        <v/>
      </c>
      <c r="D206" s="18" t="str">
        <f>IF(Dati!C206="","",IF(Dati!C206&gt;1,Dati!C206/100,Dati!C206))</f>
        <v/>
      </c>
      <c r="E206" s="18" t="str">
        <f>IF(Dati!D206="","",IF(Dati!D206&gt;1,Dati!D206/100,Dati!D206))</f>
        <v/>
      </c>
      <c r="F206" s="18" t="str">
        <f>IF(OR(D206="",E206=""),"",IF(OR(D206&gt;1,E206&gt;1),(E206-D206)/100,E206-D206))</f>
        <v/>
      </c>
      <c r="G206" s="17" t="str">
        <f>IF(F206="","",IF(64*F206=0,"",64*F206))</f>
        <v/>
      </c>
      <c r="H206" s="19" t="str">
        <f>IF(Dati!E206="","",Dati!E206)</f>
        <v/>
      </c>
      <c r="I206" s="19" t="str">
        <f>IFERROR(IF(OR(C206="",C206=0),"",H206/C206*100),"")</f>
        <v/>
      </c>
      <c r="J206" s="20" t="str">
        <f>IF(Dati!F206="","",Dati!F206)</f>
        <v/>
      </c>
      <c r="K206" s="19" t="str">
        <f>IF(OR(H206="",J206=""),"",IF(H206*J206=0,"",H206*J206))</f>
        <v/>
      </c>
      <c r="L206" s="19" t="str">
        <f>IF(A206="","",IFERROR(IF(SUMPRODUCT((ISNUMBER(A$2:A206))*(A$2:A206&gt;1000)*(MONTH(IF(ISNUMBER(A$2:A206),A$2:A206,1))=MONTH(A206))*(YEAR(IF(ISNUMBER(A$2:A206),A$2:A206,1))=YEAR(A206))*IF(ISNUMBER(K$2:K206),K$2:K206,0))=0,"",SUMPRODUCT((ISNUMBER(A$2:A206))*(A$2:A206&gt;1000)*(MONTH(IF(ISNUMBER(A$2:A206),A$2:A206,1))=MONTH(A206))*(YEAR(IF(ISNUMBER(A$2:A206),A$2:A206,1))=YEAR(A206))*IF(ISNUMBER(K$2:K206),K$2:K206,0))),""))</f>
        <v/>
      </c>
      <c r="M206" s="21" t="str">
        <f>IF(A206="","",IFERROR(IF(SUMIF(N$2:N206,"CASA",K$2:K206)=0,"",SUMIF(N$2:N206,"CASA",K$2:K206)),""))</f>
        <v/>
      </c>
      <c r="N206" s="17" t="str">
        <f>IF(J206="","",IF(J206=0.2,"CASA",IF(Dati!G206="","",Dati!G206)))</f>
        <v/>
      </c>
    </row>
    <row r="207" spans="1:14" ht="15" customHeight="1" x14ac:dyDescent="0.2">
      <c r="A207" s="23" t="str">
        <f>IF(Dati!A207="","",Dati!A207)</f>
        <v/>
      </c>
      <c r="B207" s="17" t="str">
        <f>IF(Dati!B207="","",Dati!B207)</f>
        <v/>
      </c>
      <c r="C207" s="17" t="str">
        <f>IF(B207="","",IF(ISNUMBER(B206),IF(B207-B206&lt;0,B207,IF(B207-B206=0,"",B207-B206)),B207))</f>
        <v/>
      </c>
      <c r="D207" s="18" t="str">
        <f>IF(Dati!C207="","",IF(Dati!C207&gt;1,Dati!C207/100,Dati!C207))</f>
        <v/>
      </c>
      <c r="E207" s="18" t="str">
        <f>IF(Dati!D207="","",IF(Dati!D207&gt;1,Dati!D207/100,Dati!D207))</f>
        <v/>
      </c>
      <c r="F207" s="18" t="str">
        <f>IF(OR(D207="",E207=""),"",IF(OR(D207&gt;1,E207&gt;1),(E207-D207)/100,E207-D207))</f>
        <v/>
      </c>
      <c r="G207" s="17" t="str">
        <f>IF(F207="","",IF(64*F207=0,"",64*F207))</f>
        <v/>
      </c>
      <c r="H207" s="19" t="str">
        <f>IF(Dati!E207="","",Dati!E207)</f>
        <v/>
      </c>
      <c r="I207" s="19" t="str">
        <f>IFERROR(IF(OR(C207="",C207=0),"",H207/C207*100),"")</f>
        <v/>
      </c>
      <c r="J207" s="20" t="str">
        <f>IF(Dati!F207="","",Dati!F207)</f>
        <v/>
      </c>
      <c r="K207" s="19" t="str">
        <f>IF(OR(H207="",J207=""),"",IF(H207*J207=0,"",H207*J207))</f>
        <v/>
      </c>
      <c r="L207" s="19" t="str">
        <f>IF(A207="","",IFERROR(IF(SUMPRODUCT((ISNUMBER(A$2:A207))*(A$2:A207&gt;1000)*(MONTH(IF(ISNUMBER(A$2:A207),A$2:A207,1))=MONTH(A207))*(YEAR(IF(ISNUMBER(A$2:A207),A$2:A207,1))=YEAR(A207))*IF(ISNUMBER(K$2:K207),K$2:K207,0))=0,"",SUMPRODUCT((ISNUMBER(A$2:A207))*(A$2:A207&gt;1000)*(MONTH(IF(ISNUMBER(A$2:A207),A$2:A207,1))=MONTH(A207))*(YEAR(IF(ISNUMBER(A$2:A207),A$2:A207,1))=YEAR(A207))*IF(ISNUMBER(K$2:K207),K$2:K207,0))),""))</f>
        <v/>
      </c>
      <c r="M207" s="21" t="str">
        <f>IF(A207="","",IFERROR(IF(SUMIF(N$2:N207,"CASA",K$2:K207)=0,"",SUMIF(N$2:N207,"CASA",K$2:K207)),""))</f>
        <v/>
      </c>
      <c r="N207" s="17" t="str">
        <f>IF(J207="","",IF(J207=0.2,"CASA",IF(Dati!G207="","",Dati!G207)))</f>
        <v/>
      </c>
    </row>
    <row r="208" spans="1:14" ht="15" customHeight="1" x14ac:dyDescent="0.2">
      <c r="A208" s="23" t="str">
        <f>IF(Dati!A208="","",Dati!A208)</f>
        <v/>
      </c>
      <c r="B208" s="17" t="str">
        <f>IF(Dati!B208="","",Dati!B208)</f>
        <v/>
      </c>
      <c r="C208" s="17" t="str">
        <f>IF(B208="","",IF(ISNUMBER(B207),IF(B208-B207&lt;0,B208,IF(B208-B207=0,"",B208-B207)),B208))</f>
        <v/>
      </c>
      <c r="D208" s="18" t="str">
        <f>IF(Dati!C208="","",IF(Dati!C208&gt;1,Dati!C208/100,Dati!C208))</f>
        <v/>
      </c>
      <c r="E208" s="18" t="str">
        <f>IF(Dati!D208="","",IF(Dati!D208&gt;1,Dati!D208/100,Dati!D208))</f>
        <v/>
      </c>
      <c r="F208" s="18" t="str">
        <f>IF(OR(D208="",E208=""),"",IF(OR(D208&gt;1,E208&gt;1),(E208-D208)/100,E208-D208))</f>
        <v/>
      </c>
      <c r="G208" s="17" t="str">
        <f>IF(F208="","",IF(64*F208=0,"",64*F208))</f>
        <v/>
      </c>
      <c r="H208" s="19" t="str">
        <f>IF(Dati!E208="","",Dati!E208)</f>
        <v/>
      </c>
      <c r="I208" s="19" t="str">
        <f>IFERROR(IF(OR(C208="",C208=0),"",H208/C208*100),"")</f>
        <v/>
      </c>
      <c r="J208" s="20" t="str">
        <f>IF(Dati!F208="","",Dati!F208)</f>
        <v/>
      </c>
      <c r="K208" s="19" t="str">
        <f>IF(OR(H208="",J208=""),"",IF(H208*J208=0,"",H208*J208))</f>
        <v/>
      </c>
      <c r="L208" s="19" t="str">
        <f>IF(A208="","",IFERROR(IF(SUMPRODUCT((ISNUMBER(A$2:A208))*(A$2:A208&gt;1000)*(MONTH(IF(ISNUMBER(A$2:A208),A$2:A208,1))=MONTH(A208))*(YEAR(IF(ISNUMBER(A$2:A208),A$2:A208,1))=YEAR(A208))*IF(ISNUMBER(K$2:K208),K$2:K208,0))=0,"",SUMPRODUCT((ISNUMBER(A$2:A208))*(A$2:A208&gt;1000)*(MONTH(IF(ISNUMBER(A$2:A208),A$2:A208,1))=MONTH(A208))*(YEAR(IF(ISNUMBER(A$2:A208),A$2:A208,1))=YEAR(A208))*IF(ISNUMBER(K$2:K208),K$2:K208,0))),""))</f>
        <v/>
      </c>
      <c r="M208" s="21" t="str">
        <f>IF(A208="","",IFERROR(IF(SUMIF(N$2:N208,"CASA",K$2:K208)=0,"",SUMIF(N$2:N208,"CASA",K$2:K208)),""))</f>
        <v/>
      </c>
      <c r="N208" s="17" t="str">
        <f>IF(J208="","",IF(J208=0.2,"CASA",IF(Dati!G208="","",Dati!G208)))</f>
        <v/>
      </c>
    </row>
    <row r="209" spans="1:14" ht="15" customHeight="1" x14ac:dyDescent="0.2">
      <c r="A209" s="23" t="str">
        <f>IF(Dati!A209="","",Dati!A209)</f>
        <v/>
      </c>
      <c r="B209" s="17" t="str">
        <f>IF(Dati!B209="","",Dati!B209)</f>
        <v/>
      </c>
      <c r="C209" s="17" t="str">
        <f>IF(B209="","",IF(ISNUMBER(B208),IF(B209-B208&lt;0,B209,IF(B209-B208=0,"",B209-B208)),B209))</f>
        <v/>
      </c>
      <c r="D209" s="18" t="str">
        <f>IF(Dati!C209="","",IF(Dati!C209&gt;1,Dati!C209/100,Dati!C209))</f>
        <v/>
      </c>
      <c r="E209" s="18" t="str">
        <f>IF(Dati!D209="","",IF(Dati!D209&gt;1,Dati!D209/100,Dati!D209))</f>
        <v/>
      </c>
      <c r="F209" s="18" t="str">
        <f>IF(OR(D209="",E209=""),"",IF(OR(D209&gt;1,E209&gt;1),(E209-D209)/100,E209-D209))</f>
        <v/>
      </c>
      <c r="G209" s="17" t="str">
        <f>IF(F209="","",IF(64*F209=0,"",64*F209))</f>
        <v/>
      </c>
      <c r="H209" s="19" t="str">
        <f>IF(Dati!E209="","",Dati!E209)</f>
        <v/>
      </c>
      <c r="I209" s="19" t="str">
        <f>IFERROR(IF(OR(C209="",C209=0),"",H209/C209*100),"")</f>
        <v/>
      </c>
      <c r="J209" s="20" t="str">
        <f>IF(Dati!F209="","",Dati!F209)</f>
        <v/>
      </c>
      <c r="K209" s="19" t="str">
        <f>IF(OR(H209="",J209=""),"",IF(H209*J209=0,"",H209*J209))</f>
        <v/>
      </c>
      <c r="L209" s="19" t="str">
        <f>IF(A209="","",IFERROR(IF(SUMPRODUCT((ISNUMBER(A$2:A209))*(A$2:A209&gt;1000)*(MONTH(IF(ISNUMBER(A$2:A209),A$2:A209,1))=MONTH(A209))*(YEAR(IF(ISNUMBER(A$2:A209),A$2:A209,1))=YEAR(A209))*IF(ISNUMBER(K$2:K209),K$2:K209,0))=0,"",SUMPRODUCT((ISNUMBER(A$2:A209))*(A$2:A209&gt;1000)*(MONTH(IF(ISNUMBER(A$2:A209),A$2:A209,1))=MONTH(A209))*(YEAR(IF(ISNUMBER(A$2:A209),A$2:A209,1))=YEAR(A209))*IF(ISNUMBER(K$2:K209),K$2:K209,0))),""))</f>
        <v/>
      </c>
      <c r="M209" s="21" t="str">
        <f>IF(A209="","",IFERROR(IF(SUMIF(N$2:N209,"CASA",K$2:K209)=0,"",SUMIF(N$2:N209,"CASA",K$2:K209)),""))</f>
        <v/>
      </c>
      <c r="N209" s="17" t="str">
        <f>IF(J209="","",IF(J209=0.2,"CASA",IF(Dati!G209="","",Dati!G209)))</f>
        <v/>
      </c>
    </row>
    <row r="210" spans="1:14" ht="15" customHeight="1" x14ac:dyDescent="0.2">
      <c r="A210" s="23" t="str">
        <f>IF(Dati!A210="","",Dati!A210)</f>
        <v/>
      </c>
      <c r="B210" s="17" t="str">
        <f>IF(Dati!B210="","",Dati!B210)</f>
        <v/>
      </c>
      <c r="C210" s="17" t="str">
        <f>IF(B210="","",IF(ISNUMBER(B209),IF(B210-B209&lt;0,B210,IF(B210-B209=0,"",B210-B209)),B210))</f>
        <v/>
      </c>
      <c r="D210" s="18" t="str">
        <f>IF(Dati!C210="","",IF(Dati!C210&gt;1,Dati!C210/100,Dati!C210))</f>
        <v/>
      </c>
      <c r="E210" s="18" t="str">
        <f>IF(Dati!D210="","",IF(Dati!D210&gt;1,Dati!D210/100,Dati!D210))</f>
        <v/>
      </c>
      <c r="F210" s="18" t="str">
        <f>IF(OR(D210="",E210=""),"",IF(OR(D210&gt;1,E210&gt;1),(E210-D210)/100,E210-D210))</f>
        <v/>
      </c>
      <c r="G210" s="17" t="str">
        <f>IF(F210="","",IF(64*F210=0,"",64*F210))</f>
        <v/>
      </c>
      <c r="H210" s="19" t="str">
        <f>IF(Dati!E210="","",Dati!E210)</f>
        <v/>
      </c>
      <c r="I210" s="19" t="str">
        <f>IFERROR(IF(OR(C210="",C210=0),"",H210/C210*100),"")</f>
        <v/>
      </c>
      <c r="J210" s="20" t="str">
        <f>IF(Dati!F210="","",Dati!F210)</f>
        <v/>
      </c>
      <c r="K210" s="19" t="str">
        <f>IF(OR(H210="",J210=""),"",IF(H210*J210=0,"",H210*J210))</f>
        <v/>
      </c>
      <c r="L210" s="19" t="str">
        <f>IF(A210="","",IFERROR(IF(SUMPRODUCT((ISNUMBER(A$2:A210))*(A$2:A210&gt;1000)*(MONTH(IF(ISNUMBER(A$2:A210),A$2:A210,1))=MONTH(A210))*(YEAR(IF(ISNUMBER(A$2:A210),A$2:A210,1))=YEAR(A210))*IF(ISNUMBER(K$2:K210),K$2:K210,0))=0,"",SUMPRODUCT((ISNUMBER(A$2:A210))*(A$2:A210&gt;1000)*(MONTH(IF(ISNUMBER(A$2:A210),A$2:A210,1))=MONTH(A210))*(YEAR(IF(ISNUMBER(A$2:A210),A$2:A210,1))=YEAR(A210))*IF(ISNUMBER(K$2:K210),K$2:K210,0))),""))</f>
        <v/>
      </c>
      <c r="M210" s="21" t="str">
        <f>IF(A210="","",IFERROR(IF(SUMIF(N$2:N210,"CASA",K$2:K210)=0,"",SUMIF(N$2:N210,"CASA",K$2:K210)),""))</f>
        <v/>
      </c>
      <c r="N210" s="17" t="str">
        <f>IF(J210="","",IF(J210=0.2,"CASA",IF(Dati!G210="","",Dati!G210)))</f>
        <v/>
      </c>
    </row>
    <row r="211" spans="1:14" ht="15" customHeight="1" x14ac:dyDescent="0.2">
      <c r="A211" s="23" t="str">
        <f>IF(Dati!A211="","",Dati!A211)</f>
        <v/>
      </c>
      <c r="B211" s="17" t="str">
        <f>IF(Dati!B211="","",Dati!B211)</f>
        <v/>
      </c>
      <c r="C211" s="17" t="str">
        <f>IF(B211="","",IF(ISNUMBER(B210),IF(B211-B210&lt;0,B211,IF(B211-B210=0,"",B211-B210)),B211))</f>
        <v/>
      </c>
      <c r="D211" s="18" t="str">
        <f>IF(Dati!C211="","",IF(Dati!C211&gt;1,Dati!C211/100,Dati!C211))</f>
        <v/>
      </c>
      <c r="E211" s="18" t="str">
        <f>IF(Dati!D211="","",IF(Dati!D211&gt;1,Dati!D211/100,Dati!D211))</f>
        <v/>
      </c>
      <c r="F211" s="18" t="str">
        <f>IF(OR(D211="",E211=""),"",IF(OR(D211&gt;1,E211&gt;1),(E211-D211)/100,E211-D211))</f>
        <v/>
      </c>
      <c r="G211" s="17" t="str">
        <f>IF(F211="","",IF(64*F211=0,"",64*F211))</f>
        <v/>
      </c>
      <c r="H211" s="19" t="str">
        <f>IF(Dati!E211="","",Dati!E211)</f>
        <v/>
      </c>
      <c r="I211" s="19" t="str">
        <f>IFERROR(IF(OR(C211="",C211=0),"",H211/C211*100),"")</f>
        <v/>
      </c>
      <c r="J211" s="20" t="str">
        <f>IF(Dati!F211="","",Dati!F211)</f>
        <v/>
      </c>
      <c r="K211" s="19" t="str">
        <f>IF(OR(H211="",J211=""),"",IF(H211*J211=0,"",H211*J211))</f>
        <v/>
      </c>
      <c r="L211" s="19" t="str">
        <f>IF(A211="","",IFERROR(IF(SUMPRODUCT((ISNUMBER(A$2:A211))*(A$2:A211&gt;1000)*(MONTH(IF(ISNUMBER(A$2:A211),A$2:A211,1))=MONTH(A211))*(YEAR(IF(ISNUMBER(A$2:A211),A$2:A211,1))=YEAR(A211))*IF(ISNUMBER(K$2:K211),K$2:K211,0))=0,"",SUMPRODUCT((ISNUMBER(A$2:A211))*(A$2:A211&gt;1000)*(MONTH(IF(ISNUMBER(A$2:A211),A$2:A211,1))=MONTH(A211))*(YEAR(IF(ISNUMBER(A$2:A211),A$2:A211,1))=YEAR(A211))*IF(ISNUMBER(K$2:K211),K$2:K211,0))),""))</f>
        <v/>
      </c>
      <c r="M211" s="21" t="str">
        <f>IF(A211="","",IFERROR(IF(SUMIF(N$2:N211,"CASA",K$2:K211)=0,"",SUMIF(N$2:N211,"CASA",K$2:K211)),""))</f>
        <v/>
      </c>
      <c r="N211" s="17" t="str">
        <f>IF(J211="","",IF(J211=0.2,"CASA",IF(Dati!G211="","",Dati!G211)))</f>
        <v/>
      </c>
    </row>
    <row r="212" spans="1:14" ht="15" customHeight="1" x14ac:dyDescent="0.2">
      <c r="A212" s="23" t="str">
        <f>IF(Dati!A212="","",Dati!A212)</f>
        <v/>
      </c>
      <c r="B212" s="17" t="str">
        <f>IF(Dati!B212="","",Dati!B212)</f>
        <v/>
      </c>
      <c r="C212" s="17" t="str">
        <f>IF(B212="","",IF(ISNUMBER(B211),IF(B212-B211&lt;0,B212,IF(B212-B211=0,"",B212-B211)),B212))</f>
        <v/>
      </c>
      <c r="D212" s="18" t="str">
        <f>IF(Dati!C212="","",IF(Dati!C212&gt;1,Dati!C212/100,Dati!C212))</f>
        <v/>
      </c>
      <c r="E212" s="18" t="str">
        <f>IF(Dati!D212="","",IF(Dati!D212&gt;1,Dati!D212/100,Dati!D212))</f>
        <v/>
      </c>
      <c r="F212" s="18" t="str">
        <f>IF(OR(D212="",E212=""),"",IF(OR(D212&gt;1,E212&gt;1),(E212-D212)/100,E212-D212))</f>
        <v/>
      </c>
      <c r="G212" s="17" t="str">
        <f>IF(F212="","",IF(64*F212=0,"",64*F212))</f>
        <v/>
      </c>
      <c r="H212" s="19" t="str">
        <f>IF(Dati!E212="","",Dati!E212)</f>
        <v/>
      </c>
      <c r="I212" s="19" t="str">
        <f>IFERROR(IF(OR(C212="",C212=0),"",H212/C212*100),"")</f>
        <v/>
      </c>
      <c r="J212" s="20" t="str">
        <f>IF(Dati!F212="","",Dati!F212)</f>
        <v/>
      </c>
      <c r="K212" s="19" t="str">
        <f>IF(OR(H212="",J212=""),"",IF(H212*J212=0,"",H212*J212))</f>
        <v/>
      </c>
      <c r="L212" s="19" t="str">
        <f>IF(A212="","",IFERROR(IF(SUMPRODUCT((ISNUMBER(A$2:A212))*(A$2:A212&gt;1000)*(MONTH(IF(ISNUMBER(A$2:A212),A$2:A212,1))=MONTH(A212))*(YEAR(IF(ISNUMBER(A$2:A212),A$2:A212,1))=YEAR(A212))*IF(ISNUMBER(K$2:K212),K$2:K212,0))=0,"",SUMPRODUCT((ISNUMBER(A$2:A212))*(A$2:A212&gt;1000)*(MONTH(IF(ISNUMBER(A$2:A212),A$2:A212,1))=MONTH(A212))*(YEAR(IF(ISNUMBER(A$2:A212),A$2:A212,1))=YEAR(A212))*IF(ISNUMBER(K$2:K212),K$2:K212,0))),""))</f>
        <v/>
      </c>
      <c r="M212" s="21" t="str">
        <f>IF(A212="","",IFERROR(IF(SUMIF(N$2:N212,"CASA",K$2:K212)=0,"",SUMIF(N$2:N212,"CASA",K$2:K212)),""))</f>
        <v/>
      </c>
      <c r="N212" s="17" t="str">
        <f>IF(J212="","",IF(J212=0.2,"CASA",IF(Dati!G212="","",Dati!G212)))</f>
        <v/>
      </c>
    </row>
    <row r="213" spans="1:14" ht="15" customHeight="1" x14ac:dyDescent="0.2">
      <c r="A213" s="23" t="str">
        <f>IF(Dati!A213="","",Dati!A213)</f>
        <v/>
      </c>
      <c r="B213" s="17" t="str">
        <f>IF(Dati!B213="","",Dati!B213)</f>
        <v/>
      </c>
      <c r="C213" s="17" t="str">
        <f>IF(B213="","",IF(ISNUMBER(B212),IF(B213-B212&lt;0,B213,IF(B213-B212=0,"",B213-B212)),B213))</f>
        <v/>
      </c>
      <c r="D213" s="18" t="str">
        <f>IF(Dati!C213="","",IF(Dati!C213&gt;1,Dati!C213/100,Dati!C213))</f>
        <v/>
      </c>
      <c r="E213" s="18" t="str">
        <f>IF(Dati!D213="","",IF(Dati!D213&gt;1,Dati!D213/100,Dati!D213))</f>
        <v/>
      </c>
      <c r="F213" s="18" t="str">
        <f>IF(OR(D213="",E213=""),"",IF(OR(D213&gt;1,E213&gt;1),(E213-D213)/100,E213-D213))</f>
        <v/>
      </c>
      <c r="G213" s="17" t="str">
        <f>IF(F213="","",IF(64*F213=0,"",64*F213))</f>
        <v/>
      </c>
      <c r="H213" s="19" t="str">
        <f>IF(Dati!E213="","",Dati!E213)</f>
        <v/>
      </c>
      <c r="I213" s="19" t="str">
        <f>IFERROR(IF(OR(C213="",C213=0),"",H213/C213*100),"")</f>
        <v/>
      </c>
      <c r="J213" s="20" t="str">
        <f>IF(Dati!F213="","",Dati!F213)</f>
        <v/>
      </c>
      <c r="K213" s="19" t="str">
        <f>IF(OR(H213="",J213=""),"",IF(H213*J213=0,"",H213*J213))</f>
        <v/>
      </c>
      <c r="L213" s="19" t="str">
        <f>IF(A213="","",IFERROR(IF(SUMPRODUCT((ISNUMBER(A$2:A213))*(A$2:A213&gt;1000)*(MONTH(IF(ISNUMBER(A$2:A213),A$2:A213,1))=MONTH(A213))*(YEAR(IF(ISNUMBER(A$2:A213),A$2:A213,1))=YEAR(A213))*IF(ISNUMBER(K$2:K213),K$2:K213,0))=0,"",SUMPRODUCT((ISNUMBER(A$2:A213))*(A$2:A213&gt;1000)*(MONTH(IF(ISNUMBER(A$2:A213),A$2:A213,1))=MONTH(A213))*(YEAR(IF(ISNUMBER(A$2:A213),A$2:A213,1))=YEAR(A213))*IF(ISNUMBER(K$2:K213),K$2:K213,0))),""))</f>
        <v/>
      </c>
      <c r="M213" s="21" t="str">
        <f>IF(A213="","",IFERROR(IF(SUMIF(N$2:N213,"CASA",K$2:K213)=0,"",SUMIF(N$2:N213,"CASA",K$2:K213)),""))</f>
        <v/>
      </c>
      <c r="N213" s="17" t="str">
        <f>IF(J213="","",IF(J213=0.2,"CASA",IF(Dati!G213="","",Dati!G213)))</f>
        <v/>
      </c>
    </row>
    <row r="214" spans="1:14" ht="15" customHeight="1" x14ac:dyDescent="0.2">
      <c r="A214" s="23" t="str">
        <f>IF(Dati!A214="","",Dati!A214)</f>
        <v/>
      </c>
      <c r="B214" s="17" t="str">
        <f>IF(Dati!B214="","",Dati!B214)</f>
        <v/>
      </c>
      <c r="C214" s="17" t="str">
        <f>IF(B214="","",IF(ISNUMBER(B213),IF(B214-B213&lt;0,B214,IF(B214-B213=0,"",B214-B213)),B214))</f>
        <v/>
      </c>
      <c r="D214" s="18" t="str">
        <f>IF(Dati!C214="","",IF(Dati!C214&gt;1,Dati!C214/100,Dati!C214))</f>
        <v/>
      </c>
      <c r="E214" s="18" t="str">
        <f>IF(Dati!D214="","",IF(Dati!D214&gt;1,Dati!D214/100,Dati!D214))</f>
        <v/>
      </c>
      <c r="F214" s="18" t="str">
        <f>IF(OR(D214="",E214=""),"",IF(OR(D214&gt;1,E214&gt;1),(E214-D214)/100,E214-D214))</f>
        <v/>
      </c>
      <c r="G214" s="17" t="str">
        <f>IF(F214="","",IF(64*F214=0,"",64*F214))</f>
        <v/>
      </c>
      <c r="H214" s="19" t="str">
        <f>IF(Dati!E214="","",Dati!E214)</f>
        <v/>
      </c>
      <c r="I214" s="19" t="str">
        <f>IFERROR(IF(OR(C214="",C214=0),"",H214/C214*100),"")</f>
        <v/>
      </c>
      <c r="J214" s="20" t="str">
        <f>IF(Dati!F214="","",Dati!F214)</f>
        <v/>
      </c>
      <c r="K214" s="19" t="str">
        <f>IF(OR(H214="",J214=""),"",IF(H214*J214=0,"",H214*J214))</f>
        <v/>
      </c>
      <c r="L214" s="19" t="str">
        <f>IF(A214="","",IFERROR(IF(SUMPRODUCT((ISNUMBER(A$2:A214))*(A$2:A214&gt;1000)*(MONTH(IF(ISNUMBER(A$2:A214),A$2:A214,1))=MONTH(A214))*(YEAR(IF(ISNUMBER(A$2:A214),A$2:A214,1))=YEAR(A214))*IF(ISNUMBER(K$2:K214),K$2:K214,0))=0,"",SUMPRODUCT((ISNUMBER(A$2:A214))*(A$2:A214&gt;1000)*(MONTH(IF(ISNUMBER(A$2:A214),A$2:A214,1))=MONTH(A214))*(YEAR(IF(ISNUMBER(A$2:A214),A$2:A214,1))=YEAR(A214))*IF(ISNUMBER(K$2:K214),K$2:K214,0))),""))</f>
        <v/>
      </c>
      <c r="M214" s="21" t="str">
        <f>IF(A214="","",IFERROR(IF(SUMIF(N$2:N214,"CASA",K$2:K214)=0,"",SUMIF(N$2:N214,"CASA",K$2:K214)),""))</f>
        <v/>
      </c>
      <c r="N214" s="17" t="str">
        <f>IF(J214="","",IF(J214=0.2,"CASA",IF(Dati!G214="","",Dati!G214)))</f>
        <v/>
      </c>
    </row>
    <row r="215" spans="1:14" ht="15" customHeight="1" x14ac:dyDescent="0.2">
      <c r="A215" s="23" t="str">
        <f>IF(Dati!A215="","",Dati!A215)</f>
        <v/>
      </c>
      <c r="B215" s="17" t="str">
        <f>IF(Dati!B215="","",Dati!B215)</f>
        <v/>
      </c>
      <c r="C215" s="17" t="str">
        <f>IF(B215="","",IF(ISNUMBER(B214),IF(B215-B214&lt;0,B215,IF(B215-B214=0,"",B215-B214)),B215))</f>
        <v/>
      </c>
      <c r="D215" s="18" t="str">
        <f>IF(Dati!C215="","",IF(Dati!C215&gt;1,Dati!C215/100,Dati!C215))</f>
        <v/>
      </c>
      <c r="E215" s="18" t="str">
        <f>IF(Dati!D215="","",IF(Dati!D215&gt;1,Dati!D215/100,Dati!D215))</f>
        <v/>
      </c>
      <c r="F215" s="18" t="str">
        <f>IF(OR(D215="",E215=""),"",IF(OR(D215&gt;1,E215&gt;1),(E215-D215)/100,E215-D215))</f>
        <v/>
      </c>
      <c r="G215" s="17" t="str">
        <f>IF(F215="","",IF(64*F215=0,"",64*F215))</f>
        <v/>
      </c>
      <c r="H215" s="19" t="str">
        <f>IF(Dati!E215="","",Dati!E215)</f>
        <v/>
      </c>
      <c r="I215" s="19" t="str">
        <f>IFERROR(IF(OR(C215="",C215=0),"",H215/C215*100),"")</f>
        <v/>
      </c>
      <c r="J215" s="20" t="str">
        <f>IF(Dati!F215="","",Dati!F215)</f>
        <v/>
      </c>
      <c r="K215" s="19" t="str">
        <f>IF(OR(H215="",J215=""),"",IF(H215*J215=0,"",H215*J215))</f>
        <v/>
      </c>
      <c r="L215" s="19" t="str">
        <f>IF(A215="","",IFERROR(IF(SUMPRODUCT((ISNUMBER(A$2:A215))*(A$2:A215&gt;1000)*(MONTH(IF(ISNUMBER(A$2:A215),A$2:A215,1))=MONTH(A215))*(YEAR(IF(ISNUMBER(A$2:A215),A$2:A215,1))=YEAR(A215))*IF(ISNUMBER(K$2:K215),K$2:K215,0))=0,"",SUMPRODUCT((ISNUMBER(A$2:A215))*(A$2:A215&gt;1000)*(MONTH(IF(ISNUMBER(A$2:A215),A$2:A215,1))=MONTH(A215))*(YEAR(IF(ISNUMBER(A$2:A215),A$2:A215,1))=YEAR(A215))*IF(ISNUMBER(K$2:K215),K$2:K215,0))),""))</f>
        <v/>
      </c>
      <c r="M215" s="21" t="str">
        <f>IF(A215="","",IFERROR(IF(SUMIF(N$2:N215,"CASA",K$2:K215)=0,"",SUMIF(N$2:N215,"CASA",K$2:K215)),""))</f>
        <v/>
      </c>
      <c r="N215" s="17" t="str">
        <f>IF(J215="","",IF(J215=0.2,"CASA",IF(Dati!G215="","",Dati!G215)))</f>
        <v/>
      </c>
    </row>
    <row r="216" spans="1:14" ht="15" customHeight="1" x14ac:dyDescent="0.2">
      <c r="A216" s="23" t="str">
        <f>IF(Dati!A216="","",Dati!A216)</f>
        <v/>
      </c>
      <c r="B216" s="17" t="str">
        <f>IF(Dati!B216="","",Dati!B216)</f>
        <v/>
      </c>
      <c r="C216" s="17" t="str">
        <f>IF(B216="","",IF(ISNUMBER(B215),IF(B216-B215&lt;0,B216,IF(B216-B215=0,"",B216-B215)),B216))</f>
        <v/>
      </c>
      <c r="D216" s="18" t="str">
        <f>IF(Dati!C216="","",IF(Dati!C216&gt;1,Dati!C216/100,Dati!C216))</f>
        <v/>
      </c>
      <c r="E216" s="18" t="str">
        <f>IF(Dati!D216="","",IF(Dati!D216&gt;1,Dati!D216/100,Dati!D216))</f>
        <v/>
      </c>
      <c r="F216" s="18" t="str">
        <f>IF(OR(D216="",E216=""),"",IF(OR(D216&gt;1,E216&gt;1),(E216-D216)/100,E216-D216))</f>
        <v/>
      </c>
      <c r="G216" s="17" t="str">
        <f>IF(F216="","",IF(64*F216=0,"",64*F216))</f>
        <v/>
      </c>
      <c r="H216" s="19" t="str">
        <f>IF(Dati!E216="","",Dati!E216)</f>
        <v/>
      </c>
      <c r="I216" s="19" t="str">
        <f>IFERROR(IF(OR(C216="",C216=0),"",H216/C216*100),"")</f>
        <v/>
      </c>
      <c r="J216" s="20" t="str">
        <f>IF(Dati!F216="","",Dati!F216)</f>
        <v/>
      </c>
      <c r="K216" s="19" t="str">
        <f>IF(OR(H216="",J216=""),"",IF(H216*J216=0,"",H216*J216))</f>
        <v/>
      </c>
      <c r="L216" s="19" t="str">
        <f>IF(A216="","",IFERROR(IF(SUMPRODUCT((ISNUMBER(A$2:A216))*(A$2:A216&gt;1000)*(MONTH(IF(ISNUMBER(A$2:A216),A$2:A216,1))=MONTH(A216))*(YEAR(IF(ISNUMBER(A$2:A216),A$2:A216,1))=YEAR(A216))*IF(ISNUMBER(K$2:K216),K$2:K216,0))=0,"",SUMPRODUCT((ISNUMBER(A$2:A216))*(A$2:A216&gt;1000)*(MONTH(IF(ISNUMBER(A$2:A216),A$2:A216,1))=MONTH(A216))*(YEAR(IF(ISNUMBER(A$2:A216),A$2:A216,1))=YEAR(A216))*IF(ISNUMBER(K$2:K216),K$2:K216,0))),""))</f>
        <v/>
      </c>
      <c r="M216" s="21" t="str">
        <f>IF(A216="","",IFERROR(IF(SUMIF(N$2:N216,"CASA",K$2:K216)=0,"",SUMIF(N$2:N216,"CASA",K$2:K216)),""))</f>
        <v/>
      </c>
      <c r="N216" s="17" t="str">
        <f>IF(J216="","",IF(J216=0.2,"CASA",IF(Dati!G216="","",Dati!G216)))</f>
        <v/>
      </c>
    </row>
    <row r="217" spans="1:14" ht="15" customHeight="1" x14ac:dyDescent="0.2">
      <c r="A217" s="23" t="str">
        <f>IF(Dati!A217="","",Dati!A217)</f>
        <v/>
      </c>
      <c r="B217" s="17" t="str">
        <f>IF(Dati!B217="","",Dati!B217)</f>
        <v/>
      </c>
      <c r="C217" s="17" t="str">
        <f>IF(B217="","",IF(ISNUMBER(B216),IF(B217-B216&lt;0,B217,IF(B217-B216=0,"",B217-B216)),B217))</f>
        <v/>
      </c>
      <c r="D217" s="18" t="str">
        <f>IF(Dati!C217="","",IF(Dati!C217&gt;1,Dati!C217/100,Dati!C217))</f>
        <v/>
      </c>
      <c r="E217" s="18" t="str">
        <f>IF(Dati!D217="","",IF(Dati!D217&gt;1,Dati!D217/100,Dati!D217))</f>
        <v/>
      </c>
      <c r="F217" s="18" t="str">
        <f>IF(OR(D217="",E217=""),"",IF(OR(D217&gt;1,E217&gt;1),(E217-D217)/100,E217-D217))</f>
        <v/>
      </c>
      <c r="G217" s="17" t="str">
        <f>IF(F217="","",IF(64*F217=0,"",64*F217))</f>
        <v/>
      </c>
      <c r="H217" s="19" t="str">
        <f>IF(Dati!E217="","",Dati!E217)</f>
        <v/>
      </c>
      <c r="I217" s="19" t="str">
        <f>IFERROR(IF(OR(C217="",C217=0),"",H217/C217*100),"")</f>
        <v/>
      </c>
      <c r="J217" s="20" t="str">
        <f>IF(Dati!F217="","",Dati!F217)</f>
        <v/>
      </c>
      <c r="K217" s="19" t="str">
        <f>IF(OR(H217="",J217=""),"",IF(H217*J217=0,"",H217*J217))</f>
        <v/>
      </c>
      <c r="L217" s="19" t="str">
        <f>IF(A217="","",IFERROR(IF(SUMPRODUCT((ISNUMBER(A$2:A217))*(A$2:A217&gt;1000)*(MONTH(IF(ISNUMBER(A$2:A217),A$2:A217,1))=MONTH(A217))*(YEAR(IF(ISNUMBER(A$2:A217),A$2:A217,1))=YEAR(A217))*IF(ISNUMBER(K$2:K217),K$2:K217,0))=0,"",SUMPRODUCT((ISNUMBER(A$2:A217))*(A$2:A217&gt;1000)*(MONTH(IF(ISNUMBER(A$2:A217),A$2:A217,1))=MONTH(A217))*(YEAR(IF(ISNUMBER(A$2:A217),A$2:A217,1))=YEAR(A217))*IF(ISNUMBER(K$2:K217),K$2:K217,0))),""))</f>
        <v/>
      </c>
      <c r="M217" s="21" t="str">
        <f>IF(A217="","",IFERROR(IF(SUMIF(N$2:N217,"CASA",K$2:K217)=0,"",SUMIF(N$2:N217,"CASA",K$2:K217)),""))</f>
        <v/>
      </c>
      <c r="N217" s="17" t="str">
        <f>IF(J217="","",IF(J217=0.2,"CASA",IF(Dati!G217="","",Dati!G217)))</f>
        <v/>
      </c>
    </row>
    <row r="218" spans="1:14" ht="15" customHeight="1" x14ac:dyDescent="0.2">
      <c r="A218" s="23" t="str">
        <f>IF(Dati!A218="","",Dati!A218)</f>
        <v/>
      </c>
      <c r="B218" s="17" t="str">
        <f>IF(Dati!B218="","",Dati!B218)</f>
        <v/>
      </c>
      <c r="C218" s="17" t="str">
        <f>IF(B218="","",IF(ISNUMBER(B217),IF(B218-B217&lt;0,B218,IF(B218-B217=0,"",B218-B217)),B218))</f>
        <v/>
      </c>
      <c r="D218" s="18" t="str">
        <f>IF(Dati!C218="","",IF(Dati!C218&gt;1,Dati!C218/100,Dati!C218))</f>
        <v/>
      </c>
      <c r="E218" s="18" t="str">
        <f>IF(Dati!D218="","",IF(Dati!D218&gt;1,Dati!D218/100,Dati!D218))</f>
        <v/>
      </c>
      <c r="F218" s="18" t="str">
        <f>IF(OR(D218="",E218=""),"",IF(OR(D218&gt;1,E218&gt;1),(E218-D218)/100,E218-D218))</f>
        <v/>
      </c>
      <c r="G218" s="17" t="str">
        <f>IF(F218="","",IF(64*F218=0,"",64*F218))</f>
        <v/>
      </c>
      <c r="H218" s="19" t="str">
        <f>IF(Dati!E218="","",Dati!E218)</f>
        <v/>
      </c>
      <c r="I218" s="19" t="str">
        <f>IFERROR(IF(OR(C218="",C218=0),"",H218/C218*100),"")</f>
        <v/>
      </c>
      <c r="J218" s="20" t="str">
        <f>IF(Dati!F218="","",Dati!F218)</f>
        <v/>
      </c>
      <c r="K218" s="19" t="str">
        <f>IF(OR(H218="",J218=""),"",IF(H218*J218=0,"",H218*J218))</f>
        <v/>
      </c>
      <c r="L218" s="19" t="str">
        <f>IF(A218="","",IFERROR(IF(SUMPRODUCT((ISNUMBER(A$2:A218))*(A$2:A218&gt;1000)*(MONTH(IF(ISNUMBER(A$2:A218),A$2:A218,1))=MONTH(A218))*(YEAR(IF(ISNUMBER(A$2:A218),A$2:A218,1))=YEAR(A218))*IF(ISNUMBER(K$2:K218),K$2:K218,0))=0,"",SUMPRODUCT((ISNUMBER(A$2:A218))*(A$2:A218&gt;1000)*(MONTH(IF(ISNUMBER(A$2:A218),A$2:A218,1))=MONTH(A218))*(YEAR(IF(ISNUMBER(A$2:A218),A$2:A218,1))=YEAR(A218))*IF(ISNUMBER(K$2:K218),K$2:K218,0))),""))</f>
        <v/>
      </c>
      <c r="M218" s="21" t="str">
        <f>IF(A218="","",IFERROR(IF(SUMIF(N$2:N218,"CASA",K$2:K218)=0,"",SUMIF(N$2:N218,"CASA",K$2:K218)),""))</f>
        <v/>
      </c>
      <c r="N218" s="17" t="str">
        <f>IF(J218="","",IF(J218=0.2,"CASA",IF(Dati!G218="","",Dati!G218)))</f>
        <v/>
      </c>
    </row>
    <row r="219" spans="1:14" ht="15" customHeight="1" x14ac:dyDescent="0.2">
      <c r="A219" s="23" t="str">
        <f>IF(Dati!A219="","",Dati!A219)</f>
        <v/>
      </c>
      <c r="B219" s="17" t="str">
        <f>IF(Dati!B219="","",Dati!B219)</f>
        <v/>
      </c>
      <c r="C219" s="17" t="str">
        <f>IF(B219="","",IF(ISNUMBER(B218),IF(B219-B218&lt;0,B219,IF(B219-B218=0,"",B219-B218)),B219))</f>
        <v/>
      </c>
      <c r="D219" s="18" t="str">
        <f>IF(Dati!C219="","",IF(Dati!C219&gt;1,Dati!C219/100,Dati!C219))</f>
        <v/>
      </c>
      <c r="E219" s="18" t="str">
        <f>IF(Dati!D219="","",IF(Dati!D219&gt;1,Dati!D219/100,Dati!D219))</f>
        <v/>
      </c>
      <c r="F219" s="18" t="str">
        <f>IF(OR(D219="",E219=""),"",IF(OR(D219&gt;1,E219&gt;1),(E219-D219)/100,E219-D219))</f>
        <v/>
      </c>
      <c r="G219" s="17" t="str">
        <f>IF(F219="","",IF(64*F219=0,"",64*F219))</f>
        <v/>
      </c>
      <c r="H219" s="19" t="str">
        <f>IF(Dati!E219="","",Dati!E219)</f>
        <v/>
      </c>
      <c r="I219" s="19" t="str">
        <f>IFERROR(IF(OR(C219="",C219=0),"",H219/C219*100),"")</f>
        <v/>
      </c>
      <c r="J219" s="20" t="str">
        <f>IF(Dati!F219="","",Dati!F219)</f>
        <v/>
      </c>
      <c r="K219" s="19" t="str">
        <f>IF(OR(H219="",J219=""),"",IF(H219*J219=0,"",H219*J219))</f>
        <v/>
      </c>
      <c r="L219" s="19" t="str">
        <f>IF(A219="","",IFERROR(IF(SUMPRODUCT((ISNUMBER(A$2:A219))*(A$2:A219&gt;1000)*(MONTH(IF(ISNUMBER(A$2:A219),A$2:A219,1))=MONTH(A219))*(YEAR(IF(ISNUMBER(A$2:A219),A$2:A219,1))=YEAR(A219))*IF(ISNUMBER(K$2:K219),K$2:K219,0))=0,"",SUMPRODUCT((ISNUMBER(A$2:A219))*(A$2:A219&gt;1000)*(MONTH(IF(ISNUMBER(A$2:A219),A$2:A219,1))=MONTH(A219))*(YEAR(IF(ISNUMBER(A$2:A219),A$2:A219,1))=YEAR(A219))*IF(ISNUMBER(K$2:K219),K$2:K219,0))),""))</f>
        <v/>
      </c>
      <c r="M219" s="21" t="str">
        <f>IF(A219="","",IFERROR(IF(SUMIF(N$2:N219,"CASA",K$2:K219)=0,"",SUMIF(N$2:N219,"CASA",K$2:K219)),""))</f>
        <v/>
      </c>
      <c r="N219" s="17" t="str">
        <f>IF(J219="","",IF(J219=0.2,"CASA",IF(Dati!G219="","",Dati!G219)))</f>
        <v/>
      </c>
    </row>
    <row r="220" spans="1:14" ht="15" customHeight="1" x14ac:dyDescent="0.2">
      <c r="A220" s="23" t="str">
        <f>IF(Dati!A220="","",Dati!A220)</f>
        <v/>
      </c>
      <c r="B220" s="17" t="str">
        <f>IF(Dati!B220="","",Dati!B220)</f>
        <v/>
      </c>
      <c r="C220" s="17" t="str">
        <f>IF(B220="","",IF(ISNUMBER(B219),IF(B220-B219&lt;0,B220,IF(B220-B219=0,"",B220-B219)),B220))</f>
        <v/>
      </c>
      <c r="D220" s="18" t="str">
        <f>IF(Dati!C220="","",IF(Dati!C220&gt;1,Dati!C220/100,Dati!C220))</f>
        <v/>
      </c>
      <c r="E220" s="18" t="str">
        <f>IF(Dati!D220="","",IF(Dati!D220&gt;1,Dati!D220/100,Dati!D220))</f>
        <v/>
      </c>
      <c r="F220" s="18" t="str">
        <f>IF(OR(D220="",E220=""),"",IF(OR(D220&gt;1,E220&gt;1),(E220-D220)/100,E220-D220))</f>
        <v/>
      </c>
      <c r="G220" s="17" t="str">
        <f>IF(F220="","",IF(64*F220=0,"",64*F220))</f>
        <v/>
      </c>
      <c r="H220" s="19" t="str">
        <f>IF(Dati!E220="","",Dati!E220)</f>
        <v/>
      </c>
      <c r="I220" s="19" t="str">
        <f>IFERROR(IF(OR(C220="",C220=0),"",H220/C220*100),"")</f>
        <v/>
      </c>
      <c r="J220" s="20" t="str">
        <f>IF(Dati!F220="","",Dati!F220)</f>
        <v/>
      </c>
      <c r="K220" s="19" t="str">
        <f>IF(OR(H220="",J220=""),"",IF(H220*J220=0,"",H220*J220))</f>
        <v/>
      </c>
      <c r="L220" s="19" t="str">
        <f>IF(A220="","",IFERROR(IF(SUMPRODUCT((ISNUMBER(A$2:A220))*(A$2:A220&gt;1000)*(MONTH(IF(ISNUMBER(A$2:A220),A$2:A220,1))=MONTH(A220))*(YEAR(IF(ISNUMBER(A$2:A220),A$2:A220,1))=YEAR(A220))*IF(ISNUMBER(K$2:K220),K$2:K220,0))=0,"",SUMPRODUCT((ISNUMBER(A$2:A220))*(A$2:A220&gt;1000)*(MONTH(IF(ISNUMBER(A$2:A220),A$2:A220,1))=MONTH(A220))*(YEAR(IF(ISNUMBER(A$2:A220),A$2:A220,1))=YEAR(A220))*IF(ISNUMBER(K$2:K220),K$2:K220,0))),""))</f>
        <v/>
      </c>
      <c r="M220" s="21" t="str">
        <f>IF(A220="","",IFERROR(IF(SUMIF(N$2:N220,"CASA",K$2:K220)=0,"",SUMIF(N$2:N220,"CASA",K$2:K220)),""))</f>
        <v/>
      </c>
      <c r="N220" s="17" t="str">
        <f>IF(J220="","",IF(J220=0.2,"CASA",IF(Dati!G220="","",Dati!G220)))</f>
        <v/>
      </c>
    </row>
    <row r="221" spans="1:14" ht="15" customHeight="1" x14ac:dyDescent="0.2">
      <c r="A221" s="23" t="str">
        <f>IF(Dati!A221="","",Dati!A221)</f>
        <v/>
      </c>
      <c r="B221" s="17" t="str">
        <f>IF(Dati!B221="","",Dati!B221)</f>
        <v/>
      </c>
      <c r="C221" s="17" t="str">
        <f>IF(B221="","",IF(ISNUMBER(B220),IF(B221-B220&lt;0,B221,IF(B221-B220=0,"",B221-B220)),B221))</f>
        <v/>
      </c>
      <c r="D221" s="18" t="str">
        <f>IF(Dati!C221="","",IF(Dati!C221&gt;1,Dati!C221/100,Dati!C221))</f>
        <v/>
      </c>
      <c r="E221" s="18" t="str">
        <f>IF(Dati!D221="","",IF(Dati!D221&gt;1,Dati!D221/100,Dati!D221))</f>
        <v/>
      </c>
      <c r="F221" s="18" t="str">
        <f>IF(OR(D221="",E221=""),"",IF(OR(D221&gt;1,E221&gt;1),(E221-D221)/100,E221-D221))</f>
        <v/>
      </c>
      <c r="G221" s="17" t="str">
        <f>IF(F221="","",IF(64*F221=0,"",64*F221))</f>
        <v/>
      </c>
      <c r="H221" s="19" t="str">
        <f>IF(Dati!E221="","",Dati!E221)</f>
        <v/>
      </c>
      <c r="I221" s="19" t="str">
        <f>IFERROR(IF(OR(C221="",C221=0),"",H221/C221*100),"")</f>
        <v/>
      </c>
      <c r="J221" s="20" t="str">
        <f>IF(Dati!F221="","",Dati!F221)</f>
        <v/>
      </c>
      <c r="K221" s="19" t="str">
        <f>IF(OR(H221="",J221=""),"",IF(H221*J221=0,"",H221*J221))</f>
        <v/>
      </c>
      <c r="L221" s="19" t="str">
        <f>IF(A221="","",IFERROR(IF(SUMPRODUCT((ISNUMBER(A$2:A221))*(A$2:A221&gt;1000)*(MONTH(IF(ISNUMBER(A$2:A221),A$2:A221,1))=MONTH(A221))*(YEAR(IF(ISNUMBER(A$2:A221),A$2:A221,1))=YEAR(A221))*IF(ISNUMBER(K$2:K221),K$2:K221,0))=0,"",SUMPRODUCT((ISNUMBER(A$2:A221))*(A$2:A221&gt;1000)*(MONTH(IF(ISNUMBER(A$2:A221),A$2:A221,1))=MONTH(A221))*(YEAR(IF(ISNUMBER(A$2:A221),A$2:A221,1))=YEAR(A221))*IF(ISNUMBER(K$2:K221),K$2:K221,0))),""))</f>
        <v/>
      </c>
      <c r="M221" s="21" t="str">
        <f>IF(A221="","",IFERROR(IF(SUMIF(N$2:N221,"CASA",K$2:K221)=0,"",SUMIF(N$2:N221,"CASA",K$2:K221)),""))</f>
        <v/>
      </c>
      <c r="N221" s="17" t="str">
        <f>IF(J221="","",IF(J221=0.2,"CASA",IF(Dati!G221="","",Dati!G221)))</f>
        <v/>
      </c>
    </row>
    <row r="222" spans="1:14" ht="15" customHeight="1" x14ac:dyDescent="0.2">
      <c r="A222" s="23" t="str">
        <f>IF(Dati!A222="","",Dati!A222)</f>
        <v/>
      </c>
      <c r="B222" s="17" t="str">
        <f>IF(Dati!B222="","",Dati!B222)</f>
        <v/>
      </c>
      <c r="C222" s="17" t="str">
        <f>IF(B222="","",IF(ISNUMBER(B221),IF(B222-B221&lt;0,B222,IF(B222-B221=0,"",B222-B221)),B222))</f>
        <v/>
      </c>
      <c r="D222" s="18" t="str">
        <f>IF(Dati!C222="","",IF(Dati!C222&gt;1,Dati!C222/100,Dati!C222))</f>
        <v/>
      </c>
      <c r="E222" s="18" t="str">
        <f>IF(Dati!D222="","",IF(Dati!D222&gt;1,Dati!D222/100,Dati!D222))</f>
        <v/>
      </c>
      <c r="F222" s="18" t="str">
        <f>IF(OR(D222="",E222=""),"",IF(OR(D222&gt;1,E222&gt;1),(E222-D222)/100,E222-D222))</f>
        <v/>
      </c>
      <c r="G222" s="17" t="str">
        <f>IF(F222="","",IF(64*F222=0,"",64*F222))</f>
        <v/>
      </c>
      <c r="H222" s="19" t="str">
        <f>IF(Dati!E222="","",Dati!E222)</f>
        <v/>
      </c>
      <c r="I222" s="19" t="str">
        <f>IFERROR(IF(OR(C222="",C222=0),"",H222/C222*100),"")</f>
        <v/>
      </c>
      <c r="J222" s="20" t="str">
        <f>IF(Dati!F222="","",Dati!F222)</f>
        <v/>
      </c>
      <c r="K222" s="19" t="str">
        <f>IF(OR(H222="",J222=""),"",IF(H222*J222=0,"",H222*J222))</f>
        <v/>
      </c>
      <c r="L222" s="19" t="str">
        <f>IF(A222="","",IFERROR(IF(SUMPRODUCT((ISNUMBER(A$2:A222))*(A$2:A222&gt;1000)*(MONTH(IF(ISNUMBER(A$2:A222),A$2:A222,1))=MONTH(A222))*(YEAR(IF(ISNUMBER(A$2:A222),A$2:A222,1))=YEAR(A222))*IF(ISNUMBER(K$2:K222),K$2:K222,0))=0,"",SUMPRODUCT((ISNUMBER(A$2:A222))*(A$2:A222&gt;1000)*(MONTH(IF(ISNUMBER(A$2:A222),A$2:A222,1))=MONTH(A222))*(YEAR(IF(ISNUMBER(A$2:A222),A$2:A222,1))=YEAR(A222))*IF(ISNUMBER(K$2:K222),K$2:K222,0))),""))</f>
        <v/>
      </c>
      <c r="M222" s="21" t="str">
        <f>IF(A222="","",IFERROR(IF(SUMIF(N$2:N222,"CASA",K$2:K222)=0,"",SUMIF(N$2:N222,"CASA",K$2:K222)),""))</f>
        <v/>
      </c>
      <c r="N222" s="17" t="str">
        <f>IF(J222="","",IF(J222=0.2,"CASA",IF(Dati!G222="","",Dati!G222)))</f>
        <v/>
      </c>
    </row>
    <row r="223" spans="1:14" ht="15" customHeight="1" x14ac:dyDescent="0.2">
      <c r="A223" s="23" t="str">
        <f>IF(Dati!A223="","",Dati!A223)</f>
        <v/>
      </c>
      <c r="B223" s="17" t="str">
        <f>IF(Dati!B223="","",Dati!B223)</f>
        <v/>
      </c>
      <c r="C223" s="17" t="str">
        <f>IF(B223="","",IF(ISNUMBER(B222),IF(B223-B222&lt;0,B223,IF(B223-B222=0,"",B223-B222)),B223))</f>
        <v/>
      </c>
      <c r="D223" s="18" t="str">
        <f>IF(Dati!C223="","",IF(Dati!C223&gt;1,Dati!C223/100,Dati!C223))</f>
        <v/>
      </c>
      <c r="E223" s="18" t="str">
        <f>IF(Dati!D223="","",IF(Dati!D223&gt;1,Dati!D223/100,Dati!D223))</f>
        <v/>
      </c>
      <c r="F223" s="18" t="str">
        <f>IF(OR(D223="",E223=""),"",IF(OR(D223&gt;1,E223&gt;1),(E223-D223)/100,E223-D223))</f>
        <v/>
      </c>
      <c r="G223" s="17" t="str">
        <f>IF(F223="","",IF(64*F223=0,"",64*F223))</f>
        <v/>
      </c>
      <c r="H223" s="19" t="str">
        <f>IF(Dati!E223="","",Dati!E223)</f>
        <v/>
      </c>
      <c r="I223" s="19" t="str">
        <f>IFERROR(IF(OR(C223="",C223=0),"",H223/C223*100),"")</f>
        <v/>
      </c>
      <c r="J223" s="20" t="str">
        <f>IF(Dati!F223="","",Dati!F223)</f>
        <v/>
      </c>
      <c r="K223" s="19" t="str">
        <f>IF(OR(H223="",J223=""),"",IF(H223*J223=0,"",H223*J223))</f>
        <v/>
      </c>
      <c r="L223" s="19" t="str">
        <f>IF(A223="","",IFERROR(IF(SUMPRODUCT((ISNUMBER(A$2:A223))*(A$2:A223&gt;1000)*(MONTH(IF(ISNUMBER(A$2:A223),A$2:A223,1))=MONTH(A223))*(YEAR(IF(ISNUMBER(A$2:A223),A$2:A223,1))=YEAR(A223))*IF(ISNUMBER(K$2:K223),K$2:K223,0))=0,"",SUMPRODUCT((ISNUMBER(A$2:A223))*(A$2:A223&gt;1000)*(MONTH(IF(ISNUMBER(A$2:A223),A$2:A223,1))=MONTH(A223))*(YEAR(IF(ISNUMBER(A$2:A223),A$2:A223,1))=YEAR(A223))*IF(ISNUMBER(K$2:K223),K$2:K223,0))),""))</f>
        <v/>
      </c>
      <c r="M223" s="21" t="str">
        <f>IF(A223="","",IFERROR(IF(SUMIF(N$2:N223,"CASA",K$2:K223)=0,"",SUMIF(N$2:N223,"CASA",K$2:K223)),""))</f>
        <v/>
      </c>
      <c r="N223" s="17" t="str">
        <f>IF(J223="","",IF(J223=0.2,"CASA",IF(Dati!G223="","",Dati!G223)))</f>
        <v/>
      </c>
    </row>
    <row r="224" spans="1:14" ht="15" customHeight="1" x14ac:dyDescent="0.2">
      <c r="A224" s="23" t="str">
        <f>IF(Dati!A224="","",Dati!A224)</f>
        <v/>
      </c>
      <c r="B224" s="17" t="str">
        <f>IF(Dati!B224="","",Dati!B224)</f>
        <v/>
      </c>
      <c r="C224" s="17" t="str">
        <f>IF(B224="","",IF(ISNUMBER(B223),IF(B224-B223&lt;0,B224,IF(B224-B223=0,"",B224-B223)),B224))</f>
        <v/>
      </c>
      <c r="D224" s="18" t="str">
        <f>IF(Dati!C224="","",IF(Dati!C224&gt;1,Dati!C224/100,Dati!C224))</f>
        <v/>
      </c>
      <c r="E224" s="18" t="str">
        <f>IF(Dati!D224="","",IF(Dati!D224&gt;1,Dati!D224/100,Dati!D224))</f>
        <v/>
      </c>
      <c r="F224" s="18" t="str">
        <f>IF(OR(D224="",E224=""),"",IF(OR(D224&gt;1,E224&gt;1),(E224-D224)/100,E224-D224))</f>
        <v/>
      </c>
      <c r="G224" s="17" t="str">
        <f>IF(F224="","",IF(64*F224=0,"",64*F224))</f>
        <v/>
      </c>
      <c r="H224" s="19" t="str">
        <f>IF(Dati!E224="","",Dati!E224)</f>
        <v/>
      </c>
      <c r="I224" s="19" t="str">
        <f>IFERROR(IF(OR(C224="",C224=0),"",H224/C224*100),"")</f>
        <v/>
      </c>
      <c r="J224" s="20" t="str">
        <f>IF(Dati!F224="","",Dati!F224)</f>
        <v/>
      </c>
      <c r="K224" s="19" t="str">
        <f>IF(OR(H224="",J224=""),"",IF(H224*J224=0,"",H224*J224))</f>
        <v/>
      </c>
      <c r="L224" s="19" t="str">
        <f>IF(A224="","",IFERROR(IF(SUMPRODUCT((ISNUMBER(A$2:A224))*(A$2:A224&gt;1000)*(MONTH(IF(ISNUMBER(A$2:A224),A$2:A224,1))=MONTH(A224))*(YEAR(IF(ISNUMBER(A$2:A224),A$2:A224,1))=YEAR(A224))*IF(ISNUMBER(K$2:K224),K$2:K224,0))=0,"",SUMPRODUCT((ISNUMBER(A$2:A224))*(A$2:A224&gt;1000)*(MONTH(IF(ISNUMBER(A$2:A224),A$2:A224,1))=MONTH(A224))*(YEAR(IF(ISNUMBER(A$2:A224),A$2:A224,1))=YEAR(A224))*IF(ISNUMBER(K$2:K224),K$2:K224,0))),""))</f>
        <v/>
      </c>
      <c r="M224" s="21" t="str">
        <f>IF(A224="","",IFERROR(IF(SUMIF(N$2:N224,"CASA",K$2:K224)=0,"",SUMIF(N$2:N224,"CASA",K$2:K224)),""))</f>
        <v/>
      </c>
      <c r="N224" s="17" t="str">
        <f>IF(J224="","",IF(J224=0.2,"CASA",IF(Dati!G224="","",Dati!G224)))</f>
        <v/>
      </c>
    </row>
    <row r="225" spans="1:14" ht="15" customHeight="1" x14ac:dyDescent="0.2">
      <c r="A225" s="23" t="str">
        <f>IF(Dati!A225="","",Dati!A225)</f>
        <v/>
      </c>
      <c r="B225" s="17" t="str">
        <f>IF(Dati!B225="","",Dati!B225)</f>
        <v/>
      </c>
      <c r="C225" s="17" t="str">
        <f>IF(B225="","",IF(ISNUMBER(B224),IF(B225-B224&lt;0,B225,IF(B225-B224=0,"",B225-B224)),B225))</f>
        <v/>
      </c>
      <c r="D225" s="18" t="str">
        <f>IF(Dati!C225="","",IF(Dati!C225&gt;1,Dati!C225/100,Dati!C225))</f>
        <v/>
      </c>
      <c r="E225" s="18" t="str">
        <f>IF(Dati!D225="","",IF(Dati!D225&gt;1,Dati!D225/100,Dati!D225))</f>
        <v/>
      </c>
      <c r="F225" s="18" t="str">
        <f>IF(OR(D225="",E225=""),"",IF(OR(D225&gt;1,E225&gt;1),(E225-D225)/100,E225-D225))</f>
        <v/>
      </c>
      <c r="G225" s="17" t="str">
        <f>IF(F225="","",IF(64*F225=0,"",64*F225))</f>
        <v/>
      </c>
      <c r="H225" s="19" t="str">
        <f>IF(Dati!E225="","",Dati!E225)</f>
        <v/>
      </c>
      <c r="I225" s="19" t="str">
        <f>IFERROR(IF(OR(C225="",C225=0),"",H225/C225*100),"")</f>
        <v/>
      </c>
      <c r="J225" s="20" t="str">
        <f>IF(Dati!F225="","",Dati!F225)</f>
        <v/>
      </c>
      <c r="K225" s="19" t="str">
        <f>IF(OR(H225="",J225=""),"",IF(H225*J225=0,"",H225*J225))</f>
        <v/>
      </c>
      <c r="L225" s="19" t="str">
        <f>IF(A225="","",IFERROR(IF(SUMPRODUCT((ISNUMBER(A$2:A225))*(A$2:A225&gt;1000)*(MONTH(IF(ISNUMBER(A$2:A225),A$2:A225,1))=MONTH(A225))*(YEAR(IF(ISNUMBER(A$2:A225),A$2:A225,1))=YEAR(A225))*IF(ISNUMBER(K$2:K225),K$2:K225,0))=0,"",SUMPRODUCT((ISNUMBER(A$2:A225))*(A$2:A225&gt;1000)*(MONTH(IF(ISNUMBER(A$2:A225),A$2:A225,1))=MONTH(A225))*(YEAR(IF(ISNUMBER(A$2:A225),A$2:A225,1))=YEAR(A225))*IF(ISNUMBER(K$2:K225),K$2:K225,0))),""))</f>
        <v/>
      </c>
      <c r="M225" s="21" t="str">
        <f>IF(A225="","",IFERROR(IF(SUMIF(N$2:N225,"CASA",K$2:K225)=0,"",SUMIF(N$2:N225,"CASA",K$2:K225)),""))</f>
        <v/>
      </c>
      <c r="N225" s="17" t="str">
        <f>IF(J225="","",IF(J225=0.2,"CASA",IF(Dati!G225="","",Dati!G225)))</f>
        <v/>
      </c>
    </row>
    <row r="226" spans="1:14" ht="15" customHeight="1" x14ac:dyDescent="0.2">
      <c r="A226" s="23" t="str">
        <f>IF(Dati!A226="","",Dati!A226)</f>
        <v/>
      </c>
      <c r="B226" s="17" t="str">
        <f>IF(Dati!B226="","",Dati!B226)</f>
        <v/>
      </c>
      <c r="C226" s="17" t="str">
        <f>IF(B226="","",IF(ISNUMBER(B225),IF(B226-B225&lt;0,B226,IF(B226-B225=0,"",B226-B225)),B226))</f>
        <v/>
      </c>
      <c r="D226" s="18" t="str">
        <f>IF(Dati!C226="","",IF(Dati!C226&gt;1,Dati!C226/100,Dati!C226))</f>
        <v/>
      </c>
      <c r="E226" s="18" t="str">
        <f>IF(Dati!D226="","",IF(Dati!D226&gt;1,Dati!D226/100,Dati!D226))</f>
        <v/>
      </c>
      <c r="F226" s="18" t="str">
        <f>IF(OR(D226="",E226=""),"",IF(OR(D226&gt;1,E226&gt;1),(E226-D226)/100,E226-D226))</f>
        <v/>
      </c>
      <c r="G226" s="17" t="str">
        <f>IF(F226="","",IF(64*F226=0,"",64*F226))</f>
        <v/>
      </c>
      <c r="H226" s="19" t="str">
        <f>IF(Dati!E226="","",Dati!E226)</f>
        <v/>
      </c>
      <c r="I226" s="19" t="str">
        <f>IFERROR(IF(OR(C226="",C226=0),"",H226/C226*100),"")</f>
        <v/>
      </c>
      <c r="J226" s="20" t="str">
        <f>IF(Dati!F226="","",Dati!F226)</f>
        <v/>
      </c>
      <c r="K226" s="19" t="str">
        <f>IF(OR(H226="",J226=""),"",IF(H226*J226=0,"",H226*J226))</f>
        <v/>
      </c>
      <c r="L226" s="19" t="str">
        <f>IF(A226="","",IFERROR(IF(SUMPRODUCT((ISNUMBER(A$2:A226))*(A$2:A226&gt;1000)*(MONTH(IF(ISNUMBER(A$2:A226),A$2:A226,1))=MONTH(A226))*(YEAR(IF(ISNUMBER(A$2:A226),A$2:A226,1))=YEAR(A226))*IF(ISNUMBER(K$2:K226),K$2:K226,0))=0,"",SUMPRODUCT((ISNUMBER(A$2:A226))*(A$2:A226&gt;1000)*(MONTH(IF(ISNUMBER(A$2:A226),A$2:A226,1))=MONTH(A226))*(YEAR(IF(ISNUMBER(A$2:A226),A$2:A226,1))=YEAR(A226))*IF(ISNUMBER(K$2:K226),K$2:K226,0))),""))</f>
        <v/>
      </c>
      <c r="M226" s="21" t="str">
        <f>IF(A226="","",IFERROR(IF(SUMIF(N$2:N226,"CASA",K$2:K226)=0,"",SUMIF(N$2:N226,"CASA",K$2:K226)),""))</f>
        <v/>
      </c>
      <c r="N226" s="17" t="str">
        <f>IF(J226="","",IF(J226=0.2,"CASA",IF(Dati!G226="","",Dati!G226)))</f>
        <v/>
      </c>
    </row>
    <row r="227" spans="1:14" ht="15" customHeight="1" x14ac:dyDescent="0.2">
      <c r="A227" s="23" t="str">
        <f>IF(Dati!A227="","",Dati!A227)</f>
        <v/>
      </c>
      <c r="B227" s="17" t="str">
        <f>IF(Dati!B227="","",Dati!B227)</f>
        <v/>
      </c>
      <c r="C227" s="17" t="str">
        <f>IF(B227="","",IF(ISNUMBER(B226),IF(B227-B226&lt;0,B227,IF(B227-B226=0,"",B227-B226)),B227))</f>
        <v/>
      </c>
      <c r="D227" s="18" t="str">
        <f>IF(Dati!C227="","",IF(Dati!C227&gt;1,Dati!C227/100,Dati!C227))</f>
        <v/>
      </c>
      <c r="E227" s="18" t="str">
        <f>IF(Dati!D227="","",IF(Dati!D227&gt;1,Dati!D227/100,Dati!D227))</f>
        <v/>
      </c>
      <c r="F227" s="18" t="str">
        <f>IF(OR(D227="",E227=""),"",IF(OR(D227&gt;1,E227&gt;1),(E227-D227)/100,E227-D227))</f>
        <v/>
      </c>
      <c r="G227" s="17" t="str">
        <f>IF(F227="","",IF(64*F227=0,"",64*F227))</f>
        <v/>
      </c>
      <c r="H227" s="19" t="str">
        <f>IF(Dati!E227="","",Dati!E227)</f>
        <v/>
      </c>
      <c r="I227" s="19" t="str">
        <f>IFERROR(IF(OR(C227="",C227=0),"",H227/C227*100),"")</f>
        <v/>
      </c>
      <c r="J227" s="20" t="str">
        <f>IF(Dati!F227="","",Dati!F227)</f>
        <v/>
      </c>
      <c r="K227" s="19" t="str">
        <f>IF(OR(H227="",J227=""),"",IF(H227*J227=0,"",H227*J227))</f>
        <v/>
      </c>
      <c r="L227" s="19" t="str">
        <f>IF(A227="","",IFERROR(IF(SUMPRODUCT((ISNUMBER(A$2:A227))*(A$2:A227&gt;1000)*(MONTH(IF(ISNUMBER(A$2:A227),A$2:A227,1))=MONTH(A227))*(YEAR(IF(ISNUMBER(A$2:A227),A$2:A227,1))=YEAR(A227))*IF(ISNUMBER(K$2:K227),K$2:K227,0))=0,"",SUMPRODUCT((ISNUMBER(A$2:A227))*(A$2:A227&gt;1000)*(MONTH(IF(ISNUMBER(A$2:A227),A$2:A227,1))=MONTH(A227))*(YEAR(IF(ISNUMBER(A$2:A227),A$2:A227,1))=YEAR(A227))*IF(ISNUMBER(K$2:K227),K$2:K227,0))),""))</f>
        <v/>
      </c>
      <c r="M227" s="21" t="str">
        <f>IF(A227="","",IFERROR(IF(SUMIF(N$2:N227,"CASA",K$2:K227)=0,"",SUMIF(N$2:N227,"CASA",K$2:K227)),""))</f>
        <v/>
      </c>
      <c r="N227" s="17" t="str">
        <f>IF(J227="","",IF(J227=0.2,"CASA",IF(Dati!G227="","",Dati!G227)))</f>
        <v/>
      </c>
    </row>
    <row r="228" spans="1:14" ht="15" customHeight="1" x14ac:dyDescent="0.2">
      <c r="A228" s="23" t="str">
        <f>IF(Dati!A228="","",Dati!A228)</f>
        <v/>
      </c>
      <c r="B228" s="17" t="str">
        <f>IF(Dati!B228="","",Dati!B228)</f>
        <v/>
      </c>
      <c r="C228" s="17" t="str">
        <f>IF(B228="","",IF(ISNUMBER(B227),IF(B228-B227&lt;0,B228,IF(B228-B227=0,"",B228-B227)),B228))</f>
        <v/>
      </c>
      <c r="D228" s="18" t="str">
        <f>IF(Dati!C228="","",IF(Dati!C228&gt;1,Dati!C228/100,Dati!C228))</f>
        <v/>
      </c>
      <c r="E228" s="18" t="str">
        <f>IF(Dati!D228="","",IF(Dati!D228&gt;1,Dati!D228/100,Dati!D228))</f>
        <v/>
      </c>
      <c r="F228" s="18" t="str">
        <f>IF(OR(D228="",E228=""),"",IF(OR(D228&gt;1,E228&gt;1),(E228-D228)/100,E228-D228))</f>
        <v/>
      </c>
      <c r="G228" s="17" t="str">
        <f>IF(F228="","",IF(64*F228=0,"",64*F228))</f>
        <v/>
      </c>
      <c r="H228" s="19" t="str">
        <f>IF(Dati!E228="","",Dati!E228)</f>
        <v/>
      </c>
      <c r="I228" s="19" t="str">
        <f>IFERROR(IF(OR(C228="",C228=0),"",H228/C228*100),"")</f>
        <v/>
      </c>
      <c r="J228" s="20" t="str">
        <f>IF(Dati!F228="","",Dati!F228)</f>
        <v/>
      </c>
      <c r="K228" s="19" t="str">
        <f>IF(OR(H228="",J228=""),"",IF(H228*J228=0,"",H228*J228))</f>
        <v/>
      </c>
      <c r="L228" s="19" t="str">
        <f>IF(A228="","",IFERROR(IF(SUMPRODUCT((ISNUMBER(A$2:A228))*(A$2:A228&gt;1000)*(MONTH(IF(ISNUMBER(A$2:A228),A$2:A228,1))=MONTH(A228))*(YEAR(IF(ISNUMBER(A$2:A228),A$2:A228,1))=YEAR(A228))*IF(ISNUMBER(K$2:K228),K$2:K228,0))=0,"",SUMPRODUCT((ISNUMBER(A$2:A228))*(A$2:A228&gt;1000)*(MONTH(IF(ISNUMBER(A$2:A228),A$2:A228,1))=MONTH(A228))*(YEAR(IF(ISNUMBER(A$2:A228),A$2:A228,1))=YEAR(A228))*IF(ISNUMBER(K$2:K228),K$2:K228,0))),""))</f>
        <v/>
      </c>
      <c r="M228" s="21" t="str">
        <f>IF(A228="","",IFERROR(IF(SUMIF(N$2:N228,"CASA",K$2:K228)=0,"",SUMIF(N$2:N228,"CASA",K$2:K228)),""))</f>
        <v/>
      </c>
      <c r="N228" s="17" t="str">
        <f>IF(J228="","",IF(J228=0.2,"CASA",IF(Dati!G228="","",Dati!G228)))</f>
        <v/>
      </c>
    </row>
    <row r="229" spans="1:14" ht="15" customHeight="1" x14ac:dyDescent="0.2">
      <c r="A229" s="23" t="str">
        <f>IF(Dati!A229="","",Dati!A229)</f>
        <v/>
      </c>
      <c r="B229" s="17" t="str">
        <f>IF(Dati!B229="","",Dati!B229)</f>
        <v/>
      </c>
      <c r="C229" s="17" t="str">
        <f>IF(B229="","",IF(ISNUMBER(B228),IF(B229-B228&lt;0,B229,IF(B229-B228=0,"",B229-B228)),B229))</f>
        <v/>
      </c>
      <c r="D229" s="18" t="str">
        <f>IF(Dati!C229="","",IF(Dati!C229&gt;1,Dati!C229/100,Dati!C229))</f>
        <v/>
      </c>
      <c r="E229" s="18" t="str">
        <f>IF(Dati!D229="","",IF(Dati!D229&gt;1,Dati!D229/100,Dati!D229))</f>
        <v/>
      </c>
      <c r="F229" s="18" t="str">
        <f>IF(OR(D229="",E229=""),"",IF(OR(D229&gt;1,E229&gt;1),(E229-D229)/100,E229-D229))</f>
        <v/>
      </c>
      <c r="G229" s="17" t="str">
        <f>IF(F229="","",IF(64*F229=0,"",64*F229))</f>
        <v/>
      </c>
      <c r="H229" s="19" t="str">
        <f>IF(Dati!E229="","",Dati!E229)</f>
        <v/>
      </c>
      <c r="I229" s="19" t="str">
        <f>IFERROR(IF(OR(C229="",C229=0),"",H229/C229*100),"")</f>
        <v/>
      </c>
      <c r="J229" s="20" t="str">
        <f>IF(Dati!F229="","",Dati!F229)</f>
        <v/>
      </c>
      <c r="K229" s="19" t="str">
        <f>IF(OR(H229="",J229=""),"",IF(H229*J229=0,"",H229*J229))</f>
        <v/>
      </c>
      <c r="L229" s="19" t="str">
        <f>IF(A229="","",IFERROR(IF(SUMPRODUCT((ISNUMBER(A$2:A229))*(A$2:A229&gt;1000)*(MONTH(IF(ISNUMBER(A$2:A229),A$2:A229,1))=MONTH(A229))*(YEAR(IF(ISNUMBER(A$2:A229),A$2:A229,1))=YEAR(A229))*IF(ISNUMBER(K$2:K229),K$2:K229,0))=0,"",SUMPRODUCT((ISNUMBER(A$2:A229))*(A$2:A229&gt;1000)*(MONTH(IF(ISNUMBER(A$2:A229),A$2:A229,1))=MONTH(A229))*(YEAR(IF(ISNUMBER(A$2:A229),A$2:A229,1))=YEAR(A229))*IF(ISNUMBER(K$2:K229),K$2:K229,0))),""))</f>
        <v/>
      </c>
      <c r="M229" s="21" t="str">
        <f>IF(A229="","",IFERROR(IF(SUMIF(N$2:N229,"CASA",K$2:K229)=0,"",SUMIF(N$2:N229,"CASA",K$2:K229)),""))</f>
        <v/>
      </c>
      <c r="N229" s="17" t="str">
        <f>IF(J229="","",IF(J229=0.2,"CASA",IF(Dati!G229="","",Dati!G229)))</f>
        <v/>
      </c>
    </row>
    <row r="230" spans="1:14" ht="15" customHeight="1" x14ac:dyDescent="0.2">
      <c r="A230" s="23" t="str">
        <f>IF(Dati!A230="","",Dati!A230)</f>
        <v/>
      </c>
      <c r="B230" s="17" t="str">
        <f>IF(Dati!B230="","",Dati!B230)</f>
        <v/>
      </c>
      <c r="C230" s="17" t="str">
        <f>IF(B230="","",IF(ISNUMBER(B229),IF(B230-B229&lt;0,B230,IF(B230-B229=0,"",B230-B229)),B230))</f>
        <v/>
      </c>
      <c r="D230" s="18" t="str">
        <f>IF(Dati!C230="","",IF(Dati!C230&gt;1,Dati!C230/100,Dati!C230))</f>
        <v/>
      </c>
      <c r="E230" s="18" t="str">
        <f>IF(Dati!D230="","",IF(Dati!D230&gt;1,Dati!D230/100,Dati!D230))</f>
        <v/>
      </c>
      <c r="F230" s="18" t="str">
        <f>IF(OR(D230="",E230=""),"",IF(OR(D230&gt;1,E230&gt;1),(E230-D230)/100,E230-D230))</f>
        <v/>
      </c>
      <c r="G230" s="17" t="str">
        <f>IF(F230="","",IF(64*F230=0,"",64*F230))</f>
        <v/>
      </c>
      <c r="H230" s="19" t="str">
        <f>IF(Dati!E230="","",Dati!E230)</f>
        <v/>
      </c>
      <c r="I230" s="19" t="str">
        <f>IFERROR(IF(OR(C230="",C230=0),"",H230/C230*100),"")</f>
        <v/>
      </c>
      <c r="J230" s="20" t="str">
        <f>IF(Dati!F230="","",Dati!F230)</f>
        <v/>
      </c>
      <c r="K230" s="19" t="str">
        <f>IF(OR(H230="",J230=""),"",IF(H230*J230=0,"",H230*J230))</f>
        <v/>
      </c>
      <c r="L230" s="19" t="str">
        <f>IF(A230="","",IFERROR(IF(SUMPRODUCT((ISNUMBER(A$2:A230))*(A$2:A230&gt;1000)*(MONTH(IF(ISNUMBER(A$2:A230),A$2:A230,1))=MONTH(A230))*(YEAR(IF(ISNUMBER(A$2:A230),A$2:A230,1))=YEAR(A230))*IF(ISNUMBER(K$2:K230),K$2:K230,0))=0,"",SUMPRODUCT((ISNUMBER(A$2:A230))*(A$2:A230&gt;1000)*(MONTH(IF(ISNUMBER(A$2:A230),A$2:A230,1))=MONTH(A230))*(YEAR(IF(ISNUMBER(A$2:A230),A$2:A230,1))=YEAR(A230))*IF(ISNUMBER(K$2:K230),K$2:K230,0))),""))</f>
        <v/>
      </c>
      <c r="M230" s="21" t="str">
        <f>IF(A230="","",IFERROR(IF(SUMIF(N$2:N230,"CASA",K$2:K230)=0,"",SUMIF(N$2:N230,"CASA",K$2:K230)),""))</f>
        <v/>
      </c>
      <c r="N230" s="17" t="str">
        <f>IF(J230="","",IF(J230=0.2,"CASA",IF(Dati!G230="","",Dati!G230)))</f>
        <v/>
      </c>
    </row>
    <row r="231" spans="1:14" ht="15" customHeight="1" x14ac:dyDescent="0.2">
      <c r="A231" s="23" t="str">
        <f>IF(Dati!A231="","",Dati!A231)</f>
        <v/>
      </c>
      <c r="B231" s="17" t="str">
        <f>IF(Dati!B231="","",Dati!B231)</f>
        <v/>
      </c>
      <c r="C231" s="17" t="str">
        <f>IF(B231="","",IF(ISNUMBER(B230),IF(B231-B230&lt;0,B231,IF(B231-B230=0,"",B231-B230)),B231))</f>
        <v/>
      </c>
      <c r="D231" s="18" t="str">
        <f>IF(Dati!C231="","",IF(Dati!C231&gt;1,Dati!C231/100,Dati!C231))</f>
        <v/>
      </c>
      <c r="E231" s="18" t="str">
        <f>IF(Dati!D231="","",IF(Dati!D231&gt;1,Dati!D231/100,Dati!D231))</f>
        <v/>
      </c>
      <c r="F231" s="18" t="str">
        <f>IF(OR(D231="",E231=""),"",IF(OR(D231&gt;1,E231&gt;1),(E231-D231)/100,E231-D231))</f>
        <v/>
      </c>
      <c r="G231" s="17" t="str">
        <f>IF(F231="","",IF(64*F231=0,"",64*F231))</f>
        <v/>
      </c>
      <c r="H231" s="19" t="str">
        <f>IF(Dati!E231="","",Dati!E231)</f>
        <v/>
      </c>
      <c r="I231" s="19" t="str">
        <f>IFERROR(IF(OR(C231="",C231=0),"",H231/C231*100),"")</f>
        <v/>
      </c>
      <c r="J231" s="20" t="str">
        <f>IF(Dati!F231="","",Dati!F231)</f>
        <v/>
      </c>
      <c r="K231" s="19" t="str">
        <f>IF(OR(H231="",J231=""),"",IF(H231*J231=0,"",H231*J231))</f>
        <v/>
      </c>
      <c r="L231" s="19" t="str">
        <f>IF(A231="","",IFERROR(IF(SUMPRODUCT((ISNUMBER(A$2:A231))*(A$2:A231&gt;1000)*(MONTH(IF(ISNUMBER(A$2:A231),A$2:A231,1))=MONTH(A231))*(YEAR(IF(ISNUMBER(A$2:A231),A$2:A231,1))=YEAR(A231))*IF(ISNUMBER(K$2:K231),K$2:K231,0))=0,"",SUMPRODUCT((ISNUMBER(A$2:A231))*(A$2:A231&gt;1000)*(MONTH(IF(ISNUMBER(A$2:A231),A$2:A231,1))=MONTH(A231))*(YEAR(IF(ISNUMBER(A$2:A231),A$2:A231,1))=YEAR(A231))*IF(ISNUMBER(K$2:K231),K$2:K231,0))),""))</f>
        <v/>
      </c>
      <c r="M231" s="21" t="str">
        <f>IF(A231="","",IFERROR(IF(SUMIF(N$2:N231,"CASA",K$2:K231)=0,"",SUMIF(N$2:N231,"CASA",K$2:K231)),""))</f>
        <v/>
      </c>
      <c r="N231" s="17" t="str">
        <f>IF(J231="","",IF(J231=0.2,"CASA",IF(Dati!G231="","",Dati!G231)))</f>
        <v/>
      </c>
    </row>
    <row r="232" spans="1:14" ht="15" customHeight="1" x14ac:dyDescent="0.2">
      <c r="A232" s="23" t="str">
        <f>IF(Dati!A232="","",Dati!A232)</f>
        <v/>
      </c>
      <c r="B232" s="17" t="str">
        <f>IF(Dati!B232="","",Dati!B232)</f>
        <v/>
      </c>
      <c r="C232" s="17" t="str">
        <f>IF(B232="","",IF(ISNUMBER(B231),IF(B232-B231&lt;0,B232,IF(B232-B231=0,"",B232-B231)),B232))</f>
        <v/>
      </c>
      <c r="D232" s="18" t="str">
        <f>IF(Dati!C232="","",IF(Dati!C232&gt;1,Dati!C232/100,Dati!C232))</f>
        <v/>
      </c>
      <c r="E232" s="18" t="str">
        <f>IF(Dati!D232="","",IF(Dati!D232&gt;1,Dati!D232/100,Dati!D232))</f>
        <v/>
      </c>
      <c r="F232" s="18" t="str">
        <f>IF(OR(D232="",E232=""),"",IF(OR(D232&gt;1,E232&gt;1),(E232-D232)/100,E232-D232))</f>
        <v/>
      </c>
      <c r="G232" s="17" t="str">
        <f>IF(F232="","",IF(64*F232=0,"",64*F232))</f>
        <v/>
      </c>
      <c r="H232" s="19" t="str">
        <f>IF(Dati!E232="","",Dati!E232)</f>
        <v/>
      </c>
      <c r="I232" s="19" t="str">
        <f>IFERROR(IF(OR(C232="",C232=0),"",H232/C232*100),"")</f>
        <v/>
      </c>
      <c r="J232" s="20" t="str">
        <f>IF(Dati!F232="","",Dati!F232)</f>
        <v/>
      </c>
      <c r="K232" s="19" t="str">
        <f>IF(OR(H232="",J232=""),"",IF(H232*J232=0,"",H232*J232))</f>
        <v/>
      </c>
      <c r="L232" s="19" t="str">
        <f>IF(A232="","",IFERROR(IF(SUMPRODUCT((ISNUMBER(A$2:A232))*(A$2:A232&gt;1000)*(MONTH(IF(ISNUMBER(A$2:A232),A$2:A232,1))=MONTH(A232))*(YEAR(IF(ISNUMBER(A$2:A232),A$2:A232,1))=YEAR(A232))*IF(ISNUMBER(K$2:K232),K$2:K232,0))=0,"",SUMPRODUCT((ISNUMBER(A$2:A232))*(A$2:A232&gt;1000)*(MONTH(IF(ISNUMBER(A$2:A232),A$2:A232,1))=MONTH(A232))*(YEAR(IF(ISNUMBER(A$2:A232),A$2:A232,1))=YEAR(A232))*IF(ISNUMBER(K$2:K232),K$2:K232,0))),""))</f>
        <v/>
      </c>
      <c r="M232" s="21" t="str">
        <f>IF(A232="","",IFERROR(IF(SUMIF(N$2:N232,"CASA",K$2:K232)=0,"",SUMIF(N$2:N232,"CASA",K$2:K232)),""))</f>
        <v/>
      </c>
      <c r="N232" s="17" t="str">
        <f>IF(J232="","",IF(J232=0.2,"CASA",IF(Dati!G232="","",Dati!G232)))</f>
        <v/>
      </c>
    </row>
    <row r="233" spans="1:14" ht="15" customHeight="1" x14ac:dyDescent="0.2">
      <c r="A233" s="23" t="str">
        <f>IF(Dati!A233="","",Dati!A233)</f>
        <v/>
      </c>
      <c r="B233" s="17" t="str">
        <f>IF(Dati!B233="","",Dati!B233)</f>
        <v/>
      </c>
      <c r="C233" s="17" t="str">
        <f>IF(B233="","",IF(ISNUMBER(B232),IF(B233-B232&lt;0,B233,IF(B233-B232=0,"",B233-B232)),B233))</f>
        <v/>
      </c>
      <c r="D233" s="18" t="str">
        <f>IF(Dati!C233="","",IF(Dati!C233&gt;1,Dati!C233/100,Dati!C233))</f>
        <v/>
      </c>
      <c r="E233" s="18" t="str">
        <f>IF(Dati!D233="","",IF(Dati!D233&gt;1,Dati!D233/100,Dati!D233))</f>
        <v/>
      </c>
      <c r="F233" s="18" t="str">
        <f>IF(OR(D233="",E233=""),"",IF(OR(D233&gt;1,E233&gt;1),(E233-D233)/100,E233-D233))</f>
        <v/>
      </c>
      <c r="G233" s="17" t="str">
        <f>IF(F233="","",IF(64*F233=0,"",64*F233))</f>
        <v/>
      </c>
      <c r="H233" s="19" t="str">
        <f>IF(Dati!E233="","",Dati!E233)</f>
        <v/>
      </c>
      <c r="I233" s="19" t="str">
        <f>IFERROR(IF(OR(C233="",C233=0),"",H233/C233*100),"")</f>
        <v/>
      </c>
      <c r="J233" s="20" t="str">
        <f>IF(Dati!F233="","",Dati!F233)</f>
        <v/>
      </c>
      <c r="K233" s="19" t="str">
        <f>IF(OR(H233="",J233=""),"",IF(H233*J233=0,"",H233*J233))</f>
        <v/>
      </c>
      <c r="L233" s="19" t="str">
        <f>IF(A233="","",IFERROR(IF(SUMPRODUCT((ISNUMBER(A$2:A233))*(A$2:A233&gt;1000)*(MONTH(IF(ISNUMBER(A$2:A233),A$2:A233,1))=MONTH(A233))*(YEAR(IF(ISNUMBER(A$2:A233),A$2:A233,1))=YEAR(A233))*IF(ISNUMBER(K$2:K233),K$2:K233,0))=0,"",SUMPRODUCT((ISNUMBER(A$2:A233))*(A$2:A233&gt;1000)*(MONTH(IF(ISNUMBER(A$2:A233),A$2:A233,1))=MONTH(A233))*(YEAR(IF(ISNUMBER(A$2:A233),A$2:A233,1))=YEAR(A233))*IF(ISNUMBER(K$2:K233),K$2:K233,0))),""))</f>
        <v/>
      </c>
      <c r="M233" s="21" t="str">
        <f>IF(A233="","",IFERROR(IF(SUMIF(N$2:N233,"CASA",K$2:K233)=0,"",SUMIF(N$2:N233,"CASA",K$2:K233)),""))</f>
        <v/>
      </c>
      <c r="N233" s="17" t="str">
        <f>IF(J233="","",IF(J233=0.2,"CASA",IF(Dati!G233="","",Dati!G233)))</f>
        <v/>
      </c>
    </row>
    <row r="234" spans="1:14" ht="15" customHeight="1" x14ac:dyDescent="0.2">
      <c r="A234" s="23" t="str">
        <f>IF(Dati!A234="","",Dati!A234)</f>
        <v/>
      </c>
      <c r="B234" s="17" t="str">
        <f>IF(Dati!B234="","",Dati!B234)</f>
        <v/>
      </c>
      <c r="C234" s="17" t="str">
        <f>IF(B234="","",IF(ISNUMBER(B233),IF(B234-B233&lt;0,B234,IF(B234-B233=0,"",B234-B233)),B234))</f>
        <v/>
      </c>
      <c r="D234" s="18" t="str">
        <f>IF(Dati!C234="","",IF(Dati!C234&gt;1,Dati!C234/100,Dati!C234))</f>
        <v/>
      </c>
      <c r="E234" s="18" t="str">
        <f>IF(Dati!D234="","",IF(Dati!D234&gt;1,Dati!D234/100,Dati!D234))</f>
        <v/>
      </c>
      <c r="F234" s="18" t="str">
        <f>IF(OR(D234="",E234=""),"",IF(OR(D234&gt;1,E234&gt;1),(E234-D234)/100,E234-D234))</f>
        <v/>
      </c>
      <c r="G234" s="17" t="str">
        <f>IF(F234="","",IF(64*F234=0,"",64*F234))</f>
        <v/>
      </c>
      <c r="H234" s="19" t="str">
        <f>IF(Dati!E234="","",Dati!E234)</f>
        <v/>
      </c>
      <c r="I234" s="19" t="str">
        <f>IFERROR(IF(OR(C234="",C234=0),"",H234/C234*100),"")</f>
        <v/>
      </c>
      <c r="J234" s="20" t="str">
        <f>IF(Dati!F234="","",Dati!F234)</f>
        <v/>
      </c>
      <c r="K234" s="19" t="str">
        <f>IF(OR(H234="",J234=""),"",IF(H234*J234=0,"",H234*J234))</f>
        <v/>
      </c>
      <c r="L234" s="19" t="str">
        <f>IF(A234="","",IFERROR(IF(SUMPRODUCT((ISNUMBER(A$2:A234))*(A$2:A234&gt;1000)*(MONTH(IF(ISNUMBER(A$2:A234),A$2:A234,1))=MONTH(A234))*(YEAR(IF(ISNUMBER(A$2:A234),A$2:A234,1))=YEAR(A234))*IF(ISNUMBER(K$2:K234),K$2:K234,0))=0,"",SUMPRODUCT((ISNUMBER(A$2:A234))*(A$2:A234&gt;1000)*(MONTH(IF(ISNUMBER(A$2:A234),A$2:A234,1))=MONTH(A234))*(YEAR(IF(ISNUMBER(A$2:A234),A$2:A234,1))=YEAR(A234))*IF(ISNUMBER(K$2:K234),K$2:K234,0))),""))</f>
        <v/>
      </c>
      <c r="M234" s="21" t="str">
        <f>IF(A234="","",IFERROR(IF(SUMIF(N$2:N234,"CASA",K$2:K234)=0,"",SUMIF(N$2:N234,"CASA",K$2:K234)),""))</f>
        <v/>
      </c>
      <c r="N234" s="17" t="str">
        <f>IF(J234="","",IF(J234=0.2,"CASA",IF(Dati!G234="","",Dati!G234)))</f>
        <v/>
      </c>
    </row>
    <row r="235" spans="1:14" ht="15" customHeight="1" x14ac:dyDescent="0.2">
      <c r="A235" s="23" t="str">
        <f>IF(Dati!A235="","",Dati!A235)</f>
        <v/>
      </c>
      <c r="B235" s="17" t="str">
        <f>IF(Dati!B235="","",Dati!B235)</f>
        <v/>
      </c>
      <c r="C235" s="17" t="str">
        <f>IF(B235="","",IF(ISNUMBER(B234),IF(B235-B234&lt;0,B235,IF(B235-B234=0,"",B235-B234)),B235))</f>
        <v/>
      </c>
      <c r="D235" s="18" t="str">
        <f>IF(Dati!C235="","",IF(Dati!C235&gt;1,Dati!C235/100,Dati!C235))</f>
        <v/>
      </c>
      <c r="E235" s="18" t="str">
        <f>IF(Dati!D235="","",IF(Dati!D235&gt;1,Dati!D235/100,Dati!D235))</f>
        <v/>
      </c>
      <c r="F235" s="18" t="str">
        <f>IF(OR(D235="",E235=""),"",IF(OR(D235&gt;1,E235&gt;1),(E235-D235)/100,E235-D235))</f>
        <v/>
      </c>
      <c r="G235" s="17" t="str">
        <f>IF(F235="","",IF(64*F235=0,"",64*F235))</f>
        <v/>
      </c>
      <c r="H235" s="19" t="str">
        <f>IF(Dati!E235="","",Dati!E235)</f>
        <v/>
      </c>
      <c r="I235" s="19" t="str">
        <f>IFERROR(IF(OR(C235="",C235=0),"",H235/C235*100),"")</f>
        <v/>
      </c>
      <c r="J235" s="20" t="str">
        <f>IF(Dati!F235="","",Dati!F235)</f>
        <v/>
      </c>
      <c r="K235" s="19" t="str">
        <f>IF(OR(H235="",J235=""),"",IF(H235*J235=0,"",H235*J235))</f>
        <v/>
      </c>
      <c r="L235" s="19" t="str">
        <f>IF(A235="","",IFERROR(IF(SUMPRODUCT((ISNUMBER(A$2:A235))*(A$2:A235&gt;1000)*(MONTH(IF(ISNUMBER(A$2:A235),A$2:A235,1))=MONTH(A235))*(YEAR(IF(ISNUMBER(A$2:A235),A$2:A235,1))=YEAR(A235))*IF(ISNUMBER(K$2:K235),K$2:K235,0))=0,"",SUMPRODUCT((ISNUMBER(A$2:A235))*(A$2:A235&gt;1000)*(MONTH(IF(ISNUMBER(A$2:A235),A$2:A235,1))=MONTH(A235))*(YEAR(IF(ISNUMBER(A$2:A235),A$2:A235,1))=YEAR(A235))*IF(ISNUMBER(K$2:K235),K$2:K235,0))),""))</f>
        <v/>
      </c>
      <c r="M235" s="21" t="str">
        <f>IF(A235="","",IFERROR(IF(SUMIF(N$2:N235,"CASA",K$2:K235)=0,"",SUMIF(N$2:N235,"CASA",K$2:K235)),""))</f>
        <v/>
      </c>
      <c r="N235" s="17" t="str">
        <f>IF(J235="","",IF(J235=0.2,"CASA",IF(Dati!G235="","",Dati!G235)))</f>
        <v/>
      </c>
    </row>
    <row r="236" spans="1:14" ht="15" customHeight="1" x14ac:dyDescent="0.2">
      <c r="A236" s="23" t="str">
        <f>IF(Dati!A236="","",Dati!A236)</f>
        <v/>
      </c>
      <c r="B236" s="17" t="str">
        <f>IF(Dati!B236="","",Dati!B236)</f>
        <v/>
      </c>
      <c r="C236" s="17" t="str">
        <f>IF(B236="","",IF(ISNUMBER(B235),IF(B236-B235&lt;0,B236,IF(B236-B235=0,"",B236-B235)),B236))</f>
        <v/>
      </c>
      <c r="D236" s="18" t="str">
        <f>IF(Dati!C236="","",IF(Dati!C236&gt;1,Dati!C236/100,Dati!C236))</f>
        <v/>
      </c>
      <c r="E236" s="18" t="str">
        <f>IF(Dati!D236="","",IF(Dati!D236&gt;1,Dati!D236/100,Dati!D236))</f>
        <v/>
      </c>
      <c r="F236" s="18" t="str">
        <f>IF(OR(D236="",E236=""),"",IF(OR(D236&gt;1,E236&gt;1),(E236-D236)/100,E236-D236))</f>
        <v/>
      </c>
      <c r="G236" s="17" t="str">
        <f>IF(F236="","",IF(64*F236=0,"",64*F236))</f>
        <v/>
      </c>
      <c r="H236" s="19" t="str">
        <f>IF(Dati!E236="","",Dati!E236)</f>
        <v/>
      </c>
      <c r="I236" s="19" t="str">
        <f>IFERROR(IF(OR(C236="",C236=0),"",H236/C236*100),"")</f>
        <v/>
      </c>
      <c r="J236" s="20" t="str">
        <f>IF(Dati!F236="","",Dati!F236)</f>
        <v/>
      </c>
      <c r="K236" s="19" t="str">
        <f>IF(OR(H236="",J236=""),"",IF(H236*J236=0,"",H236*J236))</f>
        <v/>
      </c>
      <c r="L236" s="19" t="str">
        <f>IF(A236="","",IFERROR(IF(SUMPRODUCT((ISNUMBER(A$2:A236))*(A$2:A236&gt;1000)*(MONTH(IF(ISNUMBER(A$2:A236),A$2:A236,1))=MONTH(A236))*(YEAR(IF(ISNUMBER(A$2:A236),A$2:A236,1))=YEAR(A236))*IF(ISNUMBER(K$2:K236),K$2:K236,0))=0,"",SUMPRODUCT((ISNUMBER(A$2:A236))*(A$2:A236&gt;1000)*(MONTH(IF(ISNUMBER(A$2:A236),A$2:A236,1))=MONTH(A236))*(YEAR(IF(ISNUMBER(A$2:A236),A$2:A236,1))=YEAR(A236))*IF(ISNUMBER(K$2:K236),K$2:K236,0))),""))</f>
        <v/>
      </c>
      <c r="M236" s="21" t="str">
        <f>IF(A236="","",IFERROR(IF(SUMIF(N$2:N236,"CASA",K$2:K236)=0,"",SUMIF(N$2:N236,"CASA",K$2:K236)),""))</f>
        <v/>
      </c>
      <c r="N236" s="17" t="str">
        <f>IF(J236="","",IF(J236=0.2,"CASA",IF(Dati!G236="","",Dati!G236)))</f>
        <v/>
      </c>
    </row>
    <row r="237" spans="1:14" ht="15" customHeight="1" x14ac:dyDescent="0.2">
      <c r="A237" s="23" t="str">
        <f>IF(Dati!A237="","",Dati!A237)</f>
        <v/>
      </c>
      <c r="B237" s="17" t="str">
        <f>IF(Dati!B237="","",Dati!B237)</f>
        <v/>
      </c>
      <c r="C237" s="17" t="str">
        <f>IF(B237="","",IF(ISNUMBER(B236),IF(B237-B236&lt;0,B237,IF(B237-B236=0,"",B237-B236)),B237))</f>
        <v/>
      </c>
      <c r="D237" s="18" t="str">
        <f>IF(Dati!C237="","",IF(Dati!C237&gt;1,Dati!C237/100,Dati!C237))</f>
        <v/>
      </c>
      <c r="E237" s="18" t="str">
        <f>IF(Dati!D237="","",IF(Dati!D237&gt;1,Dati!D237/100,Dati!D237))</f>
        <v/>
      </c>
      <c r="F237" s="18" t="str">
        <f>IF(OR(D237="",E237=""),"",IF(OR(D237&gt;1,E237&gt;1),(E237-D237)/100,E237-D237))</f>
        <v/>
      </c>
      <c r="G237" s="17" t="str">
        <f>IF(F237="","",IF(64*F237=0,"",64*F237))</f>
        <v/>
      </c>
      <c r="H237" s="19" t="str">
        <f>IF(Dati!E237="","",Dati!E237)</f>
        <v/>
      </c>
      <c r="I237" s="19" t="str">
        <f>IFERROR(IF(OR(C237="",C237=0),"",H237/C237*100),"")</f>
        <v/>
      </c>
      <c r="J237" s="20" t="str">
        <f>IF(Dati!F237="","",Dati!F237)</f>
        <v/>
      </c>
      <c r="K237" s="19" t="str">
        <f>IF(OR(H237="",J237=""),"",IF(H237*J237=0,"",H237*J237))</f>
        <v/>
      </c>
      <c r="L237" s="19" t="str">
        <f>IF(A237="","",IFERROR(IF(SUMPRODUCT((ISNUMBER(A$2:A237))*(A$2:A237&gt;1000)*(MONTH(IF(ISNUMBER(A$2:A237),A$2:A237,1))=MONTH(A237))*(YEAR(IF(ISNUMBER(A$2:A237),A$2:A237,1))=YEAR(A237))*IF(ISNUMBER(K$2:K237),K$2:K237,0))=0,"",SUMPRODUCT((ISNUMBER(A$2:A237))*(A$2:A237&gt;1000)*(MONTH(IF(ISNUMBER(A$2:A237),A$2:A237,1))=MONTH(A237))*(YEAR(IF(ISNUMBER(A$2:A237),A$2:A237,1))=YEAR(A237))*IF(ISNUMBER(K$2:K237),K$2:K237,0))),""))</f>
        <v/>
      </c>
      <c r="M237" s="21" t="str">
        <f>IF(A237="","",IFERROR(IF(SUMIF(N$2:N237,"CASA",K$2:K237)=0,"",SUMIF(N$2:N237,"CASA",K$2:K237)),""))</f>
        <v/>
      </c>
      <c r="N237" s="17" t="str">
        <f>IF(J237="","",IF(J237=0.2,"CASA",IF(Dati!G237="","",Dati!G237)))</f>
        <v/>
      </c>
    </row>
    <row r="238" spans="1:14" ht="15" customHeight="1" x14ac:dyDescent="0.2">
      <c r="A238" s="23" t="str">
        <f>IF(Dati!A238="","",Dati!A238)</f>
        <v/>
      </c>
      <c r="B238" s="17" t="str">
        <f>IF(Dati!B238="","",Dati!B238)</f>
        <v/>
      </c>
      <c r="C238" s="17" t="str">
        <f>IF(B238="","",IF(ISNUMBER(B237),IF(B238-B237&lt;0,B238,IF(B238-B237=0,"",B238-B237)),B238))</f>
        <v/>
      </c>
      <c r="D238" s="18" t="str">
        <f>IF(Dati!C238="","",IF(Dati!C238&gt;1,Dati!C238/100,Dati!C238))</f>
        <v/>
      </c>
      <c r="E238" s="18" t="str">
        <f>IF(Dati!D238="","",IF(Dati!D238&gt;1,Dati!D238/100,Dati!D238))</f>
        <v/>
      </c>
      <c r="F238" s="18" t="str">
        <f>IF(OR(D238="",E238=""),"",IF(OR(D238&gt;1,E238&gt;1),(E238-D238)/100,E238-D238))</f>
        <v/>
      </c>
      <c r="G238" s="17" t="str">
        <f>IF(F238="","",IF(64*F238=0,"",64*F238))</f>
        <v/>
      </c>
      <c r="H238" s="19" t="str">
        <f>IF(Dati!E238="","",Dati!E238)</f>
        <v/>
      </c>
      <c r="I238" s="19" t="str">
        <f>IFERROR(IF(OR(C238="",C238=0),"",H238/C238*100),"")</f>
        <v/>
      </c>
      <c r="J238" s="20" t="str">
        <f>IF(Dati!F238="","",Dati!F238)</f>
        <v/>
      </c>
      <c r="K238" s="19" t="str">
        <f>IF(OR(H238="",J238=""),"",IF(H238*J238=0,"",H238*J238))</f>
        <v/>
      </c>
      <c r="L238" s="19" t="str">
        <f>IF(A238="","",IFERROR(IF(SUMPRODUCT((ISNUMBER(A$2:A238))*(A$2:A238&gt;1000)*(MONTH(IF(ISNUMBER(A$2:A238),A$2:A238,1))=MONTH(A238))*(YEAR(IF(ISNUMBER(A$2:A238),A$2:A238,1))=YEAR(A238))*IF(ISNUMBER(K$2:K238),K$2:K238,0))=0,"",SUMPRODUCT((ISNUMBER(A$2:A238))*(A$2:A238&gt;1000)*(MONTH(IF(ISNUMBER(A$2:A238),A$2:A238,1))=MONTH(A238))*(YEAR(IF(ISNUMBER(A$2:A238),A$2:A238,1))=YEAR(A238))*IF(ISNUMBER(K$2:K238),K$2:K238,0))),""))</f>
        <v/>
      </c>
      <c r="M238" s="21" t="str">
        <f>IF(A238="","",IFERROR(IF(SUMIF(N$2:N238,"CASA",K$2:K238)=0,"",SUMIF(N$2:N238,"CASA",K$2:K238)),""))</f>
        <v/>
      </c>
      <c r="N238" s="17" t="str">
        <f>IF(J238="","",IF(J238=0.2,"CASA",IF(Dati!G238="","",Dati!G238)))</f>
        <v/>
      </c>
    </row>
    <row r="239" spans="1:14" ht="15" customHeight="1" x14ac:dyDescent="0.2">
      <c r="A239" s="23" t="str">
        <f>IF(Dati!A239="","",Dati!A239)</f>
        <v/>
      </c>
      <c r="B239" s="17" t="str">
        <f>IF(Dati!B239="","",Dati!B239)</f>
        <v/>
      </c>
      <c r="C239" s="17" t="str">
        <f>IF(B239="","",IF(ISNUMBER(B238),IF(B239-B238&lt;0,B239,IF(B239-B238=0,"",B239-B238)),B239))</f>
        <v/>
      </c>
      <c r="D239" s="18" t="str">
        <f>IF(Dati!C239="","",IF(Dati!C239&gt;1,Dati!C239/100,Dati!C239))</f>
        <v/>
      </c>
      <c r="E239" s="18" t="str">
        <f>IF(Dati!D239="","",IF(Dati!D239&gt;1,Dati!D239/100,Dati!D239))</f>
        <v/>
      </c>
      <c r="F239" s="18" t="str">
        <f>IF(OR(D239="",E239=""),"",IF(OR(D239&gt;1,E239&gt;1),(E239-D239)/100,E239-D239))</f>
        <v/>
      </c>
      <c r="G239" s="17" t="str">
        <f>IF(F239="","",IF(64*F239=0,"",64*F239))</f>
        <v/>
      </c>
      <c r="H239" s="19" t="str">
        <f>IF(Dati!E239="","",Dati!E239)</f>
        <v/>
      </c>
      <c r="I239" s="19" t="str">
        <f>IFERROR(IF(OR(C239="",C239=0),"",H239/C239*100),"")</f>
        <v/>
      </c>
      <c r="J239" s="20" t="str">
        <f>IF(Dati!F239="","",Dati!F239)</f>
        <v/>
      </c>
      <c r="K239" s="19" t="str">
        <f>IF(OR(H239="",J239=""),"",IF(H239*J239=0,"",H239*J239))</f>
        <v/>
      </c>
      <c r="L239" s="19" t="str">
        <f>IF(A239="","",IFERROR(IF(SUMPRODUCT((ISNUMBER(A$2:A239))*(A$2:A239&gt;1000)*(MONTH(IF(ISNUMBER(A$2:A239),A$2:A239,1))=MONTH(A239))*(YEAR(IF(ISNUMBER(A$2:A239),A$2:A239,1))=YEAR(A239))*IF(ISNUMBER(K$2:K239),K$2:K239,0))=0,"",SUMPRODUCT((ISNUMBER(A$2:A239))*(A$2:A239&gt;1000)*(MONTH(IF(ISNUMBER(A$2:A239),A$2:A239,1))=MONTH(A239))*(YEAR(IF(ISNUMBER(A$2:A239),A$2:A239,1))=YEAR(A239))*IF(ISNUMBER(K$2:K239),K$2:K239,0))),""))</f>
        <v/>
      </c>
      <c r="M239" s="21" t="str">
        <f>IF(A239="","",IFERROR(IF(SUMIF(N$2:N239,"CASA",K$2:K239)=0,"",SUMIF(N$2:N239,"CASA",K$2:K239)),""))</f>
        <v/>
      </c>
      <c r="N239" s="17" t="str">
        <f>IF(J239="","",IF(J239=0.2,"CASA",IF(Dati!G239="","",Dati!G239)))</f>
        <v/>
      </c>
    </row>
    <row r="240" spans="1:14" ht="15" customHeight="1" x14ac:dyDescent="0.2">
      <c r="A240" s="23" t="str">
        <f>IF(Dati!A240="","",Dati!A240)</f>
        <v/>
      </c>
      <c r="B240" s="17" t="str">
        <f>IF(Dati!B240="","",Dati!B240)</f>
        <v/>
      </c>
      <c r="C240" s="17" t="str">
        <f>IF(B240="","",IF(ISNUMBER(B239),IF(B240-B239&lt;0,B240,IF(B240-B239=0,"",B240-B239)),B240))</f>
        <v/>
      </c>
      <c r="D240" s="18" t="str">
        <f>IF(Dati!C240="","",IF(Dati!C240&gt;1,Dati!C240/100,Dati!C240))</f>
        <v/>
      </c>
      <c r="E240" s="18" t="str">
        <f>IF(Dati!D240="","",IF(Dati!D240&gt;1,Dati!D240/100,Dati!D240))</f>
        <v/>
      </c>
      <c r="F240" s="18" t="str">
        <f>IF(OR(D240="",E240=""),"",IF(OR(D240&gt;1,E240&gt;1),(E240-D240)/100,E240-D240))</f>
        <v/>
      </c>
      <c r="G240" s="17" t="str">
        <f>IF(F240="","",IF(64*F240=0,"",64*F240))</f>
        <v/>
      </c>
      <c r="H240" s="19" t="str">
        <f>IF(Dati!E240="","",Dati!E240)</f>
        <v/>
      </c>
      <c r="I240" s="19" t="str">
        <f>IFERROR(IF(OR(C240="",C240=0),"",H240/C240*100),"")</f>
        <v/>
      </c>
      <c r="J240" s="20" t="str">
        <f>IF(Dati!F240="","",Dati!F240)</f>
        <v/>
      </c>
      <c r="K240" s="19" t="str">
        <f>IF(OR(H240="",J240=""),"",IF(H240*J240=0,"",H240*J240))</f>
        <v/>
      </c>
      <c r="L240" s="19" t="str">
        <f>IF(A240="","",IFERROR(IF(SUMPRODUCT((ISNUMBER(A$2:A240))*(A$2:A240&gt;1000)*(MONTH(IF(ISNUMBER(A$2:A240),A$2:A240,1))=MONTH(A240))*(YEAR(IF(ISNUMBER(A$2:A240),A$2:A240,1))=YEAR(A240))*IF(ISNUMBER(K$2:K240),K$2:K240,0))=0,"",SUMPRODUCT((ISNUMBER(A$2:A240))*(A$2:A240&gt;1000)*(MONTH(IF(ISNUMBER(A$2:A240),A$2:A240,1))=MONTH(A240))*(YEAR(IF(ISNUMBER(A$2:A240),A$2:A240,1))=YEAR(A240))*IF(ISNUMBER(K$2:K240),K$2:K240,0))),""))</f>
        <v/>
      </c>
      <c r="M240" s="21" t="str">
        <f>IF(A240="","",IFERROR(IF(SUMIF(N$2:N240,"CASA",K$2:K240)=0,"",SUMIF(N$2:N240,"CASA",K$2:K240)),""))</f>
        <v/>
      </c>
      <c r="N240" s="17" t="str">
        <f>IF(J240="","",IF(J240=0.2,"CASA",IF(Dati!G240="","",Dati!G240)))</f>
        <v/>
      </c>
    </row>
    <row r="241" spans="1:14" ht="15" customHeight="1" x14ac:dyDescent="0.2">
      <c r="A241" s="23" t="str">
        <f>IF(Dati!A241="","",Dati!A241)</f>
        <v/>
      </c>
      <c r="B241" s="17" t="str">
        <f>IF(Dati!B241="","",Dati!B241)</f>
        <v/>
      </c>
      <c r="C241" s="17" t="str">
        <f>IF(B241="","",IF(ISNUMBER(B240),IF(B241-B240&lt;0,B241,IF(B241-B240=0,"",B241-B240)),B241))</f>
        <v/>
      </c>
      <c r="D241" s="18" t="str">
        <f>IF(Dati!C241="","",IF(Dati!C241&gt;1,Dati!C241/100,Dati!C241))</f>
        <v/>
      </c>
      <c r="E241" s="18" t="str">
        <f>IF(Dati!D241="","",IF(Dati!D241&gt;1,Dati!D241/100,Dati!D241))</f>
        <v/>
      </c>
      <c r="F241" s="18" t="str">
        <f>IF(OR(D241="",E241=""),"",IF(OR(D241&gt;1,E241&gt;1),(E241-D241)/100,E241-D241))</f>
        <v/>
      </c>
      <c r="G241" s="17" t="str">
        <f>IF(F241="","",IF(64*F241=0,"",64*F241))</f>
        <v/>
      </c>
      <c r="H241" s="19" t="str">
        <f>IF(Dati!E241="","",Dati!E241)</f>
        <v/>
      </c>
      <c r="I241" s="19" t="str">
        <f>IFERROR(IF(OR(C241="",C241=0),"",H241/C241*100),"")</f>
        <v/>
      </c>
      <c r="J241" s="20" t="str">
        <f>IF(Dati!F241="","",Dati!F241)</f>
        <v/>
      </c>
      <c r="K241" s="19" t="str">
        <f>IF(OR(H241="",J241=""),"",IF(H241*J241=0,"",H241*J241))</f>
        <v/>
      </c>
      <c r="L241" s="19" t="str">
        <f>IF(A241="","",IFERROR(IF(SUMPRODUCT((ISNUMBER(A$2:A241))*(A$2:A241&gt;1000)*(MONTH(IF(ISNUMBER(A$2:A241),A$2:A241,1))=MONTH(A241))*(YEAR(IF(ISNUMBER(A$2:A241),A$2:A241,1))=YEAR(A241))*IF(ISNUMBER(K$2:K241),K$2:K241,0))=0,"",SUMPRODUCT((ISNUMBER(A$2:A241))*(A$2:A241&gt;1000)*(MONTH(IF(ISNUMBER(A$2:A241),A$2:A241,1))=MONTH(A241))*(YEAR(IF(ISNUMBER(A$2:A241),A$2:A241,1))=YEAR(A241))*IF(ISNUMBER(K$2:K241),K$2:K241,0))),""))</f>
        <v/>
      </c>
      <c r="M241" s="21" t="str">
        <f>IF(A241="","",IFERROR(IF(SUMIF(N$2:N241,"CASA",K$2:K241)=0,"",SUMIF(N$2:N241,"CASA",K$2:K241)),""))</f>
        <v/>
      </c>
      <c r="N241" s="17" t="str">
        <f>IF(J241="","",IF(J241=0.2,"CASA",IF(Dati!G241="","",Dati!G241)))</f>
        <v/>
      </c>
    </row>
    <row r="242" spans="1:14" ht="15" customHeight="1" x14ac:dyDescent="0.2">
      <c r="A242" s="23" t="str">
        <f>IF(Dati!A242="","",Dati!A242)</f>
        <v/>
      </c>
      <c r="B242" s="17" t="str">
        <f>IF(Dati!B242="","",Dati!B242)</f>
        <v/>
      </c>
      <c r="C242" s="17" t="str">
        <f>IF(B242="","",IF(ISNUMBER(B241),IF(B242-B241&lt;0,B242,IF(B242-B241=0,"",B242-B241)),B242))</f>
        <v/>
      </c>
      <c r="D242" s="18" t="str">
        <f>IF(Dati!C242="","",IF(Dati!C242&gt;1,Dati!C242/100,Dati!C242))</f>
        <v/>
      </c>
      <c r="E242" s="18" t="str">
        <f>IF(Dati!D242="","",IF(Dati!D242&gt;1,Dati!D242/100,Dati!D242))</f>
        <v/>
      </c>
      <c r="F242" s="18" t="str">
        <f>IF(OR(D242="",E242=""),"",IF(OR(D242&gt;1,E242&gt;1),(E242-D242)/100,E242-D242))</f>
        <v/>
      </c>
      <c r="G242" s="17" t="str">
        <f>IF(F242="","",IF(64*F242=0,"",64*F242))</f>
        <v/>
      </c>
      <c r="H242" s="19" t="str">
        <f>IF(Dati!E242="","",Dati!E242)</f>
        <v/>
      </c>
      <c r="I242" s="19" t="str">
        <f>IFERROR(IF(OR(C242="",C242=0),"",H242/C242*100),"")</f>
        <v/>
      </c>
      <c r="J242" s="20" t="str">
        <f>IF(Dati!F242="","",Dati!F242)</f>
        <v/>
      </c>
      <c r="K242" s="19" t="str">
        <f>IF(OR(H242="",J242=""),"",IF(H242*J242=0,"",H242*J242))</f>
        <v/>
      </c>
      <c r="L242" s="19" t="str">
        <f>IF(A242="","",IFERROR(IF(SUMPRODUCT((ISNUMBER(A$2:A242))*(A$2:A242&gt;1000)*(MONTH(IF(ISNUMBER(A$2:A242),A$2:A242,1))=MONTH(A242))*(YEAR(IF(ISNUMBER(A$2:A242),A$2:A242,1))=YEAR(A242))*IF(ISNUMBER(K$2:K242),K$2:K242,0))=0,"",SUMPRODUCT((ISNUMBER(A$2:A242))*(A$2:A242&gt;1000)*(MONTH(IF(ISNUMBER(A$2:A242),A$2:A242,1))=MONTH(A242))*(YEAR(IF(ISNUMBER(A$2:A242),A$2:A242,1))=YEAR(A242))*IF(ISNUMBER(K$2:K242),K$2:K242,0))),""))</f>
        <v/>
      </c>
      <c r="M242" s="21" t="str">
        <f>IF(A242="","",IFERROR(IF(SUMIF(N$2:N242,"CASA",K$2:K242)=0,"",SUMIF(N$2:N242,"CASA",K$2:K242)),""))</f>
        <v/>
      </c>
      <c r="N242" s="17" t="str">
        <f>IF(J242="","",IF(J242=0.2,"CASA",IF(Dati!G242="","",Dati!G242)))</f>
        <v/>
      </c>
    </row>
    <row r="243" spans="1:14" ht="15" customHeight="1" x14ac:dyDescent="0.2">
      <c r="A243" s="23" t="str">
        <f>IF(Dati!A243="","",Dati!A243)</f>
        <v/>
      </c>
      <c r="B243" s="17" t="str">
        <f>IF(Dati!B243="","",Dati!B243)</f>
        <v/>
      </c>
      <c r="C243" s="17" t="str">
        <f>IF(B243="","",IF(ISNUMBER(B242),IF(B243-B242&lt;0,B243,IF(B243-B242=0,"",B243-B242)),B243))</f>
        <v/>
      </c>
      <c r="D243" s="18" t="str">
        <f>IF(Dati!C243="","",IF(Dati!C243&gt;1,Dati!C243/100,Dati!C243))</f>
        <v/>
      </c>
      <c r="E243" s="18" t="str">
        <f>IF(Dati!D243="","",IF(Dati!D243&gt;1,Dati!D243/100,Dati!D243))</f>
        <v/>
      </c>
      <c r="F243" s="18" t="str">
        <f>IF(OR(D243="",E243=""),"",IF(OR(D243&gt;1,E243&gt;1),(E243-D243)/100,E243-D243))</f>
        <v/>
      </c>
      <c r="G243" s="17" t="str">
        <f>IF(F243="","",IF(64*F243=0,"",64*F243))</f>
        <v/>
      </c>
      <c r="H243" s="19" t="str">
        <f>IF(Dati!E243="","",Dati!E243)</f>
        <v/>
      </c>
      <c r="I243" s="19" t="str">
        <f>IFERROR(IF(OR(C243="",C243=0),"",H243/C243*100),"")</f>
        <v/>
      </c>
      <c r="J243" s="20" t="str">
        <f>IF(Dati!F243="","",Dati!F243)</f>
        <v/>
      </c>
      <c r="K243" s="19" t="str">
        <f>IF(OR(H243="",J243=""),"",IF(H243*J243=0,"",H243*J243))</f>
        <v/>
      </c>
      <c r="L243" s="19" t="str">
        <f>IF(A243="","",IFERROR(IF(SUMPRODUCT((ISNUMBER(A$2:A243))*(A$2:A243&gt;1000)*(MONTH(IF(ISNUMBER(A$2:A243),A$2:A243,1))=MONTH(A243))*(YEAR(IF(ISNUMBER(A$2:A243),A$2:A243,1))=YEAR(A243))*IF(ISNUMBER(K$2:K243),K$2:K243,0))=0,"",SUMPRODUCT((ISNUMBER(A$2:A243))*(A$2:A243&gt;1000)*(MONTH(IF(ISNUMBER(A$2:A243),A$2:A243,1))=MONTH(A243))*(YEAR(IF(ISNUMBER(A$2:A243),A$2:A243,1))=YEAR(A243))*IF(ISNUMBER(K$2:K243),K$2:K243,0))),""))</f>
        <v/>
      </c>
      <c r="M243" s="21" t="str">
        <f>IF(A243="","",IFERROR(IF(SUMIF(N$2:N243,"CASA",K$2:K243)=0,"",SUMIF(N$2:N243,"CASA",K$2:K243)),""))</f>
        <v/>
      </c>
      <c r="N243" s="17" t="str">
        <f>IF(J243="","",IF(J243=0.2,"CASA",IF(Dati!G243="","",Dati!G243)))</f>
        <v/>
      </c>
    </row>
    <row r="244" spans="1:14" ht="15" customHeight="1" x14ac:dyDescent="0.2">
      <c r="A244" s="23" t="str">
        <f>IF(Dati!A244="","",Dati!A244)</f>
        <v/>
      </c>
      <c r="B244" s="17" t="str">
        <f>IF(Dati!B244="","",Dati!B244)</f>
        <v/>
      </c>
      <c r="C244" s="17" t="str">
        <f>IF(B244="","",IF(ISNUMBER(B243),IF(B244-B243&lt;0,B244,IF(B244-B243=0,"",B244-B243)),B244))</f>
        <v/>
      </c>
      <c r="D244" s="18" t="str">
        <f>IF(Dati!C244="","",IF(Dati!C244&gt;1,Dati!C244/100,Dati!C244))</f>
        <v/>
      </c>
      <c r="E244" s="18" t="str">
        <f>IF(Dati!D244="","",IF(Dati!D244&gt;1,Dati!D244/100,Dati!D244))</f>
        <v/>
      </c>
      <c r="F244" s="18" t="str">
        <f>IF(OR(D244="",E244=""),"",IF(OR(D244&gt;1,E244&gt;1),(E244-D244)/100,E244-D244))</f>
        <v/>
      </c>
      <c r="G244" s="17" t="str">
        <f>IF(F244="","",IF(64*F244=0,"",64*F244))</f>
        <v/>
      </c>
      <c r="H244" s="19" t="str">
        <f>IF(Dati!E244="","",Dati!E244)</f>
        <v/>
      </c>
      <c r="I244" s="19" t="str">
        <f>IFERROR(IF(OR(C244="",C244=0),"",H244/C244*100),"")</f>
        <v/>
      </c>
      <c r="J244" s="20" t="str">
        <f>IF(Dati!F244="","",Dati!F244)</f>
        <v/>
      </c>
      <c r="K244" s="19" t="str">
        <f>IF(OR(H244="",J244=""),"",IF(H244*J244=0,"",H244*J244))</f>
        <v/>
      </c>
      <c r="L244" s="19" t="str">
        <f>IF(A244="","",IFERROR(IF(SUMPRODUCT((ISNUMBER(A$2:A244))*(A$2:A244&gt;1000)*(MONTH(IF(ISNUMBER(A$2:A244),A$2:A244,1))=MONTH(A244))*(YEAR(IF(ISNUMBER(A$2:A244),A$2:A244,1))=YEAR(A244))*IF(ISNUMBER(K$2:K244),K$2:K244,0))=0,"",SUMPRODUCT((ISNUMBER(A$2:A244))*(A$2:A244&gt;1000)*(MONTH(IF(ISNUMBER(A$2:A244),A$2:A244,1))=MONTH(A244))*(YEAR(IF(ISNUMBER(A$2:A244),A$2:A244,1))=YEAR(A244))*IF(ISNUMBER(K$2:K244),K$2:K244,0))),""))</f>
        <v/>
      </c>
      <c r="M244" s="21" t="str">
        <f>IF(A244="","",IFERROR(IF(SUMIF(N$2:N244,"CASA",K$2:K244)=0,"",SUMIF(N$2:N244,"CASA",K$2:K244)),""))</f>
        <v/>
      </c>
      <c r="N244" s="17" t="str">
        <f>IF(J244="","",IF(J244=0.2,"CASA",IF(Dati!G244="","",Dati!G244)))</f>
        <v/>
      </c>
    </row>
    <row r="245" spans="1:14" ht="15" customHeight="1" x14ac:dyDescent="0.2">
      <c r="A245" s="23" t="str">
        <f>IF(Dati!A245="","",Dati!A245)</f>
        <v/>
      </c>
      <c r="B245" s="17" t="str">
        <f>IF(Dati!B245="","",Dati!B245)</f>
        <v/>
      </c>
      <c r="C245" s="17" t="str">
        <f>IF(B245="","",IF(ISNUMBER(B244),IF(B245-B244&lt;0,B245,IF(B245-B244=0,"",B245-B244)),B245))</f>
        <v/>
      </c>
      <c r="D245" s="18" t="str">
        <f>IF(Dati!C245="","",IF(Dati!C245&gt;1,Dati!C245/100,Dati!C245))</f>
        <v/>
      </c>
      <c r="E245" s="18" t="str">
        <f>IF(Dati!D245="","",IF(Dati!D245&gt;1,Dati!D245/100,Dati!D245))</f>
        <v/>
      </c>
      <c r="F245" s="18" t="str">
        <f>IF(OR(D245="",E245=""),"",IF(OR(D245&gt;1,E245&gt;1),(E245-D245)/100,E245-D245))</f>
        <v/>
      </c>
      <c r="G245" s="17" t="str">
        <f>IF(F245="","",IF(64*F245=0,"",64*F245))</f>
        <v/>
      </c>
      <c r="H245" s="19" t="str">
        <f>IF(Dati!E245="","",Dati!E245)</f>
        <v/>
      </c>
      <c r="I245" s="19" t="str">
        <f>IFERROR(IF(OR(C245="",C245=0),"",H245/C245*100),"")</f>
        <v/>
      </c>
      <c r="J245" s="20" t="str">
        <f>IF(Dati!F245="","",Dati!F245)</f>
        <v/>
      </c>
      <c r="K245" s="19" t="str">
        <f>IF(OR(H245="",J245=""),"",IF(H245*J245=0,"",H245*J245))</f>
        <v/>
      </c>
      <c r="L245" s="19" t="str">
        <f>IF(A245="","",IFERROR(IF(SUMPRODUCT((ISNUMBER(A$2:A245))*(A$2:A245&gt;1000)*(MONTH(IF(ISNUMBER(A$2:A245),A$2:A245,1))=MONTH(A245))*(YEAR(IF(ISNUMBER(A$2:A245),A$2:A245,1))=YEAR(A245))*IF(ISNUMBER(K$2:K245),K$2:K245,0))=0,"",SUMPRODUCT((ISNUMBER(A$2:A245))*(A$2:A245&gt;1000)*(MONTH(IF(ISNUMBER(A$2:A245),A$2:A245,1))=MONTH(A245))*(YEAR(IF(ISNUMBER(A$2:A245),A$2:A245,1))=YEAR(A245))*IF(ISNUMBER(K$2:K245),K$2:K245,0))),""))</f>
        <v/>
      </c>
      <c r="M245" s="21" t="str">
        <f>IF(A245="","",IFERROR(IF(SUMIF(N$2:N245,"CASA",K$2:K245)=0,"",SUMIF(N$2:N245,"CASA",K$2:K245)),""))</f>
        <v/>
      </c>
      <c r="N245" s="17" t="str">
        <f>IF(J245="","",IF(J245=0.2,"CASA",IF(Dati!G245="","",Dati!G245)))</f>
        <v/>
      </c>
    </row>
    <row r="246" spans="1:14" ht="15" customHeight="1" x14ac:dyDescent="0.2">
      <c r="A246" s="23" t="str">
        <f>IF(Dati!A246="","",Dati!A246)</f>
        <v/>
      </c>
      <c r="B246" s="17" t="str">
        <f>IF(Dati!B246="","",Dati!B246)</f>
        <v/>
      </c>
      <c r="C246" s="17" t="str">
        <f>IF(B246="","",IF(ISNUMBER(B245),IF(B246-B245&lt;0,B246,IF(B246-B245=0,"",B246-B245)),B246))</f>
        <v/>
      </c>
      <c r="D246" s="18" t="str">
        <f>IF(Dati!C246="","",IF(Dati!C246&gt;1,Dati!C246/100,Dati!C246))</f>
        <v/>
      </c>
      <c r="E246" s="18" t="str">
        <f>IF(Dati!D246="","",IF(Dati!D246&gt;1,Dati!D246/100,Dati!D246))</f>
        <v/>
      </c>
      <c r="F246" s="18" t="str">
        <f>IF(OR(D246="",E246=""),"",IF(OR(D246&gt;1,E246&gt;1),(E246-D246)/100,E246-D246))</f>
        <v/>
      </c>
      <c r="G246" s="17" t="str">
        <f>IF(F246="","",IF(64*F246=0,"",64*F246))</f>
        <v/>
      </c>
      <c r="H246" s="19" t="str">
        <f>IF(Dati!E246="","",Dati!E246)</f>
        <v/>
      </c>
      <c r="I246" s="19" t="str">
        <f>IFERROR(IF(OR(C246="",C246=0),"",H246/C246*100),"")</f>
        <v/>
      </c>
      <c r="J246" s="20" t="str">
        <f>IF(Dati!F246="","",Dati!F246)</f>
        <v/>
      </c>
      <c r="K246" s="19" t="str">
        <f>IF(OR(H246="",J246=""),"",IF(H246*J246=0,"",H246*J246))</f>
        <v/>
      </c>
      <c r="L246" s="19" t="str">
        <f>IF(A246="","",IFERROR(IF(SUMPRODUCT((ISNUMBER(A$2:A246))*(A$2:A246&gt;1000)*(MONTH(IF(ISNUMBER(A$2:A246),A$2:A246,1))=MONTH(A246))*(YEAR(IF(ISNUMBER(A$2:A246),A$2:A246,1))=YEAR(A246))*IF(ISNUMBER(K$2:K246),K$2:K246,0))=0,"",SUMPRODUCT((ISNUMBER(A$2:A246))*(A$2:A246&gt;1000)*(MONTH(IF(ISNUMBER(A$2:A246),A$2:A246,1))=MONTH(A246))*(YEAR(IF(ISNUMBER(A$2:A246),A$2:A246,1))=YEAR(A246))*IF(ISNUMBER(K$2:K246),K$2:K246,0))),""))</f>
        <v/>
      </c>
      <c r="M246" s="21" t="str">
        <f>IF(A246="","",IFERROR(IF(SUMIF(N$2:N246,"CASA",K$2:K246)=0,"",SUMIF(N$2:N246,"CASA",K$2:K246)),""))</f>
        <v/>
      </c>
      <c r="N246" s="17" t="str">
        <f>IF(J246="","",IF(J246=0.2,"CASA",IF(Dati!G246="","",Dati!G246)))</f>
        <v/>
      </c>
    </row>
    <row r="247" spans="1:14" ht="15" customHeight="1" x14ac:dyDescent="0.2">
      <c r="A247" s="23" t="str">
        <f>IF(Dati!A247="","",Dati!A247)</f>
        <v/>
      </c>
      <c r="B247" s="17" t="str">
        <f>IF(Dati!B247="","",Dati!B247)</f>
        <v/>
      </c>
      <c r="C247" s="17" t="str">
        <f>IF(B247="","",IF(ISNUMBER(B246),IF(B247-B246&lt;0,B247,IF(B247-B246=0,"",B247-B246)),B247))</f>
        <v/>
      </c>
      <c r="D247" s="18" t="str">
        <f>IF(Dati!C247="","",IF(Dati!C247&gt;1,Dati!C247/100,Dati!C247))</f>
        <v/>
      </c>
      <c r="E247" s="18" t="str">
        <f>IF(Dati!D247="","",IF(Dati!D247&gt;1,Dati!D247/100,Dati!D247))</f>
        <v/>
      </c>
      <c r="F247" s="18" t="str">
        <f>IF(OR(D247="",E247=""),"",IF(OR(D247&gt;1,E247&gt;1),(E247-D247)/100,E247-D247))</f>
        <v/>
      </c>
      <c r="G247" s="17" t="str">
        <f>IF(F247="","",IF(64*F247=0,"",64*F247))</f>
        <v/>
      </c>
      <c r="H247" s="19" t="str">
        <f>IF(Dati!E247="","",Dati!E247)</f>
        <v/>
      </c>
      <c r="I247" s="19" t="str">
        <f>IFERROR(IF(OR(C247="",C247=0),"",H247/C247*100),"")</f>
        <v/>
      </c>
      <c r="J247" s="20" t="str">
        <f>IF(Dati!F247="","",Dati!F247)</f>
        <v/>
      </c>
      <c r="K247" s="19" t="str">
        <f>IF(OR(H247="",J247=""),"",IF(H247*J247=0,"",H247*J247))</f>
        <v/>
      </c>
      <c r="L247" s="19" t="str">
        <f>IF(A247="","",IFERROR(IF(SUMPRODUCT((ISNUMBER(A$2:A247))*(A$2:A247&gt;1000)*(MONTH(IF(ISNUMBER(A$2:A247),A$2:A247,1))=MONTH(A247))*(YEAR(IF(ISNUMBER(A$2:A247),A$2:A247,1))=YEAR(A247))*IF(ISNUMBER(K$2:K247),K$2:K247,0))=0,"",SUMPRODUCT((ISNUMBER(A$2:A247))*(A$2:A247&gt;1000)*(MONTH(IF(ISNUMBER(A$2:A247),A$2:A247,1))=MONTH(A247))*(YEAR(IF(ISNUMBER(A$2:A247),A$2:A247,1))=YEAR(A247))*IF(ISNUMBER(K$2:K247),K$2:K247,0))),""))</f>
        <v/>
      </c>
      <c r="M247" s="21" t="str">
        <f>IF(A247="","",IFERROR(IF(SUMIF(N$2:N247,"CASA",K$2:K247)=0,"",SUMIF(N$2:N247,"CASA",K$2:K247)),""))</f>
        <v/>
      </c>
      <c r="N247" s="17" t="str">
        <f>IF(J247="","",IF(J247=0.2,"CASA",IF(Dati!G247="","",Dati!G247)))</f>
        <v/>
      </c>
    </row>
    <row r="248" spans="1:14" ht="15" customHeight="1" x14ac:dyDescent="0.2">
      <c r="A248" s="23" t="str">
        <f>IF(Dati!A248="","",Dati!A248)</f>
        <v/>
      </c>
      <c r="B248" s="17" t="str">
        <f>IF(Dati!B248="","",Dati!B248)</f>
        <v/>
      </c>
      <c r="C248" s="17" t="str">
        <f>IF(B248="","",IF(ISNUMBER(B247),IF(B248-B247&lt;0,B248,IF(B248-B247=0,"",B248-B247)),B248))</f>
        <v/>
      </c>
      <c r="D248" s="18" t="str">
        <f>IF(Dati!C248="","",IF(Dati!C248&gt;1,Dati!C248/100,Dati!C248))</f>
        <v/>
      </c>
      <c r="E248" s="18" t="str">
        <f>IF(Dati!D248="","",IF(Dati!D248&gt;1,Dati!D248/100,Dati!D248))</f>
        <v/>
      </c>
      <c r="F248" s="18" t="str">
        <f>IF(OR(D248="",E248=""),"",IF(OR(D248&gt;1,E248&gt;1),(E248-D248)/100,E248-D248))</f>
        <v/>
      </c>
      <c r="G248" s="17" t="str">
        <f>IF(F248="","",IF(64*F248=0,"",64*F248))</f>
        <v/>
      </c>
      <c r="H248" s="19" t="str">
        <f>IF(Dati!E248="","",Dati!E248)</f>
        <v/>
      </c>
      <c r="I248" s="19" t="str">
        <f>IFERROR(IF(OR(C248="",C248=0),"",H248/C248*100),"")</f>
        <v/>
      </c>
      <c r="J248" s="20" t="str">
        <f>IF(Dati!F248="","",Dati!F248)</f>
        <v/>
      </c>
      <c r="K248" s="19" t="str">
        <f>IF(OR(H248="",J248=""),"",IF(H248*J248=0,"",H248*J248))</f>
        <v/>
      </c>
      <c r="L248" s="19" t="str">
        <f>IF(A248="","",IFERROR(IF(SUMPRODUCT((ISNUMBER(A$2:A248))*(A$2:A248&gt;1000)*(MONTH(IF(ISNUMBER(A$2:A248),A$2:A248,1))=MONTH(A248))*(YEAR(IF(ISNUMBER(A$2:A248),A$2:A248,1))=YEAR(A248))*IF(ISNUMBER(K$2:K248),K$2:K248,0))=0,"",SUMPRODUCT((ISNUMBER(A$2:A248))*(A$2:A248&gt;1000)*(MONTH(IF(ISNUMBER(A$2:A248),A$2:A248,1))=MONTH(A248))*(YEAR(IF(ISNUMBER(A$2:A248),A$2:A248,1))=YEAR(A248))*IF(ISNUMBER(K$2:K248),K$2:K248,0))),""))</f>
        <v/>
      </c>
      <c r="M248" s="21" t="str">
        <f>IF(A248="","",IFERROR(IF(SUMIF(N$2:N248,"CASA",K$2:K248)=0,"",SUMIF(N$2:N248,"CASA",K$2:K248)),""))</f>
        <v/>
      </c>
      <c r="N248" s="17" t="str">
        <f>IF(J248="","",IF(J248=0.2,"CASA",IF(Dati!G248="","",Dati!G248)))</f>
        <v/>
      </c>
    </row>
    <row r="249" spans="1:14" ht="15" customHeight="1" x14ac:dyDescent="0.2">
      <c r="A249" s="23" t="str">
        <f>IF(Dati!A249="","",Dati!A249)</f>
        <v/>
      </c>
      <c r="B249" s="17" t="str">
        <f>IF(Dati!B249="","",Dati!B249)</f>
        <v/>
      </c>
      <c r="C249" s="17" t="str">
        <f>IF(B249="","",IF(ISNUMBER(B248),IF(B249-B248&lt;0,B249,IF(B249-B248=0,"",B249-B248)),B249))</f>
        <v/>
      </c>
      <c r="D249" s="18" t="str">
        <f>IF(Dati!C249="","",IF(Dati!C249&gt;1,Dati!C249/100,Dati!C249))</f>
        <v/>
      </c>
      <c r="E249" s="18" t="str">
        <f>IF(Dati!D249="","",IF(Dati!D249&gt;1,Dati!D249/100,Dati!D249))</f>
        <v/>
      </c>
      <c r="F249" s="18" t="str">
        <f>IF(OR(D249="",E249=""),"",IF(OR(D249&gt;1,E249&gt;1),(E249-D249)/100,E249-D249))</f>
        <v/>
      </c>
      <c r="G249" s="17" t="str">
        <f>IF(F249="","",IF(64*F249=0,"",64*F249))</f>
        <v/>
      </c>
      <c r="H249" s="19" t="str">
        <f>IF(Dati!E249="","",Dati!E249)</f>
        <v/>
      </c>
      <c r="I249" s="19" t="str">
        <f>IFERROR(IF(OR(C249="",C249=0),"",H249/C249*100),"")</f>
        <v/>
      </c>
      <c r="J249" s="20" t="str">
        <f>IF(Dati!F249="","",Dati!F249)</f>
        <v/>
      </c>
      <c r="K249" s="19" t="str">
        <f>IF(OR(H249="",J249=""),"",IF(H249*J249=0,"",H249*J249))</f>
        <v/>
      </c>
      <c r="L249" s="19" t="str">
        <f>IF(A249="","",IFERROR(IF(SUMPRODUCT((ISNUMBER(A$2:A249))*(A$2:A249&gt;1000)*(MONTH(IF(ISNUMBER(A$2:A249),A$2:A249,1))=MONTH(A249))*(YEAR(IF(ISNUMBER(A$2:A249),A$2:A249,1))=YEAR(A249))*IF(ISNUMBER(K$2:K249),K$2:K249,0))=0,"",SUMPRODUCT((ISNUMBER(A$2:A249))*(A$2:A249&gt;1000)*(MONTH(IF(ISNUMBER(A$2:A249),A$2:A249,1))=MONTH(A249))*(YEAR(IF(ISNUMBER(A$2:A249),A$2:A249,1))=YEAR(A249))*IF(ISNUMBER(K$2:K249),K$2:K249,0))),""))</f>
        <v/>
      </c>
      <c r="M249" s="21" t="str">
        <f>IF(A249="","",IFERROR(IF(SUMIF(N$2:N249,"CASA",K$2:K249)=0,"",SUMIF(N$2:N249,"CASA",K$2:K249)),""))</f>
        <v/>
      </c>
      <c r="N249" s="17" t="str">
        <f>IF(J249="","",IF(J249=0.2,"CASA",IF(Dati!G249="","",Dati!G249)))</f>
        <v/>
      </c>
    </row>
    <row r="250" spans="1:14" ht="15" customHeight="1" x14ac:dyDescent="0.2">
      <c r="A250" s="23" t="str">
        <f>IF(Dati!A250="","",Dati!A250)</f>
        <v/>
      </c>
      <c r="B250" s="17" t="str">
        <f>IF(Dati!B250="","",Dati!B250)</f>
        <v/>
      </c>
      <c r="C250" s="17" t="str">
        <f>IF(B250="","",IF(ISNUMBER(B249),IF(B250-B249&lt;0,B250,IF(B250-B249=0,"",B250-B249)),B250))</f>
        <v/>
      </c>
      <c r="D250" s="18" t="str">
        <f>IF(Dati!C250="","",IF(Dati!C250&gt;1,Dati!C250/100,Dati!C250))</f>
        <v/>
      </c>
      <c r="E250" s="18" t="str">
        <f>IF(Dati!D250="","",IF(Dati!D250&gt;1,Dati!D250/100,Dati!D250))</f>
        <v/>
      </c>
      <c r="F250" s="18" t="str">
        <f>IF(OR(D250="",E250=""),"",IF(OR(D250&gt;1,E250&gt;1),(E250-D250)/100,E250-D250))</f>
        <v/>
      </c>
      <c r="G250" s="17" t="str">
        <f>IF(F250="","",IF(64*F250=0,"",64*F250))</f>
        <v/>
      </c>
      <c r="H250" s="19" t="str">
        <f>IF(Dati!E250="","",Dati!E250)</f>
        <v/>
      </c>
      <c r="I250" s="19" t="str">
        <f>IFERROR(IF(OR(C250="",C250=0),"",H250/C250*100),"")</f>
        <v/>
      </c>
      <c r="J250" s="20" t="str">
        <f>IF(Dati!F250="","",Dati!F250)</f>
        <v/>
      </c>
      <c r="K250" s="19" t="str">
        <f>IF(OR(H250="",J250=""),"",IF(H250*J250=0,"",H250*J250))</f>
        <v/>
      </c>
      <c r="L250" s="19" t="str">
        <f>IF(A250="","",IFERROR(IF(SUMPRODUCT((ISNUMBER(A$2:A250))*(A$2:A250&gt;1000)*(MONTH(IF(ISNUMBER(A$2:A250),A$2:A250,1))=MONTH(A250))*(YEAR(IF(ISNUMBER(A$2:A250),A$2:A250,1))=YEAR(A250))*IF(ISNUMBER(K$2:K250),K$2:K250,0))=0,"",SUMPRODUCT((ISNUMBER(A$2:A250))*(A$2:A250&gt;1000)*(MONTH(IF(ISNUMBER(A$2:A250),A$2:A250,1))=MONTH(A250))*(YEAR(IF(ISNUMBER(A$2:A250),A$2:A250,1))=YEAR(A250))*IF(ISNUMBER(K$2:K250),K$2:K250,0))),""))</f>
        <v/>
      </c>
      <c r="M250" s="21" t="str">
        <f>IF(A250="","",IFERROR(IF(SUMIF(N$2:N250,"CASA",K$2:K250)=0,"",SUMIF(N$2:N250,"CASA",K$2:K250)),""))</f>
        <v/>
      </c>
      <c r="N250" s="17" t="str">
        <f>IF(J250="","",IF(J250=0.2,"CASA",IF(Dati!G250="","",Dati!G250)))</f>
        <v/>
      </c>
    </row>
    <row r="251" spans="1:14" ht="15" customHeight="1" x14ac:dyDescent="0.2">
      <c r="A251" s="23" t="str">
        <f>IF(Dati!A251="","",Dati!A251)</f>
        <v/>
      </c>
      <c r="B251" s="17" t="str">
        <f>IF(Dati!B251="","",Dati!B251)</f>
        <v/>
      </c>
      <c r="C251" s="17" t="str">
        <f>IF(B251="","",IF(ISNUMBER(B250),IF(B251-B250&lt;0,B251,IF(B251-B250=0,"",B251-B250)),B251))</f>
        <v/>
      </c>
      <c r="D251" s="18" t="str">
        <f>IF(Dati!C251="","",IF(Dati!C251&gt;1,Dati!C251/100,Dati!C251))</f>
        <v/>
      </c>
      <c r="E251" s="18" t="str">
        <f>IF(Dati!D251="","",IF(Dati!D251&gt;1,Dati!D251/100,Dati!D251))</f>
        <v/>
      </c>
      <c r="F251" s="18" t="str">
        <f>IF(OR(D251="",E251=""),"",IF(OR(D251&gt;1,E251&gt;1),(E251-D251)/100,E251-D251))</f>
        <v/>
      </c>
      <c r="G251" s="17" t="str">
        <f>IF(F251="","",IF(64*F251=0,"",64*F251))</f>
        <v/>
      </c>
      <c r="H251" s="19" t="str">
        <f>IF(Dati!E251="","",Dati!E251)</f>
        <v/>
      </c>
      <c r="I251" s="19" t="str">
        <f>IFERROR(IF(OR(C251="",C251=0),"",H251/C251*100),"")</f>
        <v/>
      </c>
      <c r="J251" s="20" t="str">
        <f>IF(Dati!F251="","",Dati!F251)</f>
        <v/>
      </c>
      <c r="K251" s="19" t="str">
        <f>IF(OR(H251="",J251=""),"",IF(H251*J251=0,"",H251*J251))</f>
        <v/>
      </c>
      <c r="L251" s="19" t="str">
        <f>IF(A251="","",IFERROR(IF(SUMPRODUCT((ISNUMBER(A$2:A251))*(A$2:A251&gt;1000)*(MONTH(IF(ISNUMBER(A$2:A251),A$2:A251,1))=MONTH(A251))*(YEAR(IF(ISNUMBER(A$2:A251),A$2:A251,1))=YEAR(A251))*IF(ISNUMBER(K$2:K251),K$2:K251,0))=0,"",SUMPRODUCT((ISNUMBER(A$2:A251))*(A$2:A251&gt;1000)*(MONTH(IF(ISNUMBER(A$2:A251),A$2:A251,1))=MONTH(A251))*(YEAR(IF(ISNUMBER(A$2:A251),A$2:A251,1))=YEAR(A251))*IF(ISNUMBER(K$2:K251),K$2:K251,0))),""))</f>
        <v/>
      </c>
      <c r="M251" s="21" t="str">
        <f>IF(A251="","",IFERROR(IF(SUMIF(N$2:N251,"CASA",K$2:K251)=0,"",SUMIF(N$2:N251,"CASA",K$2:K251)),""))</f>
        <v/>
      </c>
      <c r="N251" s="17" t="str">
        <f>IF(J251="","",IF(J251=0.2,"CASA",IF(Dati!G251="","",Dati!G251)))</f>
        <v/>
      </c>
    </row>
    <row r="252" spans="1:14" ht="15" customHeight="1" x14ac:dyDescent="0.2">
      <c r="A252" s="23" t="str">
        <f>IF(Dati!A252="","",Dati!A252)</f>
        <v/>
      </c>
      <c r="B252" s="17" t="str">
        <f>IF(Dati!B252="","",Dati!B252)</f>
        <v/>
      </c>
      <c r="C252" s="17" t="str">
        <f>IF(B252="","",IF(ISNUMBER(B251),IF(B252-B251&lt;0,B252,IF(B252-B251=0,"",B252-B251)),B252))</f>
        <v/>
      </c>
      <c r="D252" s="18" t="str">
        <f>IF(Dati!C252="","",IF(Dati!C252&gt;1,Dati!C252/100,Dati!C252))</f>
        <v/>
      </c>
      <c r="E252" s="18" t="str">
        <f>IF(Dati!D252="","",IF(Dati!D252&gt;1,Dati!D252/100,Dati!D252))</f>
        <v/>
      </c>
      <c r="F252" s="18" t="str">
        <f>IF(OR(D252="",E252=""),"",IF(OR(D252&gt;1,E252&gt;1),(E252-D252)/100,E252-D252))</f>
        <v/>
      </c>
      <c r="G252" s="17" t="str">
        <f>IF(F252="","",IF(64*F252=0,"",64*F252))</f>
        <v/>
      </c>
      <c r="H252" s="19" t="str">
        <f>IF(Dati!E252="","",Dati!E252)</f>
        <v/>
      </c>
      <c r="I252" s="19" t="str">
        <f>IFERROR(IF(OR(C252="",C252=0),"",H252/C252*100),"")</f>
        <v/>
      </c>
      <c r="J252" s="20" t="str">
        <f>IF(Dati!F252="","",Dati!F252)</f>
        <v/>
      </c>
      <c r="K252" s="19" t="str">
        <f>IF(OR(H252="",J252=""),"",IF(H252*J252=0,"",H252*J252))</f>
        <v/>
      </c>
      <c r="L252" s="19" t="str">
        <f>IF(A252="","",IFERROR(IF(SUMPRODUCT((ISNUMBER(A$2:A252))*(A$2:A252&gt;1000)*(MONTH(IF(ISNUMBER(A$2:A252),A$2:A252,1))=MONTH(A252))*(YEAR(IF(ISNUMBER(A$2:A252),A$2:A252,1))=YEAR(A252))*IF(ISNUMBER(K$2:K252),K$2:K252,0))=0,"",SUMPRODUCT((ISNUMBER(A$2:A252))*(A$2:A252&gt;1000)*(MONTH(IF(ISNUMBER(A$2:A252),A$2:A252,1))=MONTH(A252))*(YEAR(IF(ISNUMBER(A$2:A252),A$2:A252,1))=YEAR(A252))*IF(ISNUMBER(K$2:K252),K$2:K252,0))),""))</f>
        <v/>
      </c>
      <c r="M252" s="21" t="str">
        <f>IF(A252="","",IFERROR(IF(SUMIF(N$2:N252,"CASA",K$2:K252)=0,"",SUMIF(N$2:N252,"CASA",K$2:K252)),""))</f>
        <v/>
      </c>
      <c r="N252" s="17" t="str">
        <f>IF(J252="","",IF(J252=0.2,"CASA",IF(Dati!G252="","",Dati!G252)))</f>
        <v/>
      </c>
    </row>
    <row r="253" spans="1:14" ht="15" customHeight="1" x14ac:dyDescent="0.2">
      <c r="A253" s="23" t="str">
        <f>IF(Dati!A253="","",Dati!A253)</f>
        <v/>
      </c>
      <c r="B253" s="17" t="str">
        <f>IF(Dati!B253="","",Dati!B253)</f>
        <v/>
      </c>
      <c r="C253" s="17" t="str">
        <f>IF(B253="","",IF(ISNUMBER(B252),IF(B253-B252&lt;0,B253,IF(B253-B252=0,"",B253-B252)),B253))</f>
        <v/>
      </c>
      <c r="D253" s="18" t="str">
        <f>IF(Dati!C253="","",IF(Dati!C253&gt;1,Dati!C253/100,Dati!C253))</f>
        <v/>
      </c>
      <c r="E253" s="18" t="str">
        <f>IF(Dati!D253="","",IF(Dati!D253&gt;1,Dati!D253/100,Dati!D253))</f>
        <v/>
      </c>
      <c r="F253" s="18" t="str">
        <f>IF(OR(D253="",E253=""),"",IF(OR(D253&gt;1,E253&gt;1),(E253-D253)/100,E253-D253))</f>
        <v/>
      </c>
      <c r="G253" s="17" t="str">
        <f>IF(F253="","",IF(64*F253=0,"",64*F253))</f>
        <v/>
      </c>
      <c r="H253" s="19" t="str">
        <f>IF(Dati!E253="","",Dati!E253)</f>
        <v/>
      </c>
      <c r="I253" s="19" t="str">
        <f>IFERROR(IF(OR(C253="",C253=0),"",H253/C253*100),"")</f>
        <v/>
      </c>
      <c r="J253" s="20" t="str">
        <f>IF(Dati!F253="","",Dati!F253)</f>
        <v/>
      </c>
      <c r="K253" s="19" t="str">
        <f>IF(OR(H253="",J253=""),"",IF(H253*J253=0,"",H253*J253))</f>
        <v/>
      </c>
      <c r="L253" s="19" t="str">
        <f>IF(A253="","",IFERROR(IF(SUMPRODUCT((ISNUMBER(A$2:A253))*(A$2:A253&gt;1000)*(MONTH(IF(ISNUMBER(A$2:A253),A$2:A253,1))=MONTH(A253))*(YEAR(IF(ISNUMBER(A$2:A253),A$2:A253,1))=YEAR(A253))*IF(ISNUMBER(K$2:K253),K$2:K253,0))=0,"",SUMPRODUCT((ISNUMBER(A$2:A253))*(A$2:A253&gt;1000)*(MONTH(IF(ISNUMBER(A$2:A253),A$2:A253,1))=MONTH(A253))*(YEAR(IF(ISNUMBER(A$2:A253),A$2:A253,1))=YEAR(A253))*IF(ISNUMBER(K$2:K253),K$2:K253,0))),""))</f>
        <v/>
      </c>
      <c r="M253" s="21" t="str">
        <f>IF(A253="","",IFERROR(IF(SUMIF(N$2:N253,"CASA",K$2:K253)=0,"",SUMIF(N$2:N253,"CASA",K$2:K253)),""))</f>
        <v/>
      </c>
      <c r="N253" s="17" t="str">
        <f>IF(J253="","",IF(J253=0.2,"CASA",IF(Dati!G253="","",Dati!G253)))</f>
        <v/>
      </c>
    </row>
    <row r="254" spans="1:14" ht="15" customHeight="1" x14ac:dyDescent="0.2">
      <c r="A254" s="23" t="str">
        <f>IF(Dati!A254="","",Dati!A254)</f>
        <v/>
      </c>
      <c r="B254" s="17" t="str">
        <f>IF(Dati!B254="","",Dati!B254)</f>
        <v/>
      </c>
      <c r="C254" s="17" t="str">
        <f>IF(B254="","",IF(ISNUMBER(B253),IF(B254-B253&lt;0,B254,IF(B254-B253=0,"",B254-B253)),B254))</f>
        <v/>
      </c>
      <c r="D254" s="18" t="str">
        <f>IF(Dati!C254="","",IF(Dati!C254&gt;1,Dati!C254/100,Dati!C254))</f>
        <v/>
      </c>
      <c r="E254" s="18" t="str">
        <f>IF(Dati!D254="","",IF(Dati!D254&gt;1,Dati!D254/100,Dati!D254))</f>
        <v/>
      </c>
      <c r="F254" s="18" t="str">
        <f>IF(OR(D254="",E254=""),"",IF(OR(D254&gt;1,E254&gt;1),(E254-D254)/100,E254-D254))</f>
        <v/>
      </c>
      <c r="G254" s="17" t="str">
        <f>IF(F254="","",IF(64*F254=0,"",64*F254))</f>
        <v/>
      </c>
      <c r="H254" s="19" t="str">
        <f>IF(Dati!E254="","",Dati!E254)</f>
        <v/>
      </c>
      <c r="I254" s="19" t="str">
        <f>IFERROR(IF(OR(C254="",C254=0),"",H254/C254*100),"")</f>
        <v/>
      </c>
      <c r="J254" s="20" t="str">
        <f>IF(Dati!F254="","",Dati!F254)</f>
        <v/>
      </c>
      <c r="K254" s="19" t="str">
        <f>IF(OR(H254="",J254=""),"",IF(H254*J254=0,"",H254*J254))</f>
        <v/>
      </c>
      <c r="L254" s="19" t="str">
        <f>IF(A254="","",IFERROR(IF(SUMPRODUCT((ISNUMBER(A$2:A254))*(A$2:A254&gt;1000)*(MONTH(IF(ISNUMBER(A$2:A254),A$2:A254,1))=MONTH(A254))*(YEAR(IF(ISNUMBER(A$2:A254),A$2:A254,1))=YEAR(A254))*IF(ISNUMBER(K$2:K254),K$2:K254,0))=0,"",SUMPRODUCT((ISNUMBER(A$2:A254))*(A$2:A254&gt;1000)*(MONTH(IF(ISNUMBER(A$2:A254),A$2:A254,1))=MONTH(A254))*(YEAR(IF(ISNUMBER(A$2:A254),A$2:A254,1))=YEAR(A254))*IF(ISNUMBER(K$2:K254),K$2:K254,0))),""))</f>
        <v/>
      </c>
      <c r="M254" s="21" t="str">
        <f>IF(A254="","",IFERROR(IF(SUMIF(N$2:N254,"CASA",K$2:K254)=0,"",SUMIF(N$2:N254,"CASA",K$2:K254)),""))</f>
        <v/>
      </c>
      <c r="N254" s="17" t="str">
        <f>IF(J254="","",IF(J254=0.2,"CASA",IF(Dati!G254="","",Dati!G254)))</f>
        <v/>
      </c>
    </row>
    <row r="255" spans="1:14" ht="15" customHeight="1" x14ac:dyDescent="0.2">
      <c r="A255" s="23" t="str">
        <f>IF(Dati!A255="","",Dati!A255)</f>
        <v/>
      </c>
      <c r="B255" s="17" t="str">
        <f>IF(Dati!B255="","",Dati!B255)</f>
        <v/>
      </c>
      <c r="C255" s="17" t="str">
        <f>IF(B255="","",IF(ISNUMBER(B254),IF(B255-B254&lt;0,B255,IF(B255-B254=0,"",B255-B254)),B255))</f>
        <v/>
      </c>
      <c r="D255" s="18" t="str">
        <f>IF(Dati!C255="","",IF(Dati!C255&gt;1,Dati!C255/100,Dati!C255))</f>
        <v/>
      </c>
      <c r="E255" s="18" t="str">
        <f>IF(Dati!D255="","",IF(Dati!D255&gt;1,Dati!D255/100,Dati!D255))</f>
        <v/>
      </c>
      <c r="F255" s="18" t="str">
        <f>IF(OR(D255="",E255=""),"",IF(OR(D255&gt;1,E255&gt;1),(E255-D255)/100,E255-D255))</f>
        <v/>
      </c>
      <c r="G255" s="17" t="str">
        <f>IF(F255="","",IF(64*F255=0,"",64*F255))</f>
        <v/>
      </c>
      <c r="H255" s="19" t="str">
        <f>IF(Dati!E255="","",Dati!E255)</f>
        <v/>
      </c>
      <c r="I255" s="19" t="str">
        <f>IFERROR(IF(OR(C255="",C255=0),"",H255/C255*100),"")</f>
        <v/>
      </c>
      <c r="J255" s="20" t="str">
        <f>IF(Dati!F255="","",Dati!F255)</f>
        <v/>
      </c>
      <c r="K255" s="19" t="str">
        <f>IF(OR(H255="",J255=""),"",IF(H255*J255=0,"",H255*J255))</f>
        <v/>
      </c>
      <c r="L255" s="19" t="str">
        <f>IF(A255="","",IFERROR(IF(SUMPRODUCT((ISNUMBER(A$2:A255))*(A$2:A255&gt;1000)*(MONTH(IF(ISNUMBER(A$2:A255),A$2:A255,1))=MONTH(A255))*(YEAR(IF(ISNUMBER(A$2:A255),A$2:A255,1))=YEAR(A255))*IF(ISNUMBER(K$2:K255),K$2:K255,0))=0,"",SUMPRODUCT((ISNUMBER(A$2:A255))*(A$2:A255&gt;1000)*(MONTH(IF(ISNUMBER(A$2:A255),A$2:A255,1))=MONTH(A255))*(YEAR(IF(ISNUMBER(A$2:A255),A$2:A255,1))=YEAR(A255))*IF(ISNUMBER(K$2:K255),K$2:K255,0))),""))</f>
        <v/>
      </c>
      <c r="M255" s="21" t="str">
        <f>IF(A255="","",IFERROR(IF(SUMIF(N$2:N255,"CASA",K$2:K255)=0,"",SUMIF(N$2:N255,"CASA",K$2:K255)),""))</f>
        <v/>
      </c>
      <c r="N255" s="17" t="str">
        <f>IF(J255="","",IF(J255=0.2,"CASA",IF(Dati!G255="","",Dati!G255)))</f>
        <v/>
      </c>
    </row>
    <row r="256" spans="1:14" ht="15" customHeight="1" x14ac:dyDescent="0.2">
      <c r="A256" s="23" t="str">
        <f>IF(Dati!A256="","",Dati!A256)</f>
        <v/>
      </c>
      <c r="B256" s="17" t="str">
        <f>IF(Dati!B256="","",Dati!B256)</f>
        <v/>
      </c>
      <c r="C256" s="17" t="str">
        <f>IF(B256="","",IF(ISNUMBER(B255),IF(B256-B255&lt;0,B256,IF(B256-B255=0,"",B256-B255)),B256))</f>
        <v/>
      </c>
      <c r="D256" s="18" t="str">
        <f>IF(Dati!C256="","",IF(Dati!C256&gt;1,Dati!C256/100,Dati!C256))</f>
        <v/>
      </c>
      <c r="E256" s="18" t="str">
        <f>IF(Dati!D256="","",IF(Dati!D256&gt;1,Dati!D256/100,Dati!D256))</f>
        <v/>
      </c>
      <c r="F256" s="18" t="str">
        <f>IF(OR(D256="",E256=""),"",IF(OR(D256&gt;1,E256&gt;1),(E256-D256)/100,E256-D256))</f>
        <v/>
      </c>
      <c r="G256" s="17" t="str">
        <f>IF(F256="","",IF(64*F256=0,"",64*F256))</f>
        <v/>
      </c>
      <c r="H256" s="19" t="str">
        <f>IF(Dati!E256="","",Dati!E256)</f>
        <v/>
      </c>
      <c r="I256" s="19" t="str">
        <f>IFERROR(IF(OR(C256="",C256=0),"",H256/C256*100),"")</f>
        <v/>
      </c>
      <c r="J256" s="20" t="str">
        <f>IF(Dati!F256="","",Dati!F256)</f>
        <v/>
      </c>
      <c r="K256" s="19" t="str">
        <f>IF(OR(H256="",J256=""),"",IF(H256*J256=0,"",H256*J256))</f>
        <v/>
      </c>
      <c r="L256" s="19" t="str">
        <f>IF(A256="","",IFERROR(IF(SUMPRODUCT((ISNUMBER(A$2:A256))*(A$2:A256&gt;1000)*(MONTH(IF(ISNUMBER(A$2:A256),A$2:A256,1))=MONTH(A256))*(YEAR(IF(ISNUMBER(A$2:A256),A$2:A256,1))=YEAR(A256))*IF(ISNUMBER(K$2:K256),K$2:K256,0))=0,"",SUMPRODUCT((ISNUMBER(A$2:A256))*(A$2:A256&gt;1000)*(MONTH(IF(ISNUMBER(A$2:A256),A$2:A256,1))=MONTH(A256))*(YEAR(IF(ISNUMBER(A$2:A256),A$2:A256,1))=YEAR(A256))*IF(ISNUMBER(K$2:K256),K$2:K256,0))),""))</f>
        <v/>
      </c>
      <c r="M256" s="21" t="str">
        <f>IF(A256="","",IFERROR(IF(SUMIF(N$2:N256,"CASA",K$2:K256)=0,"",SUMIF(N$2:N256,"CASA",K$2:K256)),""))</f>
        <v/>
      </c>
      <c r="N256" s="17" t="str">
        <f>IF(J256="","",IF(J256=0.2,"CASA",IF(Dati!G256="","",Dati!G256)))</f>
        <v/>
      </c>
    </row>
    <row r="257" spans="1:14" ht="15" customHeight="1" x14ac:dyDescent="0.2">
      <c r="A257" s="23" t="str">
        <f>IF(Dati!A257="","",Dati!A257)</f>
        <v/>
      </c>
      <c r="B257" s="17" t="str">
        <f>IF(Dati!B257="","",Dati!B257)</f>
        <v/>
      </c>
      <c r="C257" s="17" t="str">
        <f>IF(B257="","",IF(ISNUMBER(B256),IF(B257-B256&lt;0,B257,IF(B257-B256=0,"",B257-B256)),B257))</f>
        <v/>
      </c>
      <c r="D257" s="18" t="str">
        <f>IF(Dati!C257="","",IF(Dati!C257&gt;1,Dati!C257/100,Dati!C257))</f>
        <v/>
      </c>
      <c r="E257" s="18" t="str">
        <f>IF(Dati!D257="","",IF(Dati!D257&gt;1,Dati!D257/100,Dati!D257))</f>
        <v/>
      </c>
      <c r="F257" s="18" t="str">
        <f>IF(OR(D257="",E257=""),"",IF(OR(D257&gt;1,E257&gt;1),(E257-D257)/100,E257-D257))</f>
        <v/>
      </c>
      <c r="G257" s="17" t="str">
        <f>IF(F257="","",IF(64*F257=0,"",64*F257))</f>
        <v/>
      </c>
      <c r="H257" s="19" t="str">
        <f>IF(Dati!E257="","",Dati!E257)</f>
        <v/>
      </c>
      <c r="I257" s="19" t="str">
        <f>IFERROR(IF(OR(C257="",C257=0),"",H257/C257*100),"")</f>
        <v/>
      </c>
      <c r="J257" s="20" t="str">
        <f>IF(Dati!F257="","",Dati!F257)</f>
        <v/>
      </c>
      <c r="K257" s="19" t="str">
        <f>IF(OR(H257="",J257=""),"",IF(H257*J257=0,"",H257*J257))</f>
        <v/>
      </c>
      <c r="L257" s="19" t="str">
        <f>IF(A257="","",IFERROR(IF(SUMPRODUCT((ISNUMBER(A$2:A257))*(A$2:A257&gt;1000)*(MONTH(IF(ISNUMBER(A$2:A257),A$2:A257,1))=MONTH(A257))*(YEAR(IF(ISNUMBER(A$2:A257),A$2:A257,1))=YEAR(A257))*IF(ISNUMBER(K$2:K257),K$2:K257,0))=0,"",SUMPRODUCT((ISNUMBER(A$2:A257))*(A$2:A257&gt;1000)*(MONTH(IF(ISNUMBER(A$2:A257),A$2:A257,1))=MONTH(A257))*(YEAR(IF(ISNUMBER(A$2:A257),A$2:A257,1))=YEAR(A257))*IF(ISNUMBER(K$2:K257),K$2:K257,0))),""))</f>
        <v/>
      </c>
      <c r="M257" s="21" t="str">
        <f>IF(A257="","",IFERROR(IF(SUMIF(N$2:N257,"CASA",K$2:K257)=0,"",SUMIF(N$2:N257,"CASA",K$2:K257)),""))</f>
        <v/>
      </c>
      <c r="N257" s="17" t="str">
        <f>IF(J257="","",IF(J257=0.2,"CASA",IF(Dati!G257="","",Dati!G257)))</f>
        <v/>
      </c>
    </row>
    <row r="258" spans="1:14" ht="15" customHeight="1" x14ac:dyDescent="0.2">
      <c r="A258" s="23" t="str">
        <f>IF(Dati!A258="","",Dati!A258)</f>
        <v/>
      </c>
      <c r="B258" s="17" t="str">
        <f>IF(Dati!B258="","",Dati!B258)</f>
        <v/>
      </c>
      <c r="C258" s="17" t="str">
        <f>IF(B258="","",IF(ISNUMBER(B257),IF(B258-B257&lt;0,B258,IF(B258-B257=0,"",B258-B257)),B258))</f>
        <v/>
      </c>
      <c r="D258" s="18" t="str">
        <f>IF(Dati!C258="","",IF(Dati!C258&gt;1,Dati!C258/100,Dati!C258))</f>
        <v/>
      </c>
      <c r="E258" s="18" t="str">
        <f>IF(Dati!D258="","",IF(Dati!D258&gt;1,Dati!D258/100,Dati!D258))</f>
        <v/>
      </c>
      <c r="F258" s="18" t="str">
        <f>IF(OR(D258="",E258=""),"",IF(OR(D258&gt;1,E258&gt;1),(E258-D258)/100,E258-D258))</f>
        <v/>
      </c>
      <c r="G258" s="17" t="str">
        <f>IF(F258="","",IF(64*F258=0,"",64*F258))</f>
        <v/>
      </c>
      <c r="H258" s="19" t="str">
        <f>IF(Dati!E258="","",Dati!E258)</f>
        <v/>
      </c>
      <c r="I258" s="19" t="str">
        <f>IFERROR(IF(OR(C258="",C258=0),"",H258/C258*100),"")</f>
        <v/>
      </c>
      <c r="J258" s="20" t="str">
        <f>IF(Dati!F258="","",Dati!F258)</f>
        <v/>
      </c>
      <c r="K258" s="19" t="str">
        <f>IF(OR(H258="",J258=""),"",IF(H258*J258=0,"",H258*J258))</f>
        <v/>
      </c>
      <c r="L258" s="19" t="str">
        <f>IF(A258="","",IFERROR(IF(SUMPRODUCT((ISNUMBER(A$2:A258))*(A$2:A258&gt;1000)*(MONTH(IF(ISNUMBER(A$2:A258),A$2:A258,1))=MONTH(A258))*(YEAR(IF(ISNUMBER(A$2:A258),A$2:A258,1))=YEAR(A258))*IF(ISNUMBER(K$2:K258),K$2:K258,0))=0,"",SUMPRODUCT((ISNUMBER(A$2:A258))*(A$2:A258&gt;1000)*(MONTH(IF(ISNUMBER(A$2:A258),A$2:A258,1))=MONTH(A258))*(YEAR(IF(ISNUMBER(A$2:A258),A$2:A258,1))=YEAR(A258))*IF(ISNUMBER(K$2:K258),K$2:K258,0))),""))</f>
        <v/>
      </c>
      <c r="M258" s="21" t="str">
        <f>IF(A258="","",IFERROR(IF(SUMIF(N$2:N258,"CASA",K$2:K258)=0,"",SUMIF(N$2:N258,"CASA",K$2:K258)),""))</f>
        <v/>
      </c>
      <c r="N258" s="17" t="str">
        <f>IF(J258="","",IF(J258=0.2,"CASA",IF(Dati!G258="","",Dati!G258)))</f>
        <v/>
      </c>
    </row>
    <row r="259" spans="1:14" ht="15" customHeight="1" x14ac:dyDescent="0.2">
      <c r="A259" s="23" t="str">
        <f>IF(Dati!A259="","",Dati!A259)</f>
        <v/>
      </c>
      <c r="B259" s="17" t="str">
        <f>IF(Dati!B259="","",Dati!B259)</f>
        <v/>
      </c>
      <c r="C259" s="17" t="str">
        <f>IF(B259="","",IF(ISNUMBER(B258),IF(B259-B258&lt;0,B259,IF(B259-B258=0,"",B259-B258)),B259))</f>
        <v/>
      </c>
      <c r="D259" s="18" t="str">
        <f>IF(Dati!C259="","",IF(Dati!C259&gt;1,Dati!C259/100,Dati!C259))</f>
        <v/>
      </c>
      <c r="E259" s="18" t="str">
        <f>IF(Dati!D259="","",IF(Dati!D259&gt;1,Dati!D259/100,Dati!D259))</f>
        <v/>
      </c>
      <c r="F259" s="18" t="str">
        <f>IF(OR(D259="",E259=""),"",IF(OR(D259&gt;1,E259&gt;1),(E259-D259)/100,E259-D259))</f>
        <v/>
      </c>
      <c r="G259" s="17" t="str">
        <f>IF(F259="","",IF(64*F259=0,"",64*F259))</f>
        <v/>
      </c>
      <c r="H259" s="19" t="str">
        <f>IF(Dati!E259="","",Dati!E259)</f>
        <v/>
      </c>
      <c r="I259" s="19" t="str">
        <f>IFERROR(IF(OR(C259="",C259=0),"",H259/C259*100),"")</f>
        <v/>
      </c>
      <c r="J259" s="20" t="str">
        <f>IF(Dati!F259="","",Dati!F259)</f>
        <v/>
      </c>
      <c r="K259" s="19" t="str">
        <f>IF(OR(H259="",J259=""),"",IF(H259*J259=0,"",H259*J259))</f>
        <v/>
      </c>
      <c r="L259" s="19" t="str">
        <f>IF(A259="","",IFERROR(IF(SUMPRODUCT((ISNUMBER(A$2:A259))*(A$2:A259&gt;1000)*(MONTH(IF(ISNUMBER(A$2:A259),A$2:A259,1))=MONTH(A259))*(YEAR(IF(ISNUMBER(A$2:A259),A$2:A259,1))=YEAR(A259))*IF(ISNUMBER(K$2:K259),K$2:K259,0))=0,"",SUMPRODUCT((ISNUMBER(A$2:A259))*(A$2:A259&gt;1000)*(MONTH(IF(ISNUMBER(A$2:A259),A$2:A259,1))=MONTH(A259))*(YEAR(IF(ISNUMBER(A$2:A259),A$2:A259,1))=YEAR(A259))*IF(ISNUMBER(K$2:K259),K$2:K259,0))),""))</f>
        <v/>
      </c>
      <c r="M259" s="21" t="str">
        <f>IF(A259="","",IFERROR(IF(SUMIF(N$2:N259,"CASA",K$2:K259)=0,"",SUMIF(N$2:N259,"CASA",K$2:K259)),""))</f>
        <v/>
      </c>
      <c r="N259" s="17" t="str">
        <f>IF(J259="","",IF(J259=0.2,"CASA",IF(Dati!G259="","",Dati!G259)))</f>
        <v/>
      </c>
    </row>
    <row r="260" spans="1:14" ht="15" customHeight="1" x14ac:dyDescent="0.2">
      <c r="A260" s="23" t="str">
        <f>IF(Dati!A260="","",Dati!A260)</f>
        <v/>
      </c>
      <c r="B260" s="17" t="str">
        <f>IF(Dati!B260="","",Dati!B260)</f>
        <v/>
      </c>
      <c r="C260" s="17" t="str">
        <f>IF(B260="","",IF(ISNUMBER(B259),IF(B260-B259&lt;0,B260,IF(B260-B259=0,"",B260-B259)),B260))</f>
        <v/>
      </c>
      <c r="D260" s="18" t="str">
        <f>IF(Dati!C260="","",IF(Dati!C260&gt;1,Dati!C260/100,Dati!C260))</f>
        <v/>
      </c>
      <c r="E260" s="18" t="str">
        <f>IF(Dati!D260="","",IF(Dati!D260&gt;1,Dati!D260/100,Dati!D260))</f>
        <v/>
      </c>
      <c r="F260" s="18" t="str">
        <f>IF(OR(D260="",E260=""),"",IF(OR(D260&gt;1,E260&gt;1),(E260-D260)/100,E260-D260))</f>
        <v/>
      </c>
      <c r="G260" s="17" t="str">
        <f>IF(F260="","",IF(64*F260=0,"",64*F260))</f>
        <v/>
      </c>
      <c r="H260" s="19" t="str">
        <f>IF(Dati!E260="","",Dati!E260)</f>
        <v/>
      </c>
      <c r="I260" s="19" t="str">
        <f>IFERROR(IF(OR(C260="",C260=0),"",H260/C260*100),"")</f>
        <v/>
      </c>
      <c r="J260" s="20" t="str">
        <f>IF(Dati!F260="","",Dati!F260)</f>
        <v/>
      </c>
      <c r="K260" s="19" t="str">
        <f>IF(OR(H260="",J260=""),"",IF(H260*J260=0,"",H260*J260))</f>
        <v/>
      </c>
      <c r="L260" s="19" t="str">
        <f>IF(A260="","",IFERROR(IF(SUMPRODUCT((ISNUMBER(A$2:A260))*(A$2:A260&gt;1000)*(MONTH(IF(ISNUMBER(A$2:A260),A$2:A260,1))=MONTH(A260))*(YEAR(IF(ISNUMBER(A$2:A260),A$2:A260,1))=YEAR(A260))*IF(ISNUMBER(K$2:K260),K$2:K260,0))=0,"",SUMPRODUCT((ISNUMBER(A$2:A260))*(A$2:A260&gt;1000)*(MONTH(IF(ISNUMBER(A$2:A260),A$2:A260,1))=MONTH(A260))*(YEAR(IF(ISNUMBER(A$2:A260),A$2:A260,1))=YEAR(A260))*IF(ISNUMBER(K$2:K260),K$2:K260,0))),""))</f>
        <v/>
      </c>
      <c r="M260" s="21" t="str">
        <f>IF(A260="","",IFERROR(IF(SUMIF(N$2:N260,"CASA",K$2:K260)=0,"",SUMIF(N$2:N260,"CASA",K$2:K260)),""))</f>
        <v/>
      </c>
      <c r="N260" s="17" t="str">
        <f>IF(J260="","",IF(J260=0.2,"CASA",IF(Dati!G260="","",Dati!G260)))</f>
        <v/>
      </c>
    </row>
    <row r="261" spans="1:14" ht="15" customHeight="1" x14ac:dyDescent="0.2">
      <c r="A261" s="23" t="str">
        <f>IF(Dati!A261="","",Dati!A261)</f>
        <v/>
      </c>
      <c r="B261" s="17" t="str">
        <f>IF(Dati!B261="","",Dati!B261)</f>
        <v/>
      </c>
      <c r="C261" s="17" t="str">
        <f>IF(B261="","",IF(ISNUMBER(B260),IF(B261-B260&lt;0,B261,IF(B261-B260=0,"",B261-B260)),B261))</f>
        <v/>
      </c>
      <c r="D261" s="18" t="str">
        <f>IF(Dati!C261="","",IF(Dati!C261&gt;1,Dati!C261/100,Dati!C261))</f>
        <v/>
      </c>
      <c r="E261" s="18" t="str">
        <f>IF(Dati!D261="","",IF(Dati!D261&gt;1,Dati!D261/100,Dati!D261))</f>
        <v/>
      </c>
      <c r="F261" s="18" t="str">
        <f>IF(OR(D261="",E261=""),"",IF(OR(D261&gt;1,E261&gt;1),(E261-D261)/100,E261-D261))</f>
        <v/>
      </c>
      <c r="G261" s="17" t="str">
        <f>IF(F261="","",IF(64*F261=0,"",64*F261))</f>
        <v/>
      </c>
      <c r="H261" s="19" t="str">
        <f>IF(Dati!E261="","",Dati!E261)</f>
        <v/>
      </c>
      <c r="I261" s="19" t="str">
        <f>IFERROR(IF(OR(C261="",C261=0),"",H261/C261*100),"")</f>
        <v/>
      </c>
      <c r="J261" s="20" t="str">
        <f>IF(Dati!F261="","",Dati!F261)</f>
        <v/>
      </c>
      <c r="K261" s="19" t="str">
        <f>IF(OR(H261="",J261=""),"",IF(H261*J261=0,"",H261*J261))</f>
        <v/>
      </c>
      <c r="L261" s="19" t="str">
        <f>IF(A261="","",IFERROR(IF(SUMPRODUCT((ISNUMBER(A$2:A261))*(A$2:A261&gt;1000)*(MONTH(IF(ISNUMBER(A$2:A261),A$2:A261,1))=MONTH(A261))*(YEAR(IF(ISNUMBER(A$2:A261),A$2:A261,1))=YEAR(A261))*IF(ISNUMBER(K$2:K261),K$2:K261,0))=0,"",SUMPRODUCT((ISNUMBER(A$2:A261))*(A$2:A261&gt;1000)*(MONTH(IF(ISNUMBER(A$2:A261),A$2:A261,1))=MONTH(A261))*(YEAR(IF(ISNUMBER(A$2:A261),A$2:A261,1))=YEAR(A261))*IF(ISNUMBER(K$2:K261),K$2:K261,0))),""))</f>
        <v/>
      </c>
      <c r="M261" s="21" t="str">
        <f>IF(A261="","",IFERROR(IF(SUMIF(N$2:N261,"CASA",K$2:K261)=0,"",SUMIF(N$2:N261,"CASA",K$2:K261)),""))</f>
        <v/>
      </c>
      <c r="N261" s="17" t="str">
        <f>IF(J261="","",IF(J261=0.2,"CASA",IF(Dati!G261="","",Dati!G261)))</f>
        <v/>
      </c>
    </row>
    <row r="262" spans="1:14" ht="15" customHeight="1" x14ac:dyDescent="0.2">
      <c r="A262" s="23" t="str">
        <f>IF(Dati!A262="","",Dati!A262)</f>
        <v/>
      </c>
      <c r="B262" s="17" t="str">
        <f>IF(Dati!B262="","",Dati!B262)</f>
        <v/>
      </c>
      <c r="C262" s="17" t="str">
        <f>IF(B262="","",IF(ISNUMBER(B261),IF(B262-B261&lt;0,B262,IF(B262-B261=0,"",B262-B261)),B262))</f>
        <v/>
      </c>
      <c r="D262" s="18" t="str">
        <f>IF(Dati!C262="","",IF(Dati!C262&gt;1,Dati!C262/100,Dati!C262))</f>
        <v/>
      </c>
      <c r="E262" s="18" t="str">
        <f>IF(Dati!D262="","",IF(Dati!D262&gt;1,Dati!D262/100,Dati!D262))</f>
        <v/>
      </c>
      <c r="F262" s="18" t="str">
        <f>IF(OR(D262="",E262=""),"",IF(OR(D262&gt;1,E262&gt;1),(E262-D262)/100,E262-D262))</f>
        <v/>
      </c>
      <c r="G262" s="17" t="str">
        <f>IF(F262="","",IF(64*F262=0,"",64*F262))</f>
        <v/>
      </c>
      <c r="H262" s="19" t="str">
        <f>IF(Dati!E262="","",Dati!E262)</f>
        <v/>
      </c>
      <c r="I262" s="19" t="str">
        <f>IFERROR(IF(OR(C262="",C262=0),"",H262/C262*100),"")</f>
        <v/>
      </c>
      <c r="J262" s="20" t="str">
        <f>IF(Dati!F262="","",Dati!F262)</f>
        <v/>
      </c>
      <c r="K262" s="19" t="str">
        <f>IF(OR(H262="",J262=""),"",IF(H262*J262=0,"",H262*J262))</f>
        <v/>
      </c>
      <c r="L262" s="19" t="str">
        <f>IF(A262="","",IFERROR(IF(SUMPRODUCT((ISNUMBER(A$2:A262))*(A$2:A262&gt;1000)*(MONTH(IF(ISNUMBER(A$2:A262),A$2:A262,1))=MONTH(A262))*(YEAR(IF(ISNUMBER(A$2:A262),A$2:A262,1))=YEAR(A262))*IF(ISNUMBER(K$2:K262),K$2:K262,0))=0,"",SUMPRODUCT((ISNUMBER(A$2:A262))*(A$2:A262&gt;1000)*(MONTH(IF(ISNUMBER(A$2:A262),A$2:A262,1))=MONTH(A262))*(YEAR(IF(ISNUMBER(A$2:A262),A$2:A262,1))=YEAR(A262))*IF(ISNUMBER(K$2:K262),K$2:K262,0))),""))</f>
        <v/>
      </c>
      <c r="M262" s="21" t="str">
        <f>IF(A262="","",IFERROR(IF(SUMIF(N$2:N262,"CASA",K$2:K262)=0,"",SUMIF(N$2:N262,"CASA",K$2:K262)),""))</f>
        <v/>
      </c>
      <c r="N262" s="17" t="str">
        <f>IF(J262="","",IF(J262=0.2,"CASA",IF(Dati!G262="","",Dati!G262)))</f>
        <v/>
      </c>
    </row>
    <row r="263" spans="1:14" ht="15" customHeight="1" x14ac:dyDescent="0.2">
      <c r="A263" s="23" t="str">
        <f>IF(Dati!A263="","",Dati!A263)</f>
        <v/>
      </c>
      <c r="B263" s="17" t="str">
        <f>IF(Dati!B263="","",Dati!B263)</f>
        <v/>
      </c>
      <c r="C263" s="17" t="str">
        <f>IF(B263="","",IF(ISNUMBER(B262),IF(B263-B262&lt;0,B263,IF(B263-B262=0,"",B263-B262)),B263))</f>
        <v/>
      </c>
      <c r="D263" s="18" t="str">
        <f>IF(Dati!C263="","",IF(Dati!C263&gt;1,Dati!C263/100,Dati!C263))</f>
        <v/>
      </c>
      <c r="E263" s="18" t="str">
        <f>IF(Dati!D263="","",IF(Dati!D263&gt;1,Dati!D263/100,Dati!D263))</f>
        <v/>
      </c>
      <c r="F263" s="18" t="str">
        <f>IF(OR(D263="",E263=""),"",IF(OR(D263&gt;1,E263&gt;1),(E263-D263)/100,E263-D263))</f>
        <v/>
      </c>
      <c r="G263" s="17" t="str">
        <f>IF(F263="","",IF(64*F263=0,"",64*F263))</f>
        <v/>
      </c>
      <c r="H263" s="19" t="str">
        <f>IF(Dati!E263="","",Dati!E263)</f>
        <v/>
      </c>
      <c r="I263" s="19" t="str">
        <f>IFERROR(IF(OR(C263="",C263=0),"",H263/C263*100),"")</f>
        <v/>
      </c>
      <c r="J263" s="20" t="str">
        <f>IF(Dati!F263="","",Dati!F263)</f>
        <v/>
      </c>
      <c r="K263" s="19" t="str">
        <f>IF(OR(H263="",J263=""),"",IF(H263*J263=0,"",H263*J263))</f>
        <v/>
      </c>
      <c r="L263" s="19" t="str">
        <f>IF(A263="","",IFERROR(IF(SUMPRODUCT((ISNUMBER(A$2:A263))*(A$2:A263&gt;1000)*(MONTH(IF(ISNUMBER(A$2:A263),A$2:A263,1))=MONTH(A263))*(YEAR(IF(ISNUMBER(A$2:A263),A$2:A263,1))=YEAR(A263))*IF(ISNUMBER(K$2:K263),K$2:K263,0))=0,"",SUMPRODUCT((ISNUMBER(A$2:A263))*(A$2:A263&gt;1000)*(MONTH(IF(ISNUMBER(A$2:A263),A$2:A263,1))=MONTH(A263))*(YEAR(IF(ISNUMBER(A$2:A263),A$2:A263,1))=YEAR(A263))*IF(ISNUMBER(K$2:K263),K$2:K263,0))),""))</f>
        <v/>
      </c>
      <c r="M263" s="21" t="str">
        <f>IF(A263="","",IFERROR(IF(SUMIF(N$2:N263,"CASA",K$2:K263)=0,"",SUMIF(N$2:N263,"CASA",K$2:K263)),""))</f>
        <v/>
      </c>
      <c r="N263" s="17" t="str">
        <f>IF(J263="","",IF(J263=0.2,"CASA",IF(Dati!G263="","",Dati!G263)))</f>
        <v/>
      </c>
    </row>
    <row r="264" spans="1:14" ht="15" customHeight="1" x14ac:dyDescent="0.2">
      <c r="A264" s="23" t="str">
        <f>IF(Dati!A264="","",Dati!A264)</f>
        <v/>
      </c>
      <c r="B264" s="17" t="str">
        <f>IF(Dati!B264="","",Dati!B264)</f>
        <v/>
      </c>
      <c r="C264" s="17" t="str">
        <f>IF(B264="","",IF(ISNUMBER(B263),IF(B264-B263&lt;0,B264,IF(B264-B263=0,"",B264-B263)),B264))</f>
        <v/>
      </c>
      <c r="D264" s="18" t="str">
        <f>IF(Dati!C264="","",IF(Dati!C264&gt;1,Dati!C264/100,Dati!C264))</f>
        <v/>
      </c>
      <c r="E264" s="18" t="str">
        <f>IF(Dati!D264="","",IF(Dati!D264&gt;1,Dati!D264/100,Dati!D264))</f>
        <v/>
      </c>
      <c r="F264" s="18" t="str">
        <f>IF(OR(D264="",E264=""),"",IF(OR(D264&gt;1,E264&gt;1),(E264-D264)/100,E264-D264))</f>
        <v/>
      </c>
      <c r="G264" s="17" t="str">
        <f>IF(F264="","",IF(64*F264=0,"",64*F264))</f>
        <v/>
      </c>
      <c r="H264" s="19" t="str">
        <f>IF(Dati!E264="","",Dati!E264)</f>
        <v/>
      </c>
      <c r="I264" s="19" t="str">
        <f>IFERROR(IF(OR(C264="",C264=0),"",H264/C264*100),"")</f>
        <v/>
      </c>
      <c r="J264" s="20" t="str">
        <f>IF(Dati!F264="","",Dati!F264)</f>
        <v/>
      </c>
      <c r="K264" s="19" t="str">
        <f>IF(OR(H264="",J264=""),"",IF(H264*J264=0,"",H264*J264))</f>
        <v/>
      </c>
      <c r="L264" s="19" t="str">
        <f>IF(A264="","",IFERROR(IF(SUMPRODUCT((ISNUMBER(A$2:A264))*(A$2:A264&gt;1000)*(MONTH(IF(ISNUMBER(A$2:A264),A$2:A264,1))=MONTH(A264))*(YEAR(IF(ISNUMBER(A$2:A264),A$2:A264,1))=YEAR(A264))*IF(ISNUMBER(K$2:K264),K$2:K264,0))=0,"",SUMPRODUCT((ISNUMBER(A$2:A264))*(A$2:A264&gt;1000)*(MONTH(IF(ISNUMBER(A$2:A264),A$2:A264,1))=MONTH(A264))*(YEAR(IF(ISNUMBER(A$2:A264),A$2:A264,1))=YEAR(A264))*IF(ISNUMBER(K$2:K264),K$2:K264,0))),""))</f>
        <v/>
      </c>
      <c r="M264" s="21" t="str">
        <f>IF(A264="","",IFERROR(IF(SUMIF(N$2:N264,"CASA",K$2:K264)=0,"",SUMIF(N$2:N264,"CASA",K$2:K264)),""))</f>
        <v/>
      </c>
      <c r="N264" s="17" t="str">
        <f>IF(J264="","",IF(J264=0.2,"CASA",IF(Dati!G264="","",Dati!G264)))</f>
        <v/>
      </c>
    </row>
    <row r="265" spans="1:14" ht="15" customHeight="1" x14ac:dyDescent="0.2">
      <c r="A265" s="23" t="str">
        <f>IF(Dati!A265="","",Dati!A265)</f>
        <v/>
      </c>
      <c r="B265" s="17" t="str">
        <f>IF(Dati!B265="","",Dati!B265)</f>
        <v/>
      </c>
      <c r="C265" s="17" t="str">
        <f>IF(B265="","",IF(ISNUMBER(B264),IF(B265-B264&lt;0,B265,IF(B265-B264=0,"",B265-B264)),B265))</f>
        <v/>
      </c>
      <c r="D265" s="18" t="str">
        <f>IF(Dati!C265="","",IF(Dati!C265&gt;1,Dati!C265/100,Dati!C265))</f>
        <v/>
      </c>
      <c r="E265" s="18" t="str">
        <f>IF(Dati!D265="","",IF(Dati!D265&gt;1,Dati!D265/100,Dati!D265))</f>
        <v/>
      </c>
      <c r="F265" s="18" t="str">
        <f>IF(OR(D265="",E265=""),"",IF(OR(D265&gt;1,E265&gt;1),(E265-D265)/100,E265-D265))</f>
        <v/>
      </c>
      <c r="G265" s="17" t="str">
        <f>IF(F265="","",IF(64*F265=0,"",64*F265))</f>
        <v/>
      </c>
      <c r="H265" s="19" t="str">
        <f>IF(Dati!E265="","",Dati!E265)</f>
        <v/>
      </c>
      <c r="I265" s="19" t="str">
        <f>IFERROR(IF(OR(C265="",C265=0),"",H265/C265*100),"")</f>
        <v/>
      </c>
      <c r="J265" s="20" t="str">
        <f>IF(Dati!F265="","",Dati!F265)</f>
        <v/>
      </c>
      <c r="K265" s="19" t="str">
        <f>IF(OR(H265="",J265=""),"",IF(H265*J265=0,"",H265*J265))</f>
        <v/>
      </c>
      <c r="L265" s="19" t="str">
        <f>IF(A265="","",IFERROR(IF(SUMPRODUCT((ISNUMBER(A$2:A265))*(A$2:A265&gt;1000)*(MONTH(IF(ISNUMBER(A$2:A265),A$2:A265,1))=MONTH(A265))*(YEAR(IF(ISNUMBER(A$2:A265),A$2:A265,1))=YEAR(A265))*IF(ISNUMBER(K$2:K265),K$2:K265,0))=0,"",SUMPRODUCT((ISNUMBER(A$2:A265))*(A$2:A265&gt;1000)*(MONTH(IF(ISNUMBER(A$2:A265),A$2:A265,1))=MONTH(A265))*(YEAR(IF(ISNUMBER(A$2:A265),A$2:A265,1))=YEAR(A265))*IF(ISNUMBER(K$2:K265),K$2:K265,0))),""))</f>
        <v/>
      </c>
      <c r="M265" s="21" t="str">
        <f>IF(A265="","",IFERROR(IF(SUMIF(N$2:N265,"CASA",K$2:K265)=0,"",SUMIF(N$2:N265,"CASA",K$2:K265)),""))</f>
        <v/>
      </c>
      <c r="N265" s="17" t="str">
        <f>IF(J265="","",IF(J265=0.2,"CASA",IF(Dati!G265="","",Dati!G265)))</f>
        <v/>
      </c>
    </row>
    <row r="266" spans="1:14" ht="15" customHeight="1" x14ac:dyDescent="0.2">
      <c r="A266" s="23" t="str">
        <f>IF(Dati!A266="","",Dati!A266)</f>
        <v/>
      </c>
      <c r="B266" s="17" t="str">
        <f>IF(Dati!B266="","",Dati!B266)</f>
        <v/>
      </c>
      <c r="C266" s="17" t="str">
        <f>IF(B266="","",IF(ISNUMBER(B265),IF(B266-B265&lt;0,B266,IF(B266-B265=0,"",B266-B265)),B266))</f>
        <v/>
      </c>
      <c r="D266" s="18" t="str">
        <f>IF(Dati!C266="","",IF(Dati!C266&gt;1,Dati!C266/100,Dati!C266))</f>
        <v/>
      </c>
      <c r="E266" s="18" t="str">
        <f>IF(Dati!D266="","",IF(Dati!D266&gt;1,Dati!D266/100,Dati!D266))</f>
        <v/>
      </c>
      <c r="F266" s="18" t="str">
        <f>IF(OR(D266="",E266=""),"",IF(OR(D266&gt;1,E266&gt;1),(E266-D266)/100,E266-D266))</f>
        <v/>
      </c>
      <c r="G266" s="17" t="str">
        <f>IF(F266="","",IF(64*F266=0,"",64*F266))</f>
        <v/>
      </c>
      <c r="H266" s="19" t="str">
        <f>IF(Dati!E266="","",Dati!E266)</f>
        <v/>
      </c>
      <c r="I266" s="19" t="str">
        <f>IFERROR(IF(OR(C266="",C266=0),"",H266/C266*100),"")</f>
        <v/>
      </c>
      <c r="J266" s="20" t="str">
        <f>IF(Dati!F266="","",Dati!F266)</f>
        <v/>
      </c>
      <c r="K266" s="19" t="str">
        <f>IF(OR(H266="",J266=""),"",IF(H266*J266=0,"",H266*J266))</f>
        <v/>
      </c>
      <c r="L266" s="19" t="str">
        <f>IF(A266="","",IFERROR(IF(SUMPRODUCT((ISNUMBER(A$2:A266))*(A$2:A266&gt;1000)*(MONTH(IF(ISNUMBER(A$2:A266),A$2:A266,1))=MONTH(A266))*(YEAR(IF(ISNUMBER(A$2:A266),A$2:A266,1))=YEAR(A266))*IF(ISNUMBER(K$2:K266),K$2:K266,0))=0,"",SUMPRODUCT((ISNUMBER(A$2:A266))*(A$2:A266&gt;1000)*(MONTH(IF(ISNUMBER(A$2:A266),A$2:A266,1))=MONTH(A266))*(YEAR(IF(ISNUMBER(A$2:A266),A$2:A266,1))=YEAR(A266))*IF(ISNUMBER(K$2:K266),K$2:K266,0))),""))</f>
        <v/>
      </c>
      <c r="M266" s="21" t="str">
        <f>IF(A266="","",IFERROR(IF(SUMIF(N$2:N266,"CASA",K$2:K266)=0,"",SUMIF(N$2:N266,"CASA",K$2:K266)),""))</f>
        <v/>
      </c>
      <c r="N266" s="17" t="str">
        <f>IF(J266="","",IF(J266=0.2,"CASA",IF(Dati!G266="","",Dati!G266)))</f>
        <v/>
      </c>
    </row>
    <row r="267" spans="1:14" ht="15" customHeight="1" x14ac:dyDescent="0.2">
      <c r="A267" s="23" t="str">
        <f>IF(Dati!A267="","",Dati!A267)</f>
        <v/>
      </c>
      <c r="B267" s="17" t="str">
        <f>IF(Dati!B267="","",Dati!B267)</f>
        <v/>
      </c>
      <c r="C267" s="17" t="str">
        <f>IF(B267="","",IF(ISNUMBER(B266),IF(B267-B266&lt;0,B267,IF(B267-B266=0,"",B267-B266)),B267))</f>
        <v/>
      </c>
      <c r="D267" s="18" t="str">
        <f>IF(Dati!C267="","",IF(Dati!C267&gt;1,Dati!C267/100,Dati!C267))</f>
        <v/>
      </c>
      <c r="E267" s="18" t="str">
        <f>IF(Dati!D267="","",IF(Dati!D267&gt;1,Dati!D267/100,Dati!D267))</f>
        <v/>
      </c>
      <c r="F267" s="18" t="str">
        <f>IF(OR(D267="",E267=""),"",IF(OR(D267&gt;1,E267&gt;1),(E267-D267)/100,E267-D267))</f>
        <v/>
      </c>
      <c r="G267" s="17" t="str">
        <f>IF(F267="","",IF(64*F267=0,"",64*F267))</f>
        <v/>
      </c>
      <c r="H267" s="19" t="str">
        <f>IF(Dati!E267="","",Dati!E267)</f>
        <v/>
      </c>
      <c r="I267" s="19" t="str">
        <f>IFERROR(IF(OR(C267="",C267=0),"",H267/C267*100),"")</f>
        <v/>
      </c>
      <c r="J267" s="20" t="str">
        <f>IF(Dati!F267="","",Dati!F267)</f>
        <v/>
      </c>
      <c r="K267" s="19" t="str">
        <f>IF(OR(H267="",J267=""),"",IF(H267*J267=0,"",H267*J267))</f>
        <v/>
      </c>
      <c r="L267" s="19" t="str">
        <f>IF(A267="","",IFERROR(IF(SUMPRODUCT((ISNUMBER(A$2:A267))*(A$2:A267&gt;1000)*(MONTH(IF(ISNUMBER(A$2:A267),A$2:A267,1))=MONTH(A267))*(YEAR(IF(ISNUMBER(A$2:A267),A$2:A267,1))=YEAR(A267))*IF(ISNUMBER(K$2:K267),K$2:K267,0))=0,"",SUMPRODUCT((ISNUMBER(A$2:A267))*(A$2:A267&gt;1000)*(MONTH(IF(ISNUMBER(A$2:A267),A$2:A267,1))=MONTH(A267))*(YEAR(IF(ISNUMBER(A$2:A267),A$2:A267,1))=YEAR(A267))*IF(ISNUMBER(K$2:K267),K$2:K267,0))),""))</f>
        <v/>
      </c>
      <c r="M267" s="21" t="str">
        <f>IF(A267="","",IFERROR(IF(SUMIF(N$2:N267,"CASA",K$2:K267)=0,"",SUMIF(N$2:N267,"CASA",K$2:K267)),""))</f>
        <v/>
      </c>
      <c r="N267" s="17" t="str">
        <f>IF(J267="","",IF(J267=0.2,"CASA",IF(Dati!G267="","",Dati!G267)))</f>
        <v/>
      </c>
    </row>
    <row r="268" spans="1:14" ht="15" customHeight="1" x14ac:dyDescent="0.2">
      <c r="A268" s="23" t="str">
        <f>IF(Dati!A268="","",Dati!A268)</f>
        <v/>
      </c>
      <c r="B268" s="17" t="str">
        <f>IF(Dati!B268="","",Dati!B268)</f>
        <v/>
      </c>
      <c r="C268" s="17" t="str">
        <f>IF(B268="","",IF(ISNUMBER(B267),IF(B268-B267&lt;0,B268,IF(B268-B267=0,"",B268-B267)),B268))</f>
        <v/>
      </c>
      <c r="D268" s="18" t="str">
        <f>IF(Dati!C268="","",IF(Dati!C268&gt;1,Dati!C268/100,Dati!C268))</f>
        <v/>
      </c>
      <c r="E268" s="18" t="str">
        <f>IF(Dati!D268="","",IF(Dati!D268&gt;1,Dati!D268/100,Dati!D268))</f>
        <v/>
      </c>
      <c r="F268" s="18" t="str">
        <f>IF(OR(D268="",E268=""),"",IF(OR(D268&gt;1,E268&gt;1),(E268-D268)/100,E268-D268))</f>
        <v/>
      </c>
      <c r="G268" s="17" t="str">
        <f>IF(F268="","",IF(64*F268=0,"",64*F268))</f>
        <v/>
      </c>
      <c r="H268" s="19" t="str">
        <f>IF(Dati!E268="","",Dati!E268)</f>
        <v/>
      </c>
      <c r="I268" s="19" t="str">
        <f>IFERROR(IF(OR(C268="",C268=0),"",H268/C268*100),"")</f>
        <v/>
      </c>
      <c r="J268" s="20" t="str">
        <f>IF(Dati!F268="","",Dati!F268)</f>
        <v/>
      </c>
      <c r="K268" s="19" t="str">
        <f>IF(OR(H268="",J268=""),"",IF(H268*J268=0,"",H268*J268))</f>
        <v/>
      </c>
      <c r="L268" s="19" t="str">
        <f>IF(A268="","",IFERROR(IF(SUMPRODUCT((ISNUMBER(A$2:A268))*(A$2:A268&gt;1000)*(MONTH(IF(ISNUMBER(A$2:A268),A$2:A268,1))=MONTH(A268))*(YEAR(IF(ISNUMBER(A$2:A268),A$2:A268,1))=YEAR(A268))*IF(ISNUMBER(K$2:K268),K$2:K268,0))=0,"",SUMPRODUCT((ISNUMBER(A$2:A268))*(A$2:A268&gt;1000)*(MONTH(IF(ISNUMBER(A$2:A268),A$2:A268,1))=MONTH(A268))*(YEAR(IF(ISNUMBER(A$2:A268),A$2:A268,1))=YEAR(A268))*IF(ISNUMBER(K$2:K268),K$2:K268,0))),""))</f>
        <v/>
      </c>
      <c r="M268" s="21" t="str">
        <f>IF(A268="","",IFERROR(IF(SUMIF(N$2:N268,"CASA",K$2:K268)=0,"",SUMIF(N$2:N268,"CASA",K$2:K268)),""))</f>
        <v/>
      </c>
      <c r="N268" s="17" t="str">
        <f>IF(J268="","",IF(J268=0.2,"CASA",IF(Dati!G268="","",Dati!G268)))</f>
        <v/>
      </c>
    </row>
    <row r="269" spans="1:14" ht="15" customHeight="1" x14ac:dyDescent="0.2">
      <c r="A269" s="23" t="str">
        <f>IF(Dati!A269="","",Dati!A269)</f>
        <v/>
      </c>
      <c r="B269" s="17" t="str">
        <f>IF(Dati!B269="","",Dati!B269)</f>
        <v/>
      </c>
      <c r="C269" s="17" t="str">
        <f>IF(B269="","",IF(ISNUMBER(B268),IF(B269-B268&lt;0,B269,IF(B269-B268=0,"",B269-B268)),B269))</f>
        <v/>
      </c>
      <c r="D269" s="18" t="str">
        <f>IF(Dati!C269="","",IF(Dati!C269&gt;1,Dati!C269/100,Dati!C269))</f>
        <v/>
      </c>
      <c r="E269" s="18" t="str">
        <f>IF(Dati!D269="","",IF(Dati!D269&gt;1,Dati!D269/100,Dati!D269))</f>
        <v/>
      </c>
      <c r="F269" s="18" t="str">
        <f>IF(OR(D269="",E269=""),"",IF(OR(D269&gt;1,E269&gt;1),(E269-D269)/100,E269-D269))</f>
        <v/>
      </c>
      <c r="G269" s="17" t="str">
        <f>IF(F269="","",IF(64*F269=0,"",64*F269))</f>
        <v/>
      </c>
      <c r="H269" s="19" t="str">
        <f>IF(Dati!E269="","",Dati!E269)</f>
        <v/>
      </c>
      <c r="I269" s="19" t="str">
        <f>IFERROR(IF(OR(C269="",C269=0),"",H269/C269*100),"")</f>
        <v/>
      </c>
      <c r="J269" s="20" t="str">
        <f>IF(Dati!F269="","",Dati!F269)</f>
        <v/>
      </c>
      <c r="K269" s="19" t="str">
        <f>IF(OR(H269="",J269=""),"",IF(H269*J269=0,"",H269*J269))</f>
        <v/>
      </c>
      <c r="L269" s="19" t="str">
        <f>IF(A269="","",IFERROR(IF(SUMPRODUCT((ISNUMBER(A$2:A269))*(A$2:A269&gt;1000)*(MONTH(IF(ISNUMBER(A$2:A269),A$2:A269,1))=MONTH(A269))*(YEAR(IF(ISNUMBER(A$2:A269),A$2:A269,1))=YEAR(A269))*IF(ISNUMBER(K$2:K269),K$2:K269,0))=0,"",SUMPRODUCT((ISNUMBER(A$2:A269))*(A$2:A269&gt;1000)*(MONTH(IF(ISNUMBER(A$2:A269),A$2:A269,1))=MONTH(A269))*(YEAR(IF(ISNUMBER(A$2:A269),A$2:A269,1))=YEAR(A269))*IF(ISNUMBER(K$2:K269),K$2:K269,0))),""))</f>
        <v/>
      </c>
      <c r="M269" s="21" t="str">
        <f>IF(A269="","",IFERROR(IF(SUMIF(N$2:N269,"CASA",K$2:K269)=0,"",SUMIF(N$2:N269,"CASA",K$2:K269)),""))</f>
        <v/>
      </c>
      <c r="N269" s="17" t="str">
        <f>IF(J269="","",IF(J269=0.2,"CASA",IF(Dati!G269="","",Dati!G269)))</f>
        <v/>
      </c>
    </row>
    <row r="270" spans="1:14" ht="15" customHeight="1" x14ac:dyDescent="0.2">
      <c r="A270" s="23" t="str">
        <f>IF(Dati!A270="","",Dati!A270)</f>
        <v/>
      </c>
      <c r="B270" s="17" t="str">
        <f>IF(Dati!B270="","",Dati!B270)</f>
        <v/>
      </c>
      <c r="C270" s="17" t="str">
        <f>IF(B270="","",IF(ISNUMBER(B269),IF(B270-B269&lt;0,B270,IF(B270-B269=0,"",B270-B269)),B270))</f>
        <v/>
      </c>
      <c r="D270" s="18" t="str">
        <f>IF(Dati!C270="","",IF(Dati!C270&gt;1,Dati!C270/100,Dati!C270))</f>
        <v/>
      </c>
      <c r="E270" s="18" t="str">
        <f>IF(Dati!D270="","",IF(Dati!D270&gt;1,Dati!D270/100,Dati!D270))</f>
        <v/>
      </c>
      <c r="F270" s="18" t="str">
        <f>IF(OR(D270="",E270=""),"",IF(OR(D270&gt;1,E270&gt;1),(E270-D270)/100,E270-D270))</f>
        <v/>
      </c>
      <c r="G270" s="17" t="str">
        <f>IF(F270="","",IF(64*F270=0,"",64*F270))</f>
        <v/>
      </c>
      <c r="H270" s="19" t="str">
        <f>IF(Dati!E270="","",Dati!E270)</f>
        <v/>
      </c>
      <c r="I270" s="19" t="str">
        <f>IFERROR(IF(OR(C270="",C270=0),"",H270/C270*100),"")</f>
        <v/>
      </c>
      <c r="J270" s="20" t="str">
        <f>IF(Dati!F270="","",Dati!F270)</f>
        <v/>
      </c>
      <c r="K270" s="19" t="str">
        <f>IF(OR(H270="",J270=""),"",IF(H270*J270=0,"",H270*J270))</f>
        <v/>
      </c>
      <c r="L270" s="19" t="str">
        <f>IF(A270="","",IFERROR(IF(SUMPRODUCT((ISNUMBER(A$2:A270))*(A$2:A270&gt;1000)*(MONTH(IF(ISNUMBER(A$2:A270),A$2:A270,1))=MONTH(A270))*(YEAR(IF(ISNUMBER(A$2:A270),A$2:A270,1))=YEAR(A270))*IF(ISNUMBER(K$2:K270),K$2:K270,0))=0,"",SUMPRODUCT((ISNUMBER(A$2:A270))*(A$2:A270&gt;1000)*(MONTH(IF(ISNUMBER(A$2:A270),A$2:A270,1))=MONTH(A270))*(YEAR(IF(ISNUMBER(A$2:A270),A$2:A270,1))=YEAR(A270))*IF(ISNUMBER(K$2:K270),K$2:K270,0))),""))</f>
        <v/>
      </c>
      <c r="M270" s="21" t="str">
        <f>IF(A270="","",IFERROR(IF(SUMIF(N$2:N270,"CASA",K$2:K270)=0,"",SUMIF(N$2:N270,"CASA",K$2:K270)),""))</f>
        <v/>
      </c>
      <c r="N270" s="17" t="str">
        <f>IF(J270="","",IF(J270=0.2,"CASA",IF(Dati!G270="","",Dati!G270)))</f>
        <v/>
      </c>
    </row>
    <row r="271" spans="1:14" ht="15" customHeight="1" x14ac:dyDescent="0.2">
      <c r="A271" s="23" t="str">
        <f>IF(Dati!A271="","",Dati!A271)</f>
        <v/>
      </c>
      <c r="B271" s="17" t="str">
        <f>IF(Dati!B271="","",Dati!B271)</f>
        <v/>
      </c>
      <c r="C271" s="17" t="str">
        <f>IF(B271="","",IF(ISNUMBER(B270),IF(B271-B270&lt;0,B271,IF(B271-B270=0,"",B271-B270)),B271))</f>
        <v/>
      </c>
      <c r="D271" s="18" t="str">
        <f>IF(Dati!C271="","",IF(Dati!C271&gt;1,Dati!C271/100,Dati!C271))</f>
        <v/>
      </c>
      <c r="E271" s="18" t="str">
        <f>IF(Dati!D271="","",IF(Dati!D271&gt;1,Dati!D271/100,Dati!D271))</f>
        <v/>
      </c>
      <c r="F271" s="18" t="str">
        <f>IF(OR(D271="",E271=""),"",IF(OR(D271&gt;1,E271&gt;1),(E271-D271)/100,E271-D271))</f>
        <v/>
      </c>
      <c r="G271" s="17" t="str">
        <f>IF(F271="","",IF(64*F271=0,"",64*F271))</f>
        <v/>
      </c>
      <c r="H271" s="19" t="str">
        <f>IF(Dati!E271="","",Dati!E271)</f>
        <v/>
      </c>
      <c r="I271" s="19" t="str">
        <f>IFERROR(IF(OR(C271="",C271=0),"",H271/C271*100),"")</f>
        <v/>
      </c>
      <c r="J271" s="20" t="str">
        <f>IF(Dati!F271="","",Dati!F271)</f>
        <v/>
      </c>
      <c r="K271" s="19" t="str">
        <f>IF(OR(H271="",J271=""),"",IF(H271*J271=0,"",H271*J271))</f>
        <v/>
      </c>
      <c r="L271" s="19" t="str">
        <f>IF(A271="","",IFERROR(IF(SUMPRODUCT((ISNUMBER(A$2:A271))*(A$2:A271&gt;1000)*(MONTH(IF(ISNUMBER(A$2:A271),A$2:A271,1))=MONTH(A271))*(YEAR(IF(ISNUMBER(A$2:A271),A$2:A271,1))=YEAR(A271))*IF(ISNUMBER(K$2:K271),K$2:K271,0))=0,"",SUMPRODUCT((ISNUMBER(A$2:A271))*(A$2:A271&gt;1000)*(MONTH(IF(ISNUMBER(A$2:A271),A$2:A271,1))=MONTH(A271))*(YEAR(IF(ISNUMBER(A$2:A271),A$2:A271,1))=YEAR(A271))*IF(ISNUMBER(K$2:K271),K$2:K271,0))),""))</f>
        <v/>
      </c>
      <c r="M271" s="21" t="str">
        <f>IF(A271="","",IFERROR(IF(SUMIF(N$2:N271,"CASA",K$2:K271)=0,"",SUMIF(N$2:N271,"CASA",K$2:K271)),""))</f>
        <v/>
      </c>
      <c r="N271" s="17" t="str">
        <f>IF(J271="","",IF(J271=0.2,"CASA",IF(Dati!G271="","",Dati!G271)))</f>
        <v/>
      </c>
    </row>
    <row r="272" spans="1:14" ht="15" customHeight="1" x14ac:dyDescent="0.2">
      <c r="A272" s="23" t="str">
        <f>IF(Dati!A272="","",Dati!A272)</f>
        <v/>
      </c>
      <c r="B272" s="17" t="str">
        <f>IF(Dati!B272="","",Dati!B272)</f>
        <v/>
      </c>
      <c r="C272" s="17" t="str">
        <f>IF(B272="","",IF(ISNUMBER(B271),IF(B272-B271&lt;0,B272,IF(B272-B271=0,"",B272-B271)),B272))</f>
        <v/>
      </c>
      <c r="D272" s="18" t="str">
        <f>IF(Dati!C272="","",IF(Dati!C272&gt;1,Dati!C272/100,Dati!C272))</f>
        <v/>
      </c>
      <c r="E272" s="18" t="str">
        <f>IF(Dati!D272="","",IF(Dati!D272&gt;1,Dati!D272/100,Dati!D272))</f>
        <v/>
      </c>
      <c r="F272" s="18" t="str">
        <f>IF(OR(D272="",E272=""),"",IF(OR(D272&gt;1,E272&gt;1),(E272-D272)/100,E272-D272))</f>
        <v/>
      </c>
      <c r="G272" s="17" t="str">
        <f>IF(F272="","",IF(64*F272=0,"",64*F272))</f>
        <v/>
      </c>
      <c r="H272" s="19" t="str">
        <f>IF(Dati!E272="","",Dati!E272)</f>
        <v/>
      </c>
      <c r="I272" s="19" t="str">
        <f>IFERROR(IF(OR(C272="",C272=0),"",H272/C272*100),"")</f>
        <v/>
      </c>
      <c r="J272" s="20" t="str">
        <f>IF(Dati!F272="","",Dati!F272)</f>
        <v/>
      </c>
      <c r="K272" s="19" t="str">
        <f>IF(OR(H272="",J272=""),"",IF(H272*J272=0,"",H272*J272))</f>
        <v/>
      </c>
      <c r="L272" s="19" t="str">
        <f>IF(A272="","",IFERROR(IF(SUMPRODUCT((ISNUMBER(A$2:A272))*(A$2:A272&gt;1000)*(MONTH(IF(ISNUMBER(A$2:A272),A$2:A272,1))=MONTH(A272))*(YEAR(IF(ISNUMBER(A$2:A272),A$2:A272,1))=YEAR(A272))*IF(ISNUMBER(K$2:K272),K$2:K272,0))=0,"",SUMPRODUCT((ISNUMBER(A$2:A272))*(A$2:A272&gt;1000)*(MONTH(IF(ISNUMBER(A$2:A272),A$2:A272,1))=MONTH(A272))*(YEAR(IF(ISNUMBER(A$2:A272),A$2:A272,1))=YEAR(A272))*IF(ISNUMBER(K$2:K272),K$2:K272,0))),""))</f>
        <v/>
      </c>
      <c r="M272" s="21" t="str">
        <f>IF(A272="","",IFERROR(IF(SUMIF(N$2:N272,"CASA",K$2:K272)=0,"",SUMIF(N$2:N272,"CASA",K$2:K272)),""))</f>
        <v/>
      </c>
      <c r="N272" s="17" t="str">
        <f>IF(J272="","",IF(J272=0.2,"CASA",IF(Dati!G272="","",Dati!G272)))</f>
        <v/>
      </c>
    </row>
    <row r="273" spans="1:14" ht="15" customHeight="1" x14ac:dyDescent="0.2">
      <c r="A273" s="23" t="str">
        <f>IF(Dati!A273="","",Dati!A273)</f>
        <v/>
      </c>
      <c r="B273" s="17" t="str">
        <f>IF(Dati!B273="","",Dati!B273)</f>
        <v/>
      </c>
      <c r="C273" s="17" t="str">
        <f>IF(B273="","",IF(ISNUMBER(B272),IF(B273-B272&lt;0,B273,IF(B273-B272=0,"",B273-B272)),B273))</f>
        <v/>
      </c>
      <c r="D273" s="18" t="str">
        <f>IF(Dati!C273="","",IF(Dati!C273&gt;1,Dati!C273/100,Dati!C273))</f>
        <v/>
      </c>
      <c r="E273" s="18" t="str">
        <f>IF(Dati!D273="","",IF(Dati!D273&gt;1,Dati!D273/100,Dati!D273))</f>
        <v/>
      </c>
      <c r="F273" s="18" t="str">
        <f>IF(OR(D273="",E273=""),"",IF(OR(D273&gt;1,E273&gt;1),(E273-D273)/100,E273-D273))</f>
        <v/>
      </c>
      <c r="G273" s="17" t="str">
        <f>IF(F273="","",IF(64*F273=0,"",64*F273))</f>
        <v/>
      </c>
      <c r="H273" s="19" t="str">
        <f>IF(Dati!E273="","",Dati!E273)</f>
        <v/>
      </c>
      <c r="I273" s="19" t="str">
        <f>IFERROR(IF(OR(C273="",C273=0),"",H273/C273*100),"")</f>
        <v/>
      </c>
      <c r="J273" s="20" t="str">
        <f>IF(Dati!F273="","",Dati!F273)</f>
        <v/>
      </c>
      <c r="K273" s="19" t="str">
        <f>IF(OR(H273="",J273=""),"",IF(H273*J273=0,"",H273*J273))</f>
        <v/>
      </c>
      <c r="L273" s="19" t="str">
        <f>IF(A273="","",IFERROR(IF(SUMPRODUCT((ISNUMBER(A$2:A273))*(A$2:A273&gt;1000)*(MONTH(IF(ISNUMBER(A$2:A273),A$2:A273,1))=MONTH(A273))*(YEAR(IF(ISNUMBER(A$2:A273),A$2:A273,1))=YEAR(A273))*IF(ISNUMBER(K$2:K273),K$2:K273,0))=0,"",SUMPRODUCT((ISNUMBER(A$2:A273))*(A$2:A273&gt;1000)*(MONTH(IF(ISNUMBER(A$2:A273),A$2:A273,1))=MONTH(A273))*(YEAR(IF(ISNUMBER(A$2:A273),A$2:A273,1))=YEAR(A273))*IF(ISNUMBER(K$2:K273),K$2:K273,0))),""))</f>
        <v/>
      </c>
      <c r="M273" s="21" t="str">
        <f>IF(A273="","",IFERROR(IF(SUMIF(N$2:N273,"CASA",K$2:K273)=0,"",SUMIF(N$2:N273,"CASA",K$2:K273)),""))</f>
        <v/>
      </c>
      <c r="N273" s="17" t="str">
        <f>IF(J273="","",IF(J273=0.2,"CASA",IF(Dati!G273="","",Dati!G273)))</f>
        <v/>
      </c>
    </row>
    <row r="274" spans="1:14" ht="15" customHeight="1" x14ac:dyDescent="0.2">
      <c r="A274" s="23" t="str">
        <f>IF(Dati!A274="","",Dati!A274)</f>
        <v/>
      </c>
      <c r="B274" s="17" t="str">
        <f>IF(Dati!B274="","",Dati!B274)</f>
        <v/>
      </c>
      <c r="C274" s="17" t="str">
        <f>IF(B274="","",IF(ISNUMBER(B273),IF(B274-B273&lt;0,B274,IF(B274-B273=0,"",B274-B273)),B274))</f>
        <v/>
      </c>
      <c r="D274" s="18" t="str">
        <f>IF(Dati!C274="","",IF(Dati!C274&gt;1,Dati!C274/100,Dati!C274))</f>
        <v/>
      </c>
      <c r="E274" s="18" t="str">
        <f>IF(Dati!D274="","",IF(Dati!D274&gt;1,Dati!D274/100,Dati!D274))</f>
        <v/>
      </c>
      <c r="F274" s="18" t="str">
        <f>IF(OR(D274="",E274=""),"",IF(OR(D274&gt;1,E274&gt;1),(E274-D274)/100,E274-D274))</f>
        <v/>
      </c>
      <c r="G274" s="17" t="str">
        <f>IF(F274="","",IF(64*F274=0,"",64*F274))</f>
        <v/>
      </c>
      <c r="H274" s="19" t="str">
        <f>IF(Dati!E274="","",Dati!E274)</f>
        <v/>
      </c>
      <c r="I274" s="19" t="str">
        <f>IFERROR(IF(OR(C274="",C274=0),"",H274/C274*100),"")</f>
        <v/>
      </c>
      <c r="J274" s="20" t="str">
        <f>IF(Dati!F274="","",Dati!F274)</f>
        <v/>
      </c>
      <c r="K274" s="19" t="str">
        <f>IF(OR(H274="",J274=""),"",IF(H274*J274=0,"",H274*J274))</f>
        <v/>
      </c>
      <c r="L274" s="19" t="str">
        <f>IF(A274="","",IFERROR(IF(SUMPRODUCT((ISNUMBER(A$2:A274))*(A$2:A274&gt;1000)*(MONTH(IF(ISNUMBER(A$2:A274),A$2:A274,1))=MONTH(A274))*(YEAR(IF(ISNUMBER(A$2:A274),A$2:A274,1))=YEAR(A274))*IF(ISNUMBER(K$2:K274),K$2:K274,0))=0,"",SUMPRODUCT((ISNUMBER(A$2:A274))*(A$2:A274&gt;1000)*(MONTH(IF(ISNUMBER(A$2:A274),A$2:A274,1))=MONTH(A274))*(YEAR(IF(ISNUMBER(A$2:A274),A$2:A274,1))=YEAR(A274))*IF(ISNUMBER(K$2:K274),K$2:K274,0))),""))</f>
        <v/>
      </c>
      <c r="M274" s="21" t="str">
        <f>IF(A274="","",IFERROR(IF(SUMIF(N$2:N274,"CASA",K$2:K274)=0,"",SUMIF(N$2:N274,"CASA",K$2:K274)),""))</f>
        <v/>
      </c>
      <c r="N274" s="17" t="str">
        <f>IF(J274="","",IF(J274=0.2,"CASA",IF(Dati!G274="","",Dati!G274)))</f>
        <v/>
      </c>
    </row>
    <row r="275" spans="1:14" ht="15" customHeight="1" x14ac:dyDescent="0.2">
      <c r="A275" s="23" t="str">
        <f>IF(Dati!A275="","",Dati!A275)</f>
        <v/>
      </c>
      <c r="B275" s="17" t="str">
        <f>IF(Dati!B275="","",Dati!B275)</f>
        <v/>
      </c>
      <c r="C275" s="17" t="str">
        <f>IF(B275="","",IF(ISNUMBER(B274),IF(B275-B274&lt;0,B275,IF(B275-B274=0,"",B275-B274)),B275))</f>
        <v/>
      </c>
      <c r="D275" s="18" t="str">
        <f>IF(Dati!C275="","",IF(Dati!C275&gt;1,Dati!C275/100,Dati!C275))</f>
        <v/>
      </c>
      <c r="E275" s="18" t="str">
        <f>IF(Dati!D275="","",IF(Dati!D275&gt;1,Dati!D275/100,Dati!D275))</f>
        <v/>
      </c>
      <c r="F275" s="18" t="str">
        <f>IF(OR(D275="",E275=""),"",IF(OR(D275&gt;1,E275&gt;1),(E275-D275)/100,E275-D275))</f>
        <v/>
      </c>
      <c r="G275" s="17" t="str">
        <f>IF(F275="","",IF(64*F275=0,"",64*F275))</f>
        <v/>
      </c>
      <c r="H275" s="19" t="str">
        <f>IF(Dati!E275="","",Dati!E275)</f>
        <v/>
      </c>
      <c r="I275" s="19" t="str">
        <f>IFERROR(IF(OR(C275="",C275=0),"",H275/C275*100),"")</f>
        <v/>
      </c>
      <c r="J275" s="20" t="str">
        <f>IF(Dati!F275="","",Dati!F275)</f>
        <v/>
      </c>
      <c r="K275" s="19" t="str">
        <f>IF(OR(H275="",J275=""),"",IF(H275*J275=0,"",H275*J275))</f>
        <v/>
      </c>
      <c r="L275" s="19" t="str">
        <f>IF(A275="","",IFERROR(IF(SUMPRODUCT((ISNUMBER(A$2:A275))*(A$2:A275&gt;1000)*(MONTH(IF(ISNUMBER(A$2:A275),A$2:A275,1))=MONTH(A275))*(YEAR(IF(ISNUMBER(A$2:A275),A$2:A275,1))=YEAR(A275))*IF(ISNUMBER(K$2:K275),K$2:K275,0))=0,"",SUMPRODUCT((ISNUMBER(A$2:A275))*(A$2:A275&gt;1000)*(MONTH(IF(ISNUMBER(A$2:A275),A$2:A275,1))=MONTH(A275))*(YEAR(IF(ISNUMBER(A$2:A275),A$2:A275,1))=YEAR(A275))*IF(ISNUMBER(K$2:K275),K$2:K275,0))),""))</f>
        <v/>
      </c>
      <c r="M275" s="21" t="str">
        <f>IF(A275="","",IFERROR(IF(SUMIF(N$2:N275,"CASA",K$2:K275)=0,"",SUMIF(N$2:N275,"CASA",K$2:K275)),""))</f>
        <v/>
      </c>
      <c r="N275" s="17" t="str">
        <f>IF(J275="","",IF(J275=0.2,"CASA",IF(Dati!G275="","",Dati!G275)))</f>
        <v/>
      </c>
    </row>
    <row r="276" spans="1:14" ht="15" customHeight="1" x14ac:dyDescent="0.2">
      <c r="A276" s="23" t="str">
        <f>IF(Dati!A276="","",Dati!A276)</f>
        <v/>
      </c>
      <c r="B276" s="17" t="str">
        <f>IF(Dati!B276="","",Dati!B276)</f>
        <v/>
      </c>
      <c r="C276" s="17" t="str">
        <f>IF(B276="","",IF(ISNUMBER(B275),IF(B276-B275&lt;0,B276,IF(B276-B275=0,"",B276-B275)),B276))</f>
        <v/>
      </c>
      <c r="D276" s="18" t="str">
        <f>IF(Dati!C276="","",IF(Dati!C276&gt;1,Dati!C276/100,Dati!C276))</f>
        <v/>
      </c>
      <c r="E276" s="18" t="str">
        <f>IF(Dati!D276="","",IF(Dati!D276&gt;1,Dati!D276/100,Dati!D276))</f>
        <v/>
      </c>
      <c r="F276" s="18" t="str">
        <f>IF(OR(D276="",E276=""),"",IF(OR(D276&gt;1,E276&gt;1),(E276-D276)/100,E276-D276))</f>
        <v/>
      </c>
      <c r="G276" s="17" t="str">
        <f>IF(F276="","",IF(64*F276=0,"",64*F276))</f>
        <v/>
      </c>
      <c r="H276" s="19" t="str">
        <f>IF(Dati!E276="","",Dati!E276)</f>
        <v/>
      </c>
      <c r="I276" s="19" t="str">
        <f>IFERROR(IF(OR(C276="",C276=0),"",H276/C276*100),"")</f>
        <v/>
      </c>
      <c r="J276" s="20" t="str">
        <f>IF(Dati!F276="","",Dati!F276)</f>
        <v/>
      </c>
      <c r="K276" s="19" t="str">
        <f>IF(OR(H276="",J276=""),"",IF(H276*J276=0,"",H276*J276))</f>
        <v/>
      </c>
      <c r="L276" s="19" t="str">
        <f>IF(A276="","",IFERROR(IF(SUMPRODUCT((ISNUMBER(A$2:A276))*(A$2:A276&gt;1000)*(MONTH(IF(ISNUMBER(A$2:A276),A$2:A276,1))=MONTH(A276))*(YEAR(IF(ISNUMBER(A$2:A276),A$2:A276,1))=YEAR(A276))*IF(ISNUMBER(K$2:K276),K$2:K276,0))=0,"",SUMPRODUCT((ISNUMBER(A$2:A276))*(A$2:A276&gt;1000)*(MONTH(IF(ISNUMBER(A$2:A276),A$2:A276,1))=MONTH(A276))*(YEAR(IF(ISNUMBER(A$2:A276),A$2:A276,1))=YEAR(A276))*IF(ISNUMBER(K$2:K276),K$2:K276,0))),""))</f>
        <v/>
      </c>
      <c r="M276" s="21" t="str">
        <f>IF(A276="","",IFERROR(IF(SUMIF(N$2:N276,"CASA",K$2:K276)=0,"",SUMIF(N$2:N276,"CASA",K$2:K276)),""))</f>
        <v/>
      </c>
      <c r="N276" s="17" t="str">
        <f>IF(J276="","",IF(J276=0.2,"CASA",IF(Dati!G276="","",Dati!G276)))</f>
        <v/>
      </c>
    </row>
    <row r="277" spans="1:14" ht="15" customHeight="1" x14ac:dyDescent="0.2">
      <c r="A277" s="23" t="str">
        <f>IF(Dati!A277="","",Dati!A277)</f>
        <v/>
      </c>
      <c r="B277" s="17" t="str">
        <f>IF(Dati!B277="","",Dati!B277)</f>
        <v/>
      </c>
      <c r="C277" s="17" t="str">
        <f>IF(B277="","",IF(ISNUMBER(B276),IF(B277-B276&lt;0,B277,IF(B277-B276=0,"",B277-B276)),B277))</f>
        <v/>
      </c>
      <c r="D277" s="18" t="str">
        <f>IF(Dati!C277="","",IF(Dati!C277&gt;1,Dati!C277/100,Dati!C277))</f>
        <v/>
      </c>
      <c r="E277" s="18" t="str">
        <f>IF(Dati!D277="","",IF(Dati!D277&gt;1,Dati!D277/100,Dati!D277))</f>
        <v/>
      </c>
      <c r="F277" s="18" t="str">
        <f>IF(OR(D277="",E277=""),"",IF(OR(D277&gt;1,E277&gt;1),(E277-D277)/100,E277-D277))</f>
        <v/>
      </c>
      <c r="G277" s="17" t="str">
        <f>IF(F277="","",IF(64*F277=0,"",64*F277))</f>
        <v/>
      </c>
      <c r="H277" s="19" t="str">
        <f>IF(Dati!E277="","",Dati!E277)</f>
        <v/>
      </c>
      <c r="I277" s="19" t="str">
        <f>IFERROR(IF(OR(C277="",C277=0),"",H277/C277*100),"")</f>
        <v/>
      </c>
      <c r="J277" s="20" t="str">
        <f>IF(Dati!F277="","",Dati!F277)</f>
        <v/>
      </c>
      <c r="K277" s="19" t="str">
        <f>IF(OR(H277="",J277=""),"",IF(H277*J277=0,"",H277*J277))</f>
        <v/>
      </c>
      <c r="L277" s="19" t="str">
        <f>IF(A277="","",IFERROR(IF(SUMPRODUCT((ISNUMBER(A$2:A277))*(A$2:A277&gt;1000)*(MONTH(IF(ISNUMBER(A$2:A277),A$2:A277,1))=MONTH(A277))*(YEAR(IF(ISNUMBER(A$2:A277),A$2:A277,1))=YEAR(A277))*IF(ISNUMBER(K$2:K277),K$2:K277,0))=0,"",SUMPRODUCT((ISNUMBER(A$2:A277))*(A$2:A277&gt;1000)*(MONTH(IF(ISNUMBER(A$2:A277),A$2:A277,1))=MONTH(A277))*(YEAR(IF(ISNUMBER(A$2:A277),A$2:A277,1))=YEAR(A277))*IF(ISNUMBER(K$2:K277),K$2:K277,0))),""))</f>
        <v/>
      </c>
      <c r="M277" s="21" t="str">
        <f>IF(A277="","",IFERROR(IF(SUMIF(N$2:N277,"CASA",K$2:K277)=0,"",SUMIF(N$2:N277,"CASA",K$2:K277)),""))</f>
        <v/>
      </c>
      <c r="N277" s="17" t="str">
        <f>IF(J277="","",IF(J277=0.2,"CASA",IF(Dati!G277="","",Dati!G277)))</f>
        <v/>
      </c>
    </row>
    <row r="278" spans="1:14" ht="15" customHeight="1" x14ac:dyDescent="0.2">
      <c r="A278" s="23" t="str">
        <f>IF(Dati!A278="","",Dati!A278)</f>
        <v/>
      </c>
      <c r="B278" s="17" t="str">
        <f>IF(Dati!B278="","",Dati!B278)</f>
        <v/>
      </c>
      <c r="C278" s="17" t="str">
        <f>IF(B278="","",IF(ISNUMBER(B277),IF(B278-B277&lt;0,B278,IF(B278-B277=0,"",B278-B277)),B278))</f>
        <v/>
      </c>
      <c r="D278" s="18" t="str">
        <f>IF(Dati!C278="","",IF(Dati!C278&gt;1,Dati!C278/100,Dati!C278))</f>
        <v/>
      </c>
      <c r="E278" s="18" t="str">
        <f>IF(Dati!D278="","",IF(Dati!D278&gt;1,Dati!D278/100,Dati!D278))</f>
        <v/>
      </c>
      <c r="F278" s="18" t="str">
        <f>IF(OR(D278="",E278=""),"",IF(OR(D278&gt;1,E278&gt;1),(E278-D278)/100,E278-D278))</f>
        <v/>
      </c>
      <c r="G278" s="17" t="str">
        <f>IF(F278="","",IF(64*F278=0,"",64*F278))</f>
        <v/>
      </c>
      <c r="H278" s="19" t="str">
        <f>IF(Dati!E278="","",Dati!E278)</f>
        <v/>
      </c>
      <c r="I278" s="19" t="str">
        <f>IFERROR(IF(OR(C278="",C278=0),"",H278/C278*100),"")</f>
        <v/>
      </c>
      <c r="J278" s="20" t="str">
        <f>IF(Dati!F278="","",Dati!F278)</f>
        <v/>
      </c>
      <c r="K278" s="19" t="str">
        <f>IF(OR(H278="",J278=""),"",IF(H278*J278=0,"",H278*J278))</f>
        <v/>
      </c>
      <c r="L278" s="19" t="str">
        <f>IF(A278="","",IFERROR(IF(SUMPRODUCT((ISNUMBER(A$2:A278))*(A$2:A278&gt;1000)*(MONTH(IF(ISNUMBER(A$2:A278),A$2:A278,1))=MONTH(A278))*(YEAR(IF(ISNUMBER(A$2:A278),A$2:A278,1))=YEAR(A278))*IF(ISNUMBER(K$2:K278),K$2:K278,0))=0,"",SUMPRODUCT((ISNUMBER(A$2:A278))*(A$2:A278&gt;1000)*(MONTH(IF(ISNUMBER(A$2:A278),A$2:A278,1))=MONTH(A278))*(YEAR(IF(ISNUMBER(A$2:A278),A$2:A278,1))=YEAR(A278))*IF(ISNUMBER(K$2:K278),K$2:K278,0))),""))</f>
        <v/>
      </c>
      <c r="M278" s="21" t="str">
        <f>IF(A278="","",IFERROR(IF(SUMIF(N$2:N278,"CASA",K$2:K278)=0,"",SUMIF(N$2:N278,"CASA",K$2:K278)),""))</f>
        <v/>
      </c>
      <c r="N278" s="17" t="str">
        <f>IF(J278="","",IF(J278=0.2,"CASA",IF(Dati!G278="","",Dati!G278)))</f>
        <v/>
      </c>
    </row>
    <row r="279" spans="1:14" ht="15" customHeight="1" x14ac:dyDescent="0.2">
      <c r="A279" s="23" t="str">
        <f>IF(Dati!A279="","",Dati!A279)</f>
        <v/>
      </c>
      <c r="B279" s="17" t="str">
        <f>IF(Dati!B279="","",Dati!B279)</f>
        <v/>
      </c>
      <c r="C279" s="17" t="str">
        <f>IF(B279="","",IF(ISNUMBER(B278),IF(B279-B278&lt;0,B279,IF(B279-B278=0,"",B279-B278)),B279))</f>
        <v/>
      </c>
      <c r="D279" s="18" t="str">
        <f>IF(Dati!C279="","",IF(Dati!C279&gt;1,Dati!C279/100,Dati!C279))</f>
        <v/>
      </c>
      <c r="E279" s="18" t="str">
        <f>IF(Dati!D279="","",IF(Dati!D279&gt;1,Dati!D279/100,Dati!D279))</f>
        <v/>
      </c>
      <c r="F279" s="18" t="str">
        <f>IF(OR(D279="",E279=""),"",IF(OR(D279&gt;1,E279&gt;1),(E279-D279)/100,E279-D279))</f>
        <v/>
      </c>
      <c r="G279" s="17" t="str">
        <f>IF(F279="","",IF(64*F279=0,"",64*F279))</f>
        <v/>
      </c>
      <c r="H279" s="19" t="str">
        <f>IF(Dati!E279="","",Dati!E279)</f>
        <v/>
      </c>
      <c r="I279" s="19" t="str">
        <f>IFERROR(IF(OR(C279="",C279=0),"",H279/C279*100),"")</f>
        <v/>
      </c>
      <c r="J279" s="20" t="str">
        <f>IF(Dati!F279="","",Dati!F279)</f>
        <v/>
      </c>
      <c r="K279" s="19" t="str">
        <f>IF(OR(H279="",J279=""),"",IF(H279*J279=0,"",H279*J279))</f>
        <v/>
      </c>
      <c r="L279" s="19" t="str">
        <f>IF(A279="","",IFERROR(IF(SUMPRODUCT((ISNUMBER(A$2:A279))*(A$2:A279&gt;1000)*(MONTH(IF(ISNUMBER(A$2:A279),A$2:A279,1))=MONTH(A279))*(YEAR(IF(ISNUMBER(A$2:A279),A$2:A279,1))=YEAR(A279))*IF(ISNUMBER(K$2:K279),K$2:K279,0))=0,"",SUMPRODUCT((ISNUMBER(A$2:A279))*(A$2:A279&gt;1000)*(MONTH(IF(ISNUMBER(A$2:A279),A$2:A279,1))=MONTH(A279))*(YEAR(IF(ISNUMBER(A$2:A279),A$2:A279,1))=YEAR(A279))*IF(ISNUMBER(K$2:K279),K$2:K279,0))),""))</f>
        <v/>
      </c>
      <c r="M279" s="21" t="str">
        <f>IF(A279="","",IFERROR(IF(SUMIF(N$2:N279,"CASA",K$2:K279)=0,"",SUMIF(N$2:N279,"CASA",K$2:K279)),""))</f>
        <v/>
      </c>
      <c r="N279" s="17" t="str">
        <f>IF(J279="","",IF(J279=0.2,"CASA",IF(Dati!G279="","",Dati!G279)))</f>
        <v/>
      </c>
    </row>
    <row r="280" spans="1:14" ht="15" customHeight="1" x14ac:dyDescent="0.2">
      <c r="A280" s="23" t="str">
        <f>IF(Dati!A280="","",Dati!A280)</f>
        <v/>
      </c>
      <c r="B280" s="17" t="str">
        <f>IF(Dati!B280="","",Dati!B280)</f>
        <v/>
      </c>
      <c r="C280" s="17" t="str">
        <f>IF(B280="","",IF(ISNUMBER(B279),IF(B280-B279&lt;0,B280,IF(B280-B279=0,"",B280-B279)),B280))</f>
        <v/>
      </c>
      <c r="D280" s="18" t="str">
        <f>IF(Dati!C280="","",IF(Dati!C280&gt;1,Dati!C280/100,Dati!C280))</f>
        <v/>
      </c>
      <c r="E280" s="18" t="str">
        <f>IF(Dati!D280="","",IF(Dati!D280&gt;1,Dati!D280/100,Dati!D280))</f>
        <v/>
      </c>
      <c r="F280" s="18" t="str">
        <f>IF(OR(D280="",E280=""),"",IF(OR(D280&gt;1,E280&gt;1),(E280-D280)/100,E280-D280))</f>
        <v/>
      </c>
      <c r="G280" s="17" t="str">
        <f>IF(F280="","",IF(64*F280=0,"",64*F280))</f>
        <v/>
      </c>
      <c r="H280" s="19" t="str">
        <f>IF(Dati!E280="","",Dati!E280)</f>
        <v/>
      </c>
      <c r="I280" s="19" t="str">
        <f>IFERROR(IF(OR(C280="",C280=0),"",H280/C280*100),"")</f>
        <v/>
      </c>
      <c r="J280" s="20" t="str">
        <f>IF(Dati!F280="","",Dati!F280)</f>
        <v/>
      </c>
      <c r="K280" s="19" t="str">
        <f>IF(OR(H280="",J280=""),"",IF(H280*J280=0,"",H280*J280))</f>
        <v/>
      </c>
      <c r="L280" s="19" t="str">
        <f>IF(A280="","",IFERROR(IF(SUMPRODUCT((ISNUMBER(A$2:A280))*(A$2:A280&gt;1000)*(MONTH(IF(ISNUMBER(A$2:A280),A$2:A280,1))=MONTH(A280))*(YEAR(IF(ISNUMBER(A$2:A280),A$2:A280,1))=YEAR(A280))*IF(ISNUMBER(K$2:K280),K$2:K280,0))=0,"",SUMPRODUCT((ISNUMBER(A$2:A280))*(A$2:A280&gt;1000)*(MONTH(IF(ISNUMBER(A$2:A280),A$2:A280,1))=MONTH(A280))*(YEAR(IF(ISNUMBER(A$2:A280),A$2:A280,1))=YEAR(A280))*IF(ISNUMBER(K$2:K280),K$2:K280,0))),""))</f>
        <v/>
      </c>
      <c r="M280" s="21" t="str">
        <f>IF(A280="","",IFERROR(IF(SUMIF(N$2:N280,"CASA",K$2:K280)=0,"",SUMIF(N$2:N280,"CASA",K$2:K280)),""))</f>
        <v/>
      </c>
      <c r="N280" s="17" t="str">
        <f>IF(J280="","",IF(J280=0.2,"CASA",IF(Dati!G280="","",Dati!G280)))</f>
        <v/>
      </c>
    </row>
    <row r="281" spans="1:14" ht="15" customHeight="1" x14ac:dyDescent="0.2">
      <c r="A281" s="23" t="str">
        <f>IF(Dati!A281="","",Dati!A281)</f>
        <v/>
      </c>
      <c r="B281" s="17" t="str">
        <f>IF(Dati!B281="","",Dati!B281)</f>
        <v/>
      </c>
      <c r="C281" s="17" t="str">
        <f>IF(B281="","",IF(ISNUMBER(B280),IF(B281-B280&lt;0,B281,IF(B281-B280=0,"",B281-B280)),B281))</f>
        <v/>
      </c>
      <c r="D281" s="18" t="str">
        <f>IF(Dati!C281="","",IF(Dati!C281&gt;1,Dati!C281/100,Dati!C281))</f>
        <v/>
      </c>
      <c r="E281" s="18" t="str">
        <f>IF(Dati!D281="","",IF(Dati!D281&gt;1,Dati!D281/100,Dati!D281))</f>
        <v/>
      </c>
      <c r="F281" s="18" t="str">
        <f>IF(OR(D281="",E281=""),"",IF(OR(D281&gt;1,E281&gt;1),(E281-D281)/100,E281-D281))</f>
        <v/>
      </c>
      <c r="G281" s="17" t="str">
        <f>IF(F281="","",IF(64*F281=0,"",64*F281))</f>
        <v/>
      </c>
      <c r="H281" s="19" t="str">
        <f>IF(Dati!E281="","",Dati!E281)</f>
        <v/>
      </c>
      <c r="I281" s="19" t="str">
        <f>IFERROR(IF(OR(C281="",C281=0),"",H281/C281*100),"")</f>
        <v/>
      </c>
      <c r="J281" s="20" t="str">
        <f>IF(Dati!F281="","",Dati!F281)</f>
        <v/>
      </c>
      <c r="K281" s="19" t="str">
        <f>IF(OR(H281="",J281=""),"",IF(H281*J281=0,"",H281*J281))</f>
        <v/>
      </c>
      <c r="L281" s="19" t="str">
        <f>IF(A281="","",IFERROR(IF(SUMPRODUCT((ISNUMBER(A$2:A281))*(A$2:A281&gt;1000)*(MONTH(IF(ISNUMBER(A$2:A281),A$2:A281,1))=MONTH(A281))*(YEAR(IF(ISNUMBER(A$2:A281),A$2:A281,1))=YEAR(A281))*IF(ISNUMBER(K$2:K281),K$2:K281,0))=0,"",SUMPRODUCT((ISNUMBER(A$2:A281))*(A$2:A281&gt;1000)*(MONTH(IF(ISNUMBER(A$2:A281),A$2:A281,1))=MONTH(A281))*(YEAR(IF(ISNUMBER(A$2:A281),A$2:A281,1))=YEAR(A281))*IF(ISNUMBER(K$2:K281),K$2:K281,0))),""))</f>
        <v/>
      </c>
      <c r="M281" s="21" t="str">
        <f>IF(A281="","",IFERROR(IF(SUMIF(N$2:N281,"CASA",K$2:K281)=0,"",SUMIF(N$2:N281,"CASA",K$2:K281)),""))</f>
        <v/>
      </c>
      <c r="N281" s="17" t="str">
        <f>IF(J281="","",IF(J281=0.2,"CASA",IF(Dati!G281="","",Dati!G281)))</f>
        <v/>
      </c>
    </row>
    <row r="282" spans="1:14" ht="15" customHeight="1" x14ac:dyDescent="0.2">
      <c r="A282" s="23" t="str">
        <f>IF(Dati!A282="","",Dati!A282)</f>
        <v/>
      </c>
      <c r="B282" s="17" t="str">
        <f>IF(Dati!B282="","",Dati!B282)</f>
        <v/>
      </c>
      <c r="C282" s="17" t="str">
        <f>IF(B282="","",IF(ISNUMBER(B281),IF(B282-B281&lt;0,B282,IF(B282-B281=0,"",B282-B281)),B282))</f>
        <v/>
      </c>
      <c r="D282" s="18" t="str">
        <f>IF(Dati!C282="","",IF(Dati!C282&gt;1,Dati!C282/100,Dati!C282))</f>
        <v/>
      </c>
      <c r="E282" s="18" t="str">
        <f>IF(Dati!D282="","",IF(Dati!D282&gt;1,Dati!D282/100,Dati!D282))</f>
        <v/>
      </c>
      <c r="F282" s="18" t="str">
        <f>IF(OR(D282="",E282=""),"",IF(OR(D282&gt;1,E282&gt;1),(E282-D282)/100,E282-D282))</f>
        <v/>
      </c>
      <c r="G282" s="17" t="str">
        <f>IF(F282="","",IF(64*F282=0,"",64*F282))</f>
        <v/>
      </c>
      <c r="H282" s="19" t="str">
        <f>IF(Dati!E282="","",Dati!E282)</f>
        <v/>
      </c>
      <c r="I282" s="19" t="str">
        <f>IFERROR(IF(OR(C282="",C282=0),"",H282/C282*100),"")</f>
        <v/>
      </c>
      <c r="J282" s="20" t="str">
        <f>IF(Dati!F282="","",Dati!F282)</f>
        <v/>
      </c>
      <c r="K282" s="19" t="str">
        <f>IF(OR(H282="",J282=""),"",IF(H282*J282=0,"",H282*J282))</f>
        <v/>
      </c>
      <c r="L282" s="19" t="str">
        <f>IF(A282="","",IFERROR(IF(SUMPRODUCT((ISNUMBER(A$2:A282))*(A$2:A282&gt;1000)*(MONTH(IF(ISNUMBER(A$2:A282),A$2:A282,1))=MONTH(A282))*(YEAR(IF(ISNUMBER(A$2:A282),A$2:A282,1))=YEAR(A282))*IF(ISNUMBER(K$2:K282),K$2:K282,0))=0,"",SUMPRODUCT((ISNUMBER(A$2:A282))*(A$2:A282&gt;1000)*(MONTH(IF(ISNUMBER(A$2:A282),A$2:A282,1))=MONTH(A282))*(YEAR(IF(ISNUMBER(A$2:A282),A$2:A282,1))=YEAR(A282))*IF(ISNUMBER(K$2:K282),K$2:K282,0))),""))</f>
        <v/>
      </c>
      <c r="M282" s="21" t="str">
        <f>IF(A282="","",IFERROR(IF(SUMIF(N$2:N282,"CASA",K$2:K282)=0,"",SUMIF(N$2:N282,"CASA",K$2:K282)),""))</f>
        <v/>
      </c>
      <c r="N282" s="17" t="str">
        <f>IF(J282="","",IF(J282=0.2,"CASA",IF(Dati!G282="","",Dati!G282)))</f>
        <v/>
      </c>
    </row>
    <row r="283" spans="1:14" ht="15" customHeight="1" x14ac:dyDescent="0.2">
      <c r="A283" s="23" t="str">
        <f>IF(Dati!A283="","",Dati!A283)</f>
        <v/>
      </c>
      <c r="B283" s="17" t="str">
        <f>IF(Dati!B283="","",Dati!B283)</f>
        <v/>
      </c>
      <c r="C283" s="17" t="str">
        <f>IF(B283="","",IF(ISNUMBER(B282),IF(B283-B282&lt;0,B283,IF(B283-B282=0,"",B283-B282)),B283))</f>
        <v/>
      </c>
      <c r="D283" s="18" t="str">
        <f>IF(Dati!C283="","",IF(Dati!C283&gt;1,Dati!C283/100,Dati!C283))</f>
        <v/>
      </c>
      <c r="E283" s="18" t="str">
        <f>IF(Dati!D283="","",IF(Dati!D283&gt;1,Dati!D283/100,Dati!D283))</f>
        <v/>
      </c>
      <c r="F283" s="18" t="str">
        <f>IF(OR(D283="",E283=""),"",IF(OR(D283&gt;1,E283&gt;1),(E283-D283)/100,E283-D283))</f>
        <v/>
      </c>
      <c r="G283" s="17" t="str">
        <f>IF(F283="","",IF(64*F283=0,"",64*F283))</f>
        <v/>
      </c>
      <c r="H283" s="19" t="str">
        <f>IF(Dati!E283="","",Dati!E283)</f>
        <v/>
      </c>
      <c r="I283" s="19" t="str">
        <f>IFERROR(IF(OR(C283="",C283=0),"",H283/C283*100),"")</f>
        <v/>
      </c>
      <c r="J283" s="20" t="str">
        <f>IF(Dati!F283="","",Dati!F283)</f>
        <v/>
      </c>
      <c r="K283" s="19" t="str">
        <f>IF(OR(H283="",J283=""),"",IF(H283*J283=0,"",H283*J283))</f>
        <v/>
      </c>
      <c r="L283" s="19" t="str">
        <f>IF(A283="","",IFERROR(IF(SUMPRODUCT((ISNUMBER(A$2:A283))*(A$2:A283&gt;1000)*(MONTH(IF(ISNUMBER(A$2:A283),A$2:A283,1))=MONTH(A283))*(YEAR(IF(ISNUMBER(A$2:A283),A$2:A283,1))=YEAR(A283))*IF(ISNUMBER(K$2:K283),K$2:K283,0))=0,"",SUMPRODUCT((ISNUMBER(A$2:A283))*(A$2:A283&gt;1000)*(MONTH(IF(ISNUMBER(A$2:A283),A$2:A283,1))=MONTH(A283))*(YEAR(IF(ISNUMBER(A$2:A283),A$2:A283,1))=YEAR(A283))*IF(ISNUMBER(K$2:K283),K$2:K283,0))),""))</f>
        <v/>
      </c>
      <c r="M283" s="21" t="str">
        <f>IF(A283="","",IFERROR(IF(SUMIF(N$2:N283,"CASA",K$2:K283)=0,"",SUMIF(N$2:N283,"CASA",K$2:K283)),""))</f>
        <v/>
      </c>
      <c r="N283" s="17" t="str">
        <f>IF(J283="","",IF(J283=0.2,"CASA",IF(Dati!G283="","",Dati!G283)))</f>
        <v/>
      </c>
    </row>
    <row r="284" spans="1:14" ht="15" customHeight="1" x14ac:dyDescent="0.2">
      <c r="A284" s="23" t="str">
        <f>IF(Dati!A284="","",Dati!A284)</f>
        <v/>
      </c>
      <c r="B284" s="17" t="str">
        <f>IF(Dati!B284="","",Dati!B284)</f>
        <v/>
      </c>
      <c r="C284" s="17" t="str">
        <f>IF(B284="","",IF(ISNUMBER(B283),IF(B284-B283&lt;0,B284,IF(B284-B283=0,"",B284-B283)),B284))</f>
        <v/>
      </c>
      <c r="D284" s="18" t="str">
        <f>IF(Dati!C284="","",IF(Dati!C284&gt;1,Dati!C284/100,Dati!C284))</f>
        <v/>
      </c>
      <c r="E284" s="18" t="str">
        <f>IF(Dati!D284="","",IF(Dati!D284&gt;1,Dati!D284/100,Dati!D284))</f>
        <v/>
      </c>
      <c r="F284" s="18" t="str">
        <f>IF(OR(D284="",E284=""),"",IF(OR(D284&gt;1,E284&gt;1),(E284-D284)/100,E284-D284))</f>
        <v/>
      </c>
      <c r="G284" s="17" t="str">
        <f>IF(F284="","",IF(64*F284=0,"",64*F284))</f>
        <v/>
      </c>
      <c r="H284" s="19" t="str">
        <f>IF(Dati!E284="","",Dati!E284)</f>
        <v/>
      </c>
      <c r="I284" s="19" t="str">
        <f>IFERROR(IF(OR(C284="",C284=0),"",H284/C284*100),"")</f>
        <v/>
      </c>
      <c r="J284" s="20" t="str">
        <f>IF(Dati!F284="","",Dati!F284)</f>
        <v/>
      </c>
      <c r="K284" s="19" t="str">
        <f>IF(OR(H284="",J284=""),"",IF(H284*J284=0,"",H284*J284))</f>
        <v/>
      </c>
      <c r="L284" s="19" t="str">
        <f>IF(A284="","",IFERROR(IF(SUMPRODUCT((ISNUMBER(A$2:A284))*(A$2:A284&gt;1000)*(MONTH(IF(ISNUMBER(A$2:A284),A$2:A284,1))=MONTH(A284))*(YEAR(IF(ISNUMBER(A$2:A284),A$2:A284,1))=YEAR(A284))*IF(ISNUMBER(K$2:K284),K$2:K284,0))=0,"",SUMPRODUCT((ISNUMBER(A$2:A284))*(A$2:A284&gt;1000)*(MONTH(IF(ISNUMBER(A$2:A284),A$2:A284,1))=MONTH(A284))*(YEAR(IF(ISNUMBER(A$2:A284),A$2:A284,1))=YEAR(A284))*IF(ISNUMBER(K$2:K284),K$2:K284,0))),""))</f>
        <v/>
      </c>
      <c r="M284" s="21" t="str">
        <f>IF(A284="","",IFERROR(IF(SUMIF(N$2:N284,"CASA",K$2:K284)=0,"",SUMIF(N$2:N284,"CASA",K$2:K284)),""))</f>
        <v/>
      </c>
      <c r="N284" s="17" t="str">
        <f>IF(J284="","",IF(J284=0.2,"CASA",IF(Dati!G284="","",Dati!G284)))</f>
        <v/>
      </c>
    </row>
    <row r="285" spans="1:14" ht="15" customHeight="1" x14ac:dyDescent="0.2">
      <c r="A285" s="23" t="str">
        <f>IF(Dati!A285="","",Dati!A285)</f>
        <v/>
      </c>
      <c r="B285" s="17" t="str">
        <f>IF(Dati!B285="","",Dati!B285)</f>
        <v/>
      </c>
      <c r="C285" s="17" t="str">
        <f>IF(B285="","",IF(ISNUMBER(B284),IF(B285-B284&lt;0,B285,IF(B285-B284=0,"",B285-B284)),B285))</f>
        <v/>
      </c>
      <c r="D285" s="18" t="str">
        <f>IF(Dati!C285="","",IF(Dati!C285&gt;1,Dati!C285/100,Dati!C285))</f>
        <v/>
      </c>
      <c r="E285" s="18" t="str">
        <f>IF(Dati!D285="","",IF(Dati!D285&gt;1,Dati!D285/100,Dati!D285))</f>
        <v/>
      </c>
      <c r="F285" s="18" t="str">
        <f>IF(OR(D285="",E285=""),"",IF(OR(D285&gt;1,E285&gt;1),(E285-D285)/100,E285-D285))</f>
        <v/>
      </c>
      <c r="G285" s="17" t="str">
        <f>IF(F285="","",IF(64*F285=0,"",64*F285))</f>
        <v/>
      </c>
      <c r="H285" s="19" t="str">
        <f>IF(Dati!E285="","",Dati!E285)</f>
        <v/>
      </c>
      <c r="I285" s="19" t="str">
        <f>IFERROR(IF(OR(C285="",C285=0),"",H285/C285*100),"")</f>
        <v/>
      </c>
      <c r="J285" s="20" t="str">
        <f>IF(Dati!F285="","",Dati!F285)</f>
        <v/>
      </c>
      <c r="K285" s="19" t="str">
        <f>IF(OR(H285="",J285=""),"",IF(H285*J285=0,"",H285*J285))</f>
        <v/>
      </c>
      <c r="L285" s="19" t="str">
        <f>IF(A285="","",IFERROR(IF(SUMPRODUCT((ISNUMBER(A$2:A285))*(A$2:A285&gt;1000)*(MONTH(IF(ISNUMBER(A$2:A285),A$2:A285,1))=MONTH(A285))*(YEAR(IF(ISNUMBER(A$2:A285),A$2:A285,1))=YEAR(A285))*IF(ISNUMBER(K$2:K285),K$2:K285,0))=0,"",SUMPRODUCT((ISNUMBER(A$2:A285))*(A$2:A285&gt;1000)*(MONTH(IF(ISNUMBER(A$2:A285),A$2:A285,1))=MONTH(A285))*(YEAR(IF(ISNUMBER(A$2:A285),A$2:A285,1))=YEAR(A285))*IF(ISNUMBER(K$2:K285),K$2:K285,0))),""))</f>
        <v/>
      </c>
      <c r="M285" s="21" t="str">
        <f>IF(A285="","",IFERROR(IF(SUMIF(N$2:N285,"CASA",K$2:K285)=0,"",SUMIF(N$2:N285,"CASA",K$2:K285)),""))</f>
        <v/>
      </c>
      <c r="N285" s="17" t="str">
        <f>IF(J285="","",IF(J285=0.2,"CASA",IF(Dati!G285="","",Dati!G285)))</f>
        <v/>
      </c>
    </row>
    <row r="286" spans="1:14" ht="15" customHeight="1" x14ac:dyDescent="0.2">
      <c r="A286" s="23" t="str">
        <f>IF(Dati!A286="","",Dati!A286)</f>
        <v/>
      </c>
      <c r="B286" s="17" t="str">
        <f>IF(Dati!B286="","",Dati!B286)</f>
        <v/>
      </c>
      <c r="C286" s="17" t="str">
        <f>IF(B286="","",IF(ISNUMBER(B285),IF(B286-B285&lt;0,B286,IF(B286-B285=0,"",B286-B285)),B286))</f>
        <v/>
      </c>
      <c r="D286" s="18" t="str">
        <f>IF(Dati!C286="","",IF(Dati!C286&gt;1,Dati!C286/100,Dati!C286))</f>
        <v/>
      </c>
      <c r="E286" s="18" t="str">
        <f>IF(Dati!D286="","",IF(Dati!D286&gt;1,Dati!D286/100,Dati!D286))</f>
        <v/>
      </c>
      <c r="F286" s="18" t="str">
        <f>IF(OR(D286="",E286=""),"",IF(OR(D286&gt;1,E286&gt;1),(E286-D286)/100,E286-D286))</f>
        <v/>
      </c>
      <c r="G286" s="17" t="str">
        <f>IF(F286="","",IF(64*F286=0,"",64*F286))</f>
        <v/>
      </c>
      <c r="H286" s="19" t="str">
        <f>IF(Dati!E286="","",Dati!E286)</f>
        <v/>
      </c>
      <c r="I286" s="19" t="str">
        <f>IFERROR(IF(OR(C286="",C286=0),"",H286/C286*100),"")</f>
        <v/>
      </c>
      <c r="J286" s="20" t="str">
        <f>IF(Dati!F286="","",Dati!F286)</f>
        <v/>
      </c>
      <c r="K286" s="19" t="str">
        <f>IF(OR(H286="",J286=""),"",IF(H286*J286=0,"",H286*J286))</f>
        <v/>
      </c>
      <c r="L286" s="19" t="str">
        <f>IF(A286="","",IFERROR(IF(SUMPRODUCT((ISNUMBER(A$2:A286))*(A$2:A286&gt;1000)*(MONTH(IF(ISNUMBER(A$2:A286),A$2:A286,1))=MONTH(A286))*(YEAR(IF(ISNUMBER(A$2:A286),A$2:A286,1))=YEAR(A286))*IF(ISNUMBER(K$2:K286),K$2:K286,0))=0,"",SUMPRODUCT((ISNUMBER(A$2:A286))*(A$2:A286&gt;1000)*(MONTH(IF(ISNUMBER(A$2:A286),A$2:A286,1))=MONTH(A286))*(YEAR(IF(ISNUMBER(A$2:A286),A$2:A286,1))=YEAR(A286))*IF(ISNUMBER(K$2:K286),K$2:K286,0))),""))</f>
        <v/>
      </c>
      <c r="M286" s="21" t="str">
        <f>IF(A286="","",IFERROR(IF(SUMIF(N$2:N286,"CASA",K$2:K286)=0,"",SUMIF(N$2:N286,"CASA",K$2:K286)),""))</f>
        <v/>
      </c>
      <c r="N286" s="17" t="str">
        <f>IF(J286="","",IF(J286=0.2,"CASA",IF(Dati!G286="","",Dati!G286)))</f>
        <v/>
      </c>
    </row>
    <row r="287" spans="1:14" ht="15" customHeight="1" x14ac:dyDescent="0.2">
      <c r="A287" s="23" t="str">
        <f>IF(Dati!A287="","",Dati!A287)</f>
        <v/>
      </c>
      <c r="B287" s="17" t="str">
        <f>IF(Dati!B287="","",Dati!B287)</f>
        <v/>
      </c>
      <c r="C287" s="17" t="str">
        <f>IF(B287="","",IF(ISNUMBER(B286),IF(B287-B286&lt;0,B287,IF(B287-B286=0,"",B287-B286)),B287))</f>
        <v/>
      </c>
      <c r="D287" s="18" t="str">
        <f>IF(Dati!C287="","",IF(Dati!C287&gt;1,Dati!C287/100,Dati!C287))</f>
        <v/>
      </c>
      <c r="E287" s="18" t="str">
        <f>IF(Dati!D287="","",IF(Dati!D287&gt;1,Dati!D287/100,Dati!D287))</f>
        <v/>
      </c>
      <c r="F287" s="18" t="str">
        <f>IF(OR(D287="",E287=""),"",IF(OR(D287&gt;1,E287&gt;1),(E287-D287)/100,E287-D287))</f>
        <v/>
      </c>
      <c r="G287" s="17" t="str">
        <f>IF(F287="","",IF(64*F287=0,"",64*F287))</f>
        <v/>
      </c>
      <c r="H287" s="19" t="str">
        <f>IF(Dati!E287="","",Dati!E287)</f>
        <v/>
      </c>
      <c r="I287" s="19" t="str">
        <f>IFERROR(IF(OR(C287="",C287=0),"",H287/C287*100),"")</f>
        <v/>
      </c>
      <c r="J287" s="20" t="str">
        <f>IF(Dati!F287="","",Dati!F287)</f>
        <v/>
      </c>
      <c r="K287" s="19" t="str">
        <f>IF(OR(H287="",J287=""),"",IF(H287*J287=0,"",H287*J287))</f>
        <v/>
      </c>
      <c r="L287" s="19" t="str">
        <f>IF(A287="","",IFERROR(IF(SUMPRODUCT((ISNUMBER(A$2:A287))*(A$2:A287&gt;1000)*(MONTH(IF(ISNUMBER(A$2:A287),A$2:A287,1))=MONTH(A287))*(YEAR(IF(ISNUMBER(A$2:A287),A$2:A287,1))=YEAR(A287))*IF(ISNUMBER(K$2:K287),K$2:K287,0))=0,"",SUMPRODUCT((ISNUMBER(A$2:A287))*(A$2:A287&gt;1000)*(MONTH(IF(ISNUMBER(A$2:A287),A$2:A287,1))=MONTH(A287))*(YEAR(IF(ISNUMBER(A$2:A287),A$2:A287,1))=YEAR(A287))*IF(ISNUMBER(K$2:K287),K$2:K287,0))),""))</f>
        <v/>
      </c>
      <c r="M287" s="21" t="str">
        <f>IF(A287="","",IFERROR(IF(SUMIF(N$2:N287,"CASA",K$2:K287)=0,"",SUMIF(N$2:N287,"CASA",K$2:K287)),""))</f>
        <v/>
      </c>
      <c r="N287" s="17" t="str">
        <f>IF(J287="","",IF(J287=0.2,"CASA",IF(Dati!G287="","",Dati!G287)))</f>
        <v/>
      </c>
    </row>
    <row r="288" spans="1:14" ht="15" customHeight="1" x14ac:dyDescent="0.2">
      <c r="A288" s="23" t="str">
        <f>IF(Dati!A288="","",Dati!A288)</f>
        <v/>
      </c>
      <c r="B288" s="17" t="str">
        <f>IF(Dati!B288="","",Dati!B288)</f>
        <v/>
      </c>
      <c r="C288" s="17" t="str">
        <f>IF(B288="","",IF(ISNUMBER(B287),IF(B288-B287&lt;0,B288,IF(B288-B287=0,"",B288-B287)),B288))</f>
        <v/>
      </c>
      <c r="D288" s="18" t="str">
        <f>IF(Dati!C288="","",IF(Dati!C288&gt;1,Dati!C288/100,Dati!C288))</f>
        <v/>
      </c>
      <c r="E288" s="18" t="str">
        <f>IF(Dati!D288="","",IF(Dati!D288&gt;1,Dati!D288/100,Dati!D288))</f>
        <v/>
      </c>
      <c r="F288" s="18" t="str">
        <f>IF(OR(D288="",E288=""),"",IF(OR(D288&gt;1,E288&gt;1),(E288-D288)/100,E288-D288))</f>
        <v/>
      </c>
      <c r="G288" s="17" t="str">
        <f>IF(F288="","",IF(64*F288=0,"",64*F288))</f>
        <v/>
      </c>
      <c r="H288" s="19" t="str">
        <f>IF(Dati!E288="","",Dati!E288)</f>
        <v/>
      </c>
      <c r="I288" s="19" t="str">
        <f>IFERROR(IF(OR(C288="",C288=0),"",H288/C288*100),"")</f>
        <v/>
      </c>
      <c r="J288" s="20" t="str">
        <f>IF(Dati!F288="","",Dati!F288)</f>
        <v/>
      </c>
      <c r="K288" s="19" t="str">
        <f>IF(OR(H288="",J288=""),"",IF(H288*J288=0,"",H288*J288))</f>
        <v/>
      </c>
      <c r="L288" s="19" t="str">
        <f>IF(A288="","",IFERROR(IF(SUMPRODUCT((ISNUMBER(A$2:A288))*(A$2:A288&gt;1000)*(MONTH(IF(ISNUMBER(A$2:A288),A$2:A288,1))=MONTH(A288))*(YEAR(IF(ISNUMBER(A$2:A288),A$2:A288,1))=YEAR(A288))*IF(ISNUMBER(K$2:K288),K$2:K288,0))=0,"",SUMPRODUCT((ISNUMBER(A$2:A288))*(A$2:A288&gt;1000)*(MONTH(IF(ISNUMBER(A$2:A288),A$2:A288,1))=MONTH(A288))*(YEAR(IF(ISNUMBER(A$2:A288),A$2:A288,1))=YEAR(A288))*IF(ISNUMBER(K$2:K288),K$2:K288,0))),""))</f>
        <v/>
      </c>
      <c r="M288" s="21" t="str">
        <f>IF(A288="","",IFERROR(IF(SUMIF(N$2:N288,"CASA",K$2:K288)=0,"",SUMIF(N$2:N288,"CASA",K$2:K288)),""))</f>
        <v/>
      </c>
      <c r="N288" s="17" t="str">
        <f>IF(J288="","",IF(J288=0.2,"CASA",IF(Dati!G288="","",Dati!G288)))</f>
        <v/>
      </c>
    </row>
    <row r="289" spans="1:14" ht="15" customHeight="1" x14ac:dyDescent="0.2">
      <c r="A289" s="23" t="str">
        <f>IF(Dati!A289="","",Dati!A289)</f>
        <v/>
      </c>
      <c r="B289" s="17" t="str">
        <f>IF(Dati!B289="","",Dati!B289)</f>
        <v/>
      </c>
      <c r="C289" s="17" t="str">
        <f>IF(B289="","",IF(ISNUMBER(B288),IF(B289-B288&lt;0,B289,IF(B289-B288=0,"",B289-B288)),B289))</f>
        <v/>
      </c>
      <c r="D289" s="18" t="str">
        <f>IF(Dati!C289="","",IF(Dati!C289&gt;1,Dati!C289/100,Dati!C289))</f>
        <v/>
      </c>
      <c r="E289" s="18" t="str">
        <f>IF(Dati!D289="","",IF(Dati!D289&gt;1,Dati!D289/100,Dati!D289))</f>
        <v/>
      </c>
      <c r="F289" s="18" t="str">
        <f>IF(OR(D289="",E289=""),"",IF(OR(D289&gt;1,E289&gt;1),(E289-D289)/100,E289-D289))</f>
        <v/>
      </c>
      <c r="G289" s="17" t="str">
        <f>IF(F289="","",IF(64*F289=0,"",64*F289))</f>
        <v/>
      </c>
      <c r="H289" s="19" t="str">
        <f>IF(Dati!E289="","",Dati!E289)</f>
        <v/>
      </c>
      <c r="I289" s="19" t="str">
        <f>IFERROR(IF(OR(C289="",C289=0),"",H289/C289*100),"")</f>
        <v/>
      </c>
      <c r="J289" s="20" t="str">
        <f>IF(Dati!F289="","",Dati!F289)</f>
        <v/>
      </c>
      <c r="K289" s="19" t="str">
        <f>IF(OR(H289="",J289=""),"",IF(H289*J289=0,"",H289*J289))</f>
        <v/>
      </c>
      <c r="L289" s="19" t="str">
        <f>IF(A289="","",IFERROR(IF(SUMPRODUCT((ISNUMBER(A$2:A289))*(A$2:A289&gt;1000)*(MONTH(IF(ISNUMBER(A$2:A289),A$2:A289,1))=MONTH(A289))*(YEAR(IF(ISNUMBER(A$2:A289),A$2:A289,1))=YEAR(A289))*IF(ISNUMBER(K$2:K289),K$2:K289,0))=0,"",SUMPRODUCT((ISNUMBER(A$2:A289))*(A$2:A289&gt;1000)*(MONTH(IF(ISNUMBER(A$2:A289),A$2:A289,1))=MONTH(A289))*(YEAR(IF(ISNUMBER(A$2:A289),A$2:A289,1))=YEAR(A289))*IF(ISNUMBER(K$2:K289),K$2:K289,0))),""))</f>
        <v/>
      </c>
      <c r="M289" s="21" t="str">
        <f>IF(A289="","",IFERROR(IF(SUMIF(N$2:N289,"CASA",K$2:K289)=0,"",SUMIF(N$2:N289,"CASA",K$2:K289)),""))</f>
        <v/>
      </c>
      <c r="N289" s="17" t="str">
        <f>IF(J289="","",IF(J289=0.2,"CASA",IF(Dati!G289="","",Dati!G289)))</f>
        <v/>
      </c>
    </row>
    <row r="290" spans="1:14" ht="15" customHeight="1" x14ac:dyDescent="0.2">
      <c r="A290" s="23" t="str">
        <f>IF(Dati!A290="","",Dati!A290)</f>
        <v/>
      </c>
      <c r="B290" s="17" t="str">
        <f>IF(Dati!B290="","",Dati!B290)</f>
        <v/>
      </c>
      <c r="C290" s="17" t="str">
        <f>IF(B290="","",IF(ISNUMBER(B289),IF(B290-B289&lt;0,B290,IF(B290-B289=0,"",B290-B289)),B290))</f>
        <v/>
      </c>
      <c r="D290" s="18" t="str">
        <f>IF(Dati!C290="","",IF(Dati!C290&gt;1,Dati!C290/100,Dati!C290))</f>
        <v/>
      </c>
      <c r="E290" s="18" t="str">
        <f>IF(Dati!D290="","",IF(Dati!D290&gt;1,Dati!D290/100,Dati!D290))</f>
        <v/>
      </c>
      <c r="F290" s="18" t="str">
        <f>IF(OR(D290="",E290=""),"",IF(OR(D290&gt;1,E290&gt;1),(E290-D290)/100,E290-D290))</f>
        <v/>
      </c>
      <c r="G290" s="17" t="str">
        <f>IF(F290="","",IF(64*F290=0,"",64*F290))</f>
        <v/>
      </c>
      <c r="H290" s="19" t="str">
        <f>IF(Dati!E290="","",Dati!E290)</f>
        <v/>
      </c>
      <c r="I290" s="19" t="str">
        <f>IFERROR(IF(OR(C290="",C290=0),"",H290/C290*100),"")</f>
        <v/>
      </c>
      <c r="J290" s="20" t="str">
        <f>IF(Dati!F290="","",Dati!F290)</f>
        <v/>
      </c>
      <c r="K290" s="19" t="str">
        <f>IF(OR(H290="",J290=""),"",IF(H290*J290=0,"",H290*J290))</f>
        <v/>
      </c>
      <c r="L290" s="19" t="str">
        <f>IF(A290="","",IFERROR(IF(SUMPRODUCT((ISNUMBER(A$2:A290))*(A$2:A290&gt;1000)*(MONTH(IF(ISNUMBER(A$2:A290),A$2:A290,1))=MONTH(A290))*(YEAR(IF(ISNUMBER(A$2:A290),A$2:A290,1))=YEAR(A290))*IF(ISNUMBER(K$2:K290),K$2:K290,0))=0,"",SUMPRODUCT((ISNUMBER(A$2:A290))*(A$2:A290&gt;1000)*(MONTH(IF(ISNUMBER(A$2:A290),A$2:A290,1))=MONTH(A290))*(YEAR(IF(ISNUMBER(A$2:A290),A$2:A290,1))=YEAR(A290))*IF(ISNUMBER(K$2:K290),K$2:K290,0))),""))</f>
        <v/>
      </c>
      <c r="M290" s="21" t="str">
        <f>IF(A290="","",IFERROR(IF(SUMIF(N$2:N290,"CASA",K$2:K290)=0,"",SUMIF(N$2:N290,"CASA",K$2:K290)),""))</f>
        <v/>
      </c>
      <c r="N290" s="17" t="str">
        <f>IF(J290="","",IF(J290=0.2,"CASA",IF(Dati!G290="","",Dati!G290)))</f>
        <v/>
      </c>
    </row>
    <row r="291" spans="1:14" ht="15" customHeight="1" x14ac:dyDescent="0.2">
      <c r="A291" s="23" t="str">
        <f>IF(Dati!A291="","",Dati!A291)</f>
        <v/>
      </c>
      <c r="B291" s="17" t="str">
        <f>IF(Dati!B291="","",Dati!B291)</f>
        <v/>
      </c>
      <c r="C291" s="17" t="str">
        <f>IF(B291="","",IF(ISNUMBER(B290),IF(B291-B290&lt;0,B291,IF(B291-B290=0,"",B291-B290)),B291))</f>
        <v/>
      </c>
      <c r="D291" s="18" t="str">
        <f>IF(Dati!C291="","",IF(Dati!C291&gt;1,Dati!C291/100,Dati!C291))</f>
        <v/>
      </c>
      <c r="E291" s="18" t="str">
        <f>IF(Dati!D291="","",IF(Dati!D291&gt;1,Dati!D291/100,Dati!D291))</f>
        <v/>
      </c>
      <c r="F291" s="18" t="str">
        <f>IF(OR(D291="",E291=""),"",IF(OR(D291&gt;1,E291&gt;1),(E291-D291)/100,E291-D291))</f>
        <v/>
      </c>
      <c r="G291" s="17" t="str">
        <f>IF(F291="","",IF(64*F291=0,"",64*F291))</f>
        <v/>
      </c>
      <c r="H291" s="19" t="str">
        <f>IF(Dati!E291="","",Dati!E291)</f>
        <v/>
      </c>
      <c r="I291" s="19" t="str">
        <f>IFERROR(IF(OR(C291="",C291=0),"",H291/C291*100),"")</f>
        <v/>
      </c>
      <c r="J291" s="20" t="str">
        <f>IF(Dati!F291="","",Dati!F291)</f>
        <v/>
      </c>
      <c r="K291" s="19" t="str">
        <f>IF(OR(H291="",J291=""),"",IF(H291*J291=0,"",H291*J291))</f>
        <v/>
      </c>
      <c r="L291" s="19" t="str">
        <f>IF(A291="","",IFERROR(IF(SUMPRODUCT((ISNUMBER(A$2:A291))*(A$2:A291&gt;1000)*(MONTH(IF(ISNUMBER(A$2:A291),A$2:A291,1))=MONTH(A291))*(YEAR(IF(ISNUMBER(A$2:A291),A$2:A291,1))=YEAR(A291))*IF(ISNUMBER(K$2:K291),K$2:K291,0))=0,"",SUMPRODUCT((ISNUMBER(A$2:A291))*(A$2:A291&gt;1000)*(MONTH(IF(ISNUMBER(A$2:A291),A$2:A291,1))=MONTH(A291))*(YEAR(IF(ISNUMBER(A$2:A291),A$2:A291,1))=YEAR(A291))*IF(ISNUMBER(K$2:K291),K$2:K291,0))),""))</f>
        <v/>
      </c>
      <c r="M291" s="21" t="str">
        <f>IF(A291="","",IFERROR(IF(SUMIF(N$2:N291,"CASA",K$2:K291)=0,"",SUMIF(N$2:N291,"CASA",K$2:K291)),""))</f>
        <v/>
      </c>
      <c r="N291" s="17" t="str">
        <f>IF(J291="","",IF(J291=0.2,"CASA",IF(Dati!G291="","",Dati!G291)))</f>
        <v/>
      </c>
    </row>
    <row r="292" spans="1:14" ht="15" customHeight="1" x14ac:dyDescent="0.2">
      <c r="A292" s="23" t="str">
        <f>IF(Dati!A292="","",Dati!A292)</f>
        <v/>
      </c>
      <c r="B292" s="17" t="str">
        <f>IF(Dati!B292="","",Dati!B292)</f>
        <v/>
      </c>
      <c r="C292" s="17" t="str">
        <f>IF(B292="","",IF(ISNUMBER(B291),IF(B292-B291&lt;0,B292,IF(B292-B291=0,"",B292-B291)),B292))</f>
        <v/>
      </c>
      <c r="D292" s="18" t="str">
        <f>IF(Dati!C292="","",IF(Dati!C292&gt;1,Dati!C292/100,Dati!C292))</f>
        <v/>
      </c>
      <c r="E292" s="18" t="str">
        <f>IF(Dati!D292="","",IF(Dati!D292&gt;1,Dati!D292/100,Dati!D292))</f>
        <v/>
      </c>
      <c r="F292" s="18" t="str">
        <f>IF(OR(D292="",E292=""),"",IF(OR(D292&gt;1,E292&gt;1),(E292-D292)/100,E292-D292))</f>
        <v/>
      </c>
      <c r="G292" s="17" t="str">
        <f>IF(F292="","",IF(64*F292=0,"",64*F292))</f>
        <v/>
      </c>
      <c r="H292" s="19" t="str">
        <f>IF(Dati!E292="","",Dati!E292)</f>
        <v/>
      </c>
      <c r="I292" s="19" t="str">
        <f>IFERROR(IF(OR(C292="",C292=0),"",H292/C292*100),"")</f>
        <v/>
      </c>
      <c r="J292" s="20" t="str">
        <f>IF(Dati!F292="","",Dati!F292)</f>
        <v/>
      </c>
      <c r="K292" s="19" t="str">
        <f>IF(OR(H292="",J292=""),"",IF(H292*J292=0,"",H292*J292))</f>
        <v/>
      </c>
      <c r="L292" s="19" t="str">
        <f>IF(A292="","",IFERROR(IF(SUMPRODUCT((ISNUMBER(A$2:A292))*(A$2:A292&gt;1000)*(MONTH(IF(ISNUMBER(A$2:A292),A$2:A292,1))=MONTH(A292))*(YEAR(IF(ISNUMBER(A$2:A292),A$2:A292,1))=YEAR(A292))*IF(ISNUMBER(K$2:K292),K$2:K292,0))=0,"",SUMPRODUCT((ISNUMBER(A$2:A292))*(A$2:A292&gt;1000)*(MONTH(IF(ISNUMBER(A$2:A292),A$2:A292,1))=MONTH(A292))*(YEAR(IF(ISNUMBER(A$2:A292),A$2:A292,1))=YEAR(A292))*IF(ISNUMBER(K$2:K292),K$2:K292,0))),""))</f>
        <v/>
      </c>
      <c r="M292" s="21" t="str">
        <f>IF(A292="","",IFERROR(IF(SUMIF(N$2:N292,"CASA",K$2:K292)=0,"",SUMIF(N$2:N292,"CASA",K$2:K292)),""))</f>
        <v/>
      </c>
      <c r="N292" s="17" t="str">
        <f>IF(J292="","",IF(J292=0.2,"CASA",IF(Dati!G292="","",Dati!G292)))</f>
        <v/>
      </c>
    </row>
    <row r="293" spans="1:14" ht="15" customHeight="1" x14ac:dyDescent="0.2">
      <c r="A293" s="23" t="str">
        <f>IF(Dati!A293="","",Dati!A293)</f>
        <v/>
      </c>
      <c r="B293" s="17" t="str">
        <f>IF(Dati!B293="","",Dati!B293)</f>
        <v/>
      </c>
      <c r="C293" s="17" t="str">
        <f>IF(B293="","",IF(ISNUMBER(B292),IF(B293-B292&lt;0,B293,IF(B293-B292=0,"",B293-B292)),B293))</f>
        <v/>
      </c>
      <c r="D293" s="18" t="str">
        <f>IF(Dati!C293="","",IF(Dati!C293&gt;1,Dati!C293/100,Dati!C293))</f>
        <v/>
      </c>
      <c r="E293" s="18" t="str">
        <f>IF(Dati!D293="","",IF(Dati!D293&gt;1,Dati!D293/100,Dati!D293))</f>
        <v/>
      </c>
      <c r="F293" s="18" t="str">
        <f>IF(OR(D293="",E293=""),"",IF(OR(D293&gt;1,E293&gt;1),(E293-D293)/100,E293-D293))</f>
        <v/>
      </c>
      <c r="G293" s="17" t="str">
        <f>IF(F293="","",IF(64*F293=0,"",64*F293))</f>
        <v/>
      </c>
      <c r="H293" s="19" t="str">
        <f>IF(Dati!E293="","",Dati!E293)</f>
        <v/>
      </c>
      <c r="I293" s="19" t="str">
        <f>IFERROR(IF(OR(C293="",C293=0),"",H293/C293*100),"")</f>
        <v/>
      </c>
      <c r="J293" s="20" t="str">
        <f>IF(Dati!F293="","",Dati!F293)</f>
        <v/>
      </c>
      <c r="K293" s="19" t="str">
        <f>IF(OR(H293="",J293=""),"",IF(H293*J293=0,"",H293*J293))</f>
        <v/>
      </c>
      <c r="L293" s="19" t="str">
        <f>IF(A293="","",IFERROR(IF(SUMPRODUCT((ISNUMBER(A$2:A293))*(A$2:A293&gt;1000)*(MONTH(IF(ISNUMBER(A$2:A293),A$2:A293,1))=MONTH(A293))*(YEAR(IF(ISNUMBER(A$2:A293),A$2:A293,1))=YEAR(A293))*IF(ISNUMBER(K$2:K293),K$2:K293,0))=0,"",SUMPRODUCT((ISNUMBER(A$2:A293))*(A$2:A293&gt;1000)*(MONTH(IF(ISNUMBER(A$2:A293),A$2:A293,1))=MONTH(A293))*(YEAR(IF(ISNUMBER(A$2:A293),A$2:A293,1))=YEAR(A293))*IF(ISNUMBER(K$2:K293),K$2:K293,0))),""))</f>
        <v/>
      </c>
      <c r="M293" s="21" t="str">
        <f>IF(A293="","",IFERROR(IF(SUMIF(N$2:N293,"CASA",K$2:K293)=0,"",SUMIF(N$2:N293,"CASA",K$2:K293)),""))</f>
        <v/>
      </c>
      <c r="N293" s="17" t="str">
        <f>IF(J293="","",IF(J293=0.2,"CASA",IF(Dati!G293="","",Dati!G293)))</f>
        <v/>
      </c>
    </row>
    <row r="294" spans="1:14" ht="15" customHeight="1" x14ac:dyDescent="0.2">
      <c r="A294" s="23" t="str">
        <f>IF(Dati!A294="","",Dati!A294)</f>
        <v/>
      </c>
      <c r="B294" s="17" t="str">
        <f>IF(Dati!B294="","",Dati!B294)</f>
        <v/>
      </c>
      <c r="C294" s="17" t="str">
        <f>IF(B294="","",IF(ISNUMBER(B293),IF(B294-B293&lt;0,B294,IF(B294-B293=0,"",B294-B293)),B294))</f>
        <v/>
      </c>
      <c r="D294" s="18" t="str">
        <f>IF(Dati!C294="","",IF(Dati!C294&gt;1,Dati!C294/100,Dati!C294))</f>
        <v/>
      </c>
      <c r="E294" s="18" t="str">
        <f>IF(Dati!D294="","",IF(Dati!D294&gt;1,Dati!D294/100,Dati!D294))</f>
        <v/>
      </c>
      <c r="F294" s="18" t="str">
        <f>IF(OR(D294="",E294=""),"",IF(OR(D294&gt;1,E294&gt;1),(E294-D294)/100,E294-D294))</f>
        <v/>
      </c>
      <c r="G294" s="17" t="str">
        <f>IF(F294="","",IF(64*F294=0,"",64*F294))</f>
        <v/>
      </c>
      <c r="H294" s="19" t="str">
        <f>IF(Dati!E294="","",Dati!E294)</f>
        <v/>
      </c>
      <c r="I294" s="19" t="str">
        <f>IFERROR(IF(OR(C294="",C294=0),"",H294/C294*100),"")</f>
        <v/>
      </c>
      <c r="J294" s="20" t="str">
        <f>IF(Dati!F294="","",Dati!F294)</f>
        <v/>
      </c>
      <c r="K294" s="19" t="str">
        <f>IF(OR(H294="",J294=""),"",IF(H294*J294=0,"",H294*J294))</f>
        <v/>
      </c>
      <c r="L294" s="19" t="str">
        <f>IF(A294="","",IFERROR(IF(SUMPRODUCT((ISNUMBER(A$2:A294))*(A$2:A294&gt;1000)*(MONTH(IF(ISNUMBER(A$2:A294),A$2:A294,1))=MONTH(A294))*(YEAR(IF(ISNUMBER(A$2:A294),A$2:A294,1))=YEAR(A294))*IF(ISNUMBER(K$2:K294),K$2:K294,0))=0,"",SUMPRODUCT((ISNUMBER(A$2:A294))*(A$2:A294&gt;1000)*(MONTH(IF(ISNUMBER(A$2:A294),A$2:A294,1))=MONTH(A294))*(YEAR(IF(ISNUMBER(A$2:A294),A$2:A294,1))=YEAR(A294))*IF(ISNUMBER(K$2:K294),K$2:K294,0))),""))</f>
        <v/>
      </c>
      <c r="M294" s="21" t="str">
        <f>IF(A294="","",IFERROR(IF(SUMIF(N$2:N294,"CASA",K$2:K294)=0,"",SUMIF(N$2:N294,"CASA",K$2:K294)),""))</f>
        <v/>
      </c>
      <c r="N294" s="17" t="str">
        <f>IF(J294="","",IF(J294=0.2,"CASA",IF(Dati!G294="","",Dati!G294)))</f>
        <v/>
      </c>
    </row>
    <row r="295" spans="1:14" ht="15" customHeight="1" x14ac:dyDescent="0.2">
      <c r="A295" s="23" t="str">
        <f>IF(Dati!A295="","",Dati!A295)</f>
        <v/>
      </c>
      <c r="B295" s="17" t="str">
        <f>IF(Dati!B295="","",Dati!B295)</f>
        <v/>
      </c>
      <c r="C295" s="17" t="str">
        <f>IF(B295="","",IF(ISNUMBER(B294),IF(B295-B294&lt;0,B295,IF(B295-B294=0,"",B295-B294)),B295))</f>
        <v/>
      </c>
      <c r="D295" s="18" t="str">
        <f>IF(Dati!C295="","",IF(Dati!C295&gt;1,Dati!C295/100,Dati!C295))</f>
        <v/>
      </c>
      <c r="E295" s="18" t="str">
        <f>IF(Dati!D295="","",IF(Dati!D295&gt;1,Dati!D295/100,Dati!D295))</f>
        <v/>
      </c>
      <c r="F295" s="18" t="str">
        <f>IF(OR(D295="",E295=""),"",IF(OR(D295&gt;1,E295&gt;1),(E295-D295)/100,E295-D295))</f>
        <v/>
      </c>
      <c r="G295" s="17" t="str">
        <f>IF(F295="","",IF(64*F295=0,"",64*F295))</f>
        <v/>
      </c>
      <c r="H295" s="19" t="str">
        <f>IF(Dati!E295="","",Dati!E295)</f>
        <v/>
      </c>
      <c r="I295" s="19" t="str">
        <f>IFERROR(IF(OR(C295="",C295=0),"",H295/C295*100),"")</f>
        <v/>
      </c>
      <c r="J295" s="20" t="str">
        <f>IF(Dati!F295="","",Dati!F295)</f>
        <v/>
      </c>
      <c r="K295" s="19" t="str">
        <f>IF(OR(H295="",J295=""),"",IF(H295*J295=0,"",H295*J295))</f>
        <v/>
      </c>
      <c r="L295" s="19" t="str">
        <f>IF(A295="","",IFERROR(IF(SUMPRODUCT((ISNUMBER(A$2:A295))*(A$2:A295&gt;1000)*(MONTH(IF(ISNUMBER(A$2:A295),A$2:A295,1))=MONTH(A295))*(YEAR(IF(ISNUMBER(A$2:A295),A$2:A295,1))=YEAR(A295))*IF(ISNUMBER(K$2:K295),K$2:K295,0))=0,"",SUMPRODUCT((ISNUMBER(A$2:A295))*(A$2:A295&gt;1000)*(MONTH(IF(ISNUMBER(A$2:A295),A$2:A295,1))=MONTH(A295))*(YEAR(IF(ISNUMBER(A$2:A295),A$2:A295,1))=YEAR(A295))*IF(ISNUMBER(K$2:K295),K$2:K295,0))),""))</f>
        <v/>
      </c>
      <c r="M295" s="21" t="str">
        <f>IF(A295="","",IFERROR(IF(SUMIF(N$2:N295,"CASA",K$2:K295)=0,"",SUMIF(N$2:N295,"CASA",K$2:K295)),""))</f>
        <v/>
      </c>
      <c r="N295" s="17" t="str">
        <f>IF(J295="","",IF(J295=0.2,"CASA",IF(Dati!G295="","",Dati!G295)))</f>
        <v/>
      </c>
    </row>
    <row r="296" spans="1:14" ht="15" customHeight="1" x14ac:dyDescent="0.2">
      <c r="A296" s="23" t="str">
        <f>IF(Dati!A296="","",Dati!A296)</f>
        <v/>
      </c>
      <c r="B296" s="17" t="str">
        <f>IF(Dati!B296="","",Dati!B296)</f>
        <v/>
      </c>
      <c r="C296" s="17" t="str">
        <f>IF(B296="","",IF(ISNUMBER(B295),IF(B296-B295&lt;0,B296,IF(B296-B295=0,"",B296-B295)),B296))</f>
        <v/>
      </c>
      <c r="D296" s="18" t="str">
        <f>IF(Dati!C296="","",IF(Dati!C296&gt;1,Dati!C296/100,Dati!C296))</f>
        <v/>
      </c>
      <c r="E296" s="18" t="str">
        <f>IF(Dati!D296="","",IF(Dati!D296&gt;1,Dati!D296/100,Dati!D296))</f>
        <v/>
      </c>
      <c r="F296" s="18" t="str">
        <f>IF(OR(D296="",E296=""),"",IF(OR(D296&gt;1,E296&gt;1),(E296-D296)/100,E296-D296))</f>
        <v/>
      </c>
      <c r="G296" s="17" t="str">
        <f>IF(F296="","",IF(64*F296=0,"",64*F296))</f>
        <v/>
      </c>
      <c r="H296" s="19" t="str">
        <f>IF(Dati!E296="","",Dati!E296)</f>
        <v/>
      </c>
      <c r="I296" s="19" t="str">
        <f>IFERROR(IF(OR(C296="",C296=0),"",H296/C296*100),"")</f>
        <v/>
      </c>
      <c r="J296" s="20" t="str">
        <f>IF(Dati!F296="","",Dati!F296)</f>
        <v/>
      </c>
      <c r="K296" s="19" t="str">
        <f>IF(OR(H296="",J296=""),"",IF(H296*J296=0,"",H296*J296))</f>
        <v/>
      </c>
      <c r="L296" s="19" t="str">
        <f>IF(A296="","",IFERROR(IF(SUMPRODUCT((ISNUMBER(A$2:A296))*(A$2:A296&gt;1000)*(MONTH(IF(ISNUMBER(A$2:A296),A$2:A296,1))=MONTH(A296))*(YEAR(IF(ISNUMBER(A$2:A296),A$2:A296,1))=YEAR(A296))*IF(ISNUMBER(K$2:K296),K$2:K296,0))=0,"",SUMPRODUCT((ISNUMBER(A$2:A296))*(A$2:A296&gt;1000)*(MONTH(IF(ISNUMBER(A$2:A296),A$2:A296,1))=MONTH(A296))*(YEAR(IF(ISNUMBER(A$2:A296),A$2:A296,1))=YEAR(A296))*IF(ISNUMBER(K$2:K296),K$2:K296,0))),""))</f>
        <v/>
      </c>
      <c r="M296" s="21" t="str">
        <f>IF(A296="","",IFERROR(IF(SUMIF(N$2:N296,"CASA",K$2:K296)=0,"",SUMIF(N$2:N296,"CASA",K$2:K296)),""))</f>
        <v/>
      </c>
      <c r="N296" s="17" t="str">
        <f>IF(J296="","",IF(J296=0.2,"CASA",IF(Dati!G296="","",Dati!G296)))</f>
        <v/>
      </c>
    </row>
    <row r="297" spans="1:14" ht="15" customHeight="1" x14ac:dyDescent="0.2">
      <c r="A297" s="23" t="str">
        <f>IF(Dati!A297="","",Dati!A297)</f>
        <v/>
      </c>
      <c r="B297" s="17" t="str">
        <f>IF(Dati!B297="","",Dati!B297)</f>
        <v/>
      </c>
      <c r="C297" s="17" t="str">
        <f>IF(B297="","",IF(ISNUMBER(B296),IF(B297-B296&lt;0,B297,IF(B297-B296=0,"",B297-B296)),B297))</f>
        <v/>
      </c>
      <c r="D297" s="18" t="str">
        <f>IF(Dati!C297="","",IF(Dati!C297&gt;1,Dati!C297/100,Dati!C297))</f>
        <v/>
      </c>
      <c r="E297" s="18" t="str">
        <f>IF(Dati!D297="","",IF(Dati!D297&gt;1,Dati!D297/100,Dati!D297))</f>
        <v/>
      </c>
      <c r="F297" s="18" t="str">
        <f>IF(OR(D297="",E297=""),"",IF(OR(D297&gt;1,E297&gt;1),(E297-D297)/100,E297-D297))</f>
        <v/>
      </c>
      <c r="G297" s="17" t="str">
        <f>IF(F297="","",IF(64*F297=0,"",64*F297))</f>
        <v/>
      </c>
      <c r="H297" s="19" t="str">
        <f>IF(Dati!E297="","",Dati!E297)</f>
        <v/>
      </c>
      <c r="I297" s="19" t="str">
        <f>IFERROR(IF(OR(C297="",C297=0),"",H297/C297*100),"")</f>
        <v/>
      </c>
      <c r="J297" s="20" t="str">
        <f>IF(Dati!F297="","",Dati!F297)</f>
        <v/>
      </c>
      <c r="K297" s="19" t="str">
        <f>IF(OR(H297="",J297=""),"",IF(H297*J297=0,"",H297*J297))</f>
        <v/>
      </c>
      <c r="L297" s="19" t="str">
        <f>IF(A297="","",IFERROR(IF(SUMPRODUCT((ISNUMBER(A$2:A297))*(A$2:A297&gt;1000)*(MONTH(IF(ISNUMBER(A$2:A297),A$2:A297,1))=MONTH(A297))*(YEAR(IF(ISNUMBER(A$2:A297),A$2:A297,1))=YEAR(A297))*IF(ISNUMBER(K$2:K297),K$2:K297,0))=0,"",SUMPRODUCT((ISNUMBER(A$2:A297))*(A$2:A297&gt;1000)*(MONTH(IF(ISNUMBER(A$2:A297),A$2:A297,1))=MONTH(A297))*(YEAR(IF(ISNUMBER(A$2:A297),A$2:A297,1))=YEAR(A297))*IF(ISNUMBER(K$2:K297),K$2:K297,0))),""))</f>
        <v/>
      </c>
      <c r="M297" s="21" t="str">
        <f>IF(A297="","",IFERROR(IF(SUMIF(N$2:N297,"CASA",K$2:K297)=0,"",SUMIF(N$2:N297,"CASA",K$2:K297)),""))</f>
        <v/>
      </c>
      <c r="N297" s="17" t="str">
        <f>IF(J297="","",IF(J297=0.2,"CASA",IF(Dati!G297="","",Dati!G297)))</f>
        <v/>
      </c>
    </row>
    <row r="298" spans="1:14" ht="15" customHeight="1" x14ac:dyDescent="0.2">
      <c r="A298" s="23" t="str">
        <f>IF(Dati!A298="","",Dati!A298)</f>
        <v/>
      </c>
      <c r="B298" s="17" t="str">
        <f>IF(Dati!B298="","",Dati!B298)</f>
        <v/>
      </c>
      <c r="C298" s="17" t="str">
        <f>IF(B298="","",IF(ISNUMBER(B297),IF(B298-B297&lt;0,B298,IF(B298-B297=0,"",B298-B297)),B298))</f>
        <v/>
      </c>
      <c r="D298" s="18" t="str">
        <f>IF(Dati!C298="","",IF(Dati!C298&gt;1,Dati!C298/100,Dati!C298))</f>
        <v/>
      </c>
      <c r="E298" s="18" t="str">
        <f>IF(Dati!D298="","",IF(Dati!D298&gt;1,Dati!D298/100,Dati!D298))</f>
        <v/>
      </c>
      <c r="F298" s="18" t="str">
        <f>IF(OR(D298="",E298=""),"",IF(OR(D298&gt;1,E298&gt;1),(E298-D298)/100,E298-D298))</f>
        <v/>
      </c>
      <c r="G298" s="17" t="str">
        <f>IF(F298="","",IF(64*F298=0,"",64*F298))</f>
        <v/>
      </c>
      <c r="H298" s="19" t="str">
        <f>IF(Dati!E298="","",Dati!E298)</f>
        <v/>
      </c>
      <c r="I298" s="19" t="str">
        <f>IFERROR(IF(OR(C298="",C298=0),"",H298/C298*100),"")</f>
        <v/>
      </c>
      <c r="J298" s="20" t="str">
        <f>IF(Dati!F298="","",Dati!F298)</f>
        <v/>
      </c>
      <c r="K298" s="19" t="str">
        <f>IF(OR(H298="",J298=""),"",IF(H298*J298=0,"",H298*J298))</f>
        <v/>
      </c>
      <c r="L298" s="19" t="str">
        <f>IF(A298="","",IFERROR(IF(SUMPRODUCT((ISNUMBER(A$2:A298))*(A$2:A298&gt;1000)*(MONTH(IF(ISNUMBER(A$2:A298),A$2:A298,1))=MONTH(A298))*(YEAR(IF(ISNUMBER(A$2:A298),A$2:A298,1))=YEAR(A298))*IF(ISNUMBER(K$2:K298),K$2:K298,0))=0,"",SUMPRODUCT((ISNUMBER(A$2:A298))*(A$2:A298&gt;1000)*(MONTH(IF(ISNUMBER(A$2:A298),A$2:A298,1))=MONTH(A298))*(YEAR(IF(ISNUMBER(A$2:A298),A$2:A298,1))=YEAR(A298))*IF(ISNUMBER(K$2:K298),K$2:K298,0))),""))</f>
        <v/>
      </c>
      <c r="M298" s="21" t="str">
        <f>IF(A298="","",IFERROR(IF(SUMIF(N$2:N298,"CASA",K$2:K298)=0,"",SUMIF(N$2:N298,"CASA",K$2:K298)),""))</f>
        <v/>
      </c>
      <c r="N298" s="17" t="str">
        <f>IF(J298="","",IF(J298=0.2,"CASA",IF(Dati!G298="","",Dati!G298)))</f>
        <v/>
      </c>
    </row>
    <row r="299" spans="1:14" ht="15" customHeight="1" x14ac:dyDescent="0.2">
      <c r="A299" s="23" t="str">
        <f>IF(Dati!A299="","",Dati!A299)</f>
        <v/>
      </c>
      <c r="B299" s="17" t="str">
        <f>IF(Dati!B299="","",Dati!B299)</f>
        <v/>
      </c>
      <c r="C299" s="17" t="str">
        <f>IF(B299="","",IF(ISNUMBER(B298),IF(B299-B298&lt;0,B299,IF(B299-B298=0,"",B299-B298)),B299))</f>
        <v/>
      </c>
      <c r="D299" s="18" t="str">
        <f>IF(Dati!C299="","",IF(Dati!C299&gt;1,Dati!C299/100,Dati!C299))</f>
        <v/>
      </c>
      <c r="E299" s="18" t="str">
        <f>IF(Dati!D299="","",IF(Dati!D299&gt;1,Dati!D299/100,Dati!D299))</f>
        <v/>
      </c>
      <c r="F299" s="18" t="str">
        <f>IF(OR(D299="",E299=""),"",IF(OR(D299&gt;1,E299&gt;1),(E299-D299)/100,E299-D299))</f>
        <v/>
      </c>
      <c r="G299" s="17" t="str">
        <f>IF(F299="","",IF(64*F299=0,"",64*F299))</f>
        <v/>
      </c>
      <c r="H299" s="19" t="str">
        <f>IF(Dati!E299="","",Dati!E299)</f>
        <v/>
      </c>
      <c r="I299" s="19" t="str">
        <f>IFERROR(IF(OR(C299="",C299=0),"",H299/C299*100),"")</f>
        <v/>
      </c>
      <c r="J299" s="20" t="str">
        <f>IF(Dati!F299="","",Dati!F299)</f>
        <v/>
      </c>
      <c r="K299" s="19" t="str">
        <f>IF(OR(H299="",J299=""),"",IF(H299*J299=0,"",H299*J299))</f>
        <v/>
      </c>
      <c r="L299" s="19" t="str">
        <f>IF(A299="","",IFERROR(IF(SUMPRODUCT((ISNUMBER(A$2:A299))*(A$2:A299&gt;1000)*(MONTH(IF(ISNUMBER(A$2:A299),A$2:A299,1))=MONTH(A299))*(YEAR(IF(ISNUMBER(A$2:A299),A$2:A299,1))=YEAR(A299))*IF(ISNUMBER(K$2:K299),K$2:K299,0))=0,"",SUMPRODUCT((ISNUMBER(A$2:A299))*(A$2:A299&gt;1000)*(MONTH(IF(ISNUMBER(A$2:A299),A$2:A299,1))=MONTH(A299))*(YEAR(IF(ISNUMBER(A$2:A299),A$2:A299,1))=YEAR(A299))*IF(ISNUMBER(K$2:K299),K$2:K299,0))),""))</f>
        <v/>
      </c>
      <c r="M299" s="21" t="str">
        <f>IF(A299="","",IFERROR(IF(SUMIF(N$2:N299,"CASA",K$2:K299)=0,"",SUMIF(N$2:N299,"CASA",K$2:K299)),""))</f>
        <v/>
      </c>
      <c r="N299" s="17" t="str">
        <f>IF(J299="","",IF(J299=0.2,"CASA",IF(Dati!G299="","",Dati!G299)))</f>
        <v/>
      </c>
    </row>
    <row r="300" spans="1:14" ht="15" customHeight="1" x14ac:dyDescent="0.2">
      <c r="A300" s="23" t="str">
        <f>IF(Dati!A300="","",Dati!A300)</f>
        <v/>
      </c>
      <c r="B300" s="17" t="str">
        <f>IF(Dati!B300="","",Dati!B300)</f>
        <v/>
      </c>
      <c r="C300" s="17" t="str">
        <f>IF(B300="","",IF(ISNUMBER(B299),IF(B300-B299&lt;0,B300,IF(B300-B299=0,"",B300-B299)),B300))</f>
        <v/>
      </c>
      <c r="D300" s="18" t="str">
        <f>IF(Dati!C300="","",IF(Dati!C300&gt;1,Dati!C300/100,Dati!C300))</f>
        <v/>
      </c>
      <c r="E300" s="18" t="str">
        <f>IF(Dati!D300="","",IF(Dati!D300&gt;1,Dati!D300/100,Dati!D300))</f>
        <v/>
      </c>
      <c r="F300" s="18" t="str">
        <f>IF(OR(D300="",E300=""),"",IF(OR(D300&gt;1,E300&gt;1),(E300-D300)/100,E300-D300))</f>
        <v/>
      </c>
      <c r="G300" s="17" t="str">
        <f>IF(F300="","",IF(64*F300=0,"",64*F300))</f>
        <v/>
      </c>
      <c r="H300" s="19" t="str">
        <f>IF(Dati!E300="","",Dati!E300)</f>
        <v/>
      </c>
      <c r="I300" s="19" t="str">
        <f>IFERROR(IF(OR(C300="",C300=0),"",H300/C300*100),"")</f>
        <v/>
      </c>
      <c r="J300" s="20" t="str">
        <f>IF(Dati!F300="","",Dati!F300)</f>
        <v/>
      </c>
      <c r="K300" s="19" t="str">
        <f>IF(OR(H300="",J300=""),"",IF(H300*J300=0,"",H300*J300))</f>
        <v/>
      </c>
      <c r="L300" s="19" t="str">
        <f>IF(A300="","",IFERROR(IF(SUMPRODUCT((ISNUMBER(A$2:A300))*(A$2:A300&gt;1000)*(MONTH(IF(ISNUMBER(A$2:A300),A$2:A300,1))=MONTH(A300))*(YEAR(IF(ISNUMBER(A$2:A300),A$2:A300,1))=YEAR(A300))*IF(ISNUMBER(K$2:K300),K$2:K300,0))=0,"",SUMPRODUCT((ISNUMBER(A$2:A300))*(A$2:A300&gt;1000)*(MONTH(IF(ISNUMBER(A$2:A300),A$2:A300,1))=MONTH(A300))*(YEAR(IF(ISNUMBER(A$2:A300),A$2:A300,1))=YEAR(A300))*IF(ISNUMBER(K$2:K300),K$2:K300,0))),""))</f>
        <v/>
      </c>
      <c r="M300" s="21" t="str">
        <f>IF(A300="","",IFERROR(IF(SUMIF(N$2:N300,"CASA",K$2:K300)=0,"",SUMIF(N$2:N300,"CASA",K$2:K300)),""))</f>
        <v/>
      </c>
      <c r="N300" s="17" t="str">
        <f>IF(J300="","",IF(J300=0.2,"CASA",IF(Dati!G300="","",Dati!G300)))</f>
        <v/>
      </c>
    </row>
    <row r="301" spans="1:14" ht="15" customHeight="1" x14ac:dyDescent="0.2">
      <c r="A301" s="23" t="str">
        <f>IF(Dati!A301="","",Dati!A301)</f>
        <v/>
      </c>
      <c r="B301" s="17" t="str">
        <f>IF(Dati!B301="","",Dati!B301)</f>
        <v/>
      </c>
      <c r="C301" s="17" t="str">
        <f>IF(B301="","",IF(ISNUMBER(B300),IF(B301-B300&lt;0,B301,IF(B301-B300=0,"",B301-B300)),B301))</f>
        <v/>
      </c>
      <c r="D301" s="18" t="str">
        <f>IF(Dati!C301="","",IF(Dati!C301&gt;1,Dati!C301/100,Dati!C301))</f>
        <v/>
      </c>
      <c r="E301" s="18" t="str">
        <f>IF(Dati!D301="","",IF(Dati!D301&gt;1,Dati!D301/100,Dati!D301))</f>
        <v/>
      </c>
      <c r="F301" s="18" t="str">
        <f>IF(OR(D301="",E301=""),"",IF(OR(D301&gt;1,E301&gt;1),(E301-D301)/100,E301-D301))</f>
        <v/>
      </c>
      <c r="G301" s="17" t="str">
        <f>IF(F301="","",IF(64*F301=0,"",64*F301))</f>
        <v/>
      </c>
      <c r="H301" s="19" t="str">
        <f>IF(Dati!E301="","",Dati!E301)</f>
        <v/>
      </c>
      <c r="I301" s="19" t="str">
        <f>IFERROR(IF(OR(C301="",C301=0),"",H301/C301*100),"")</f>
        <v/>
      </c>
      <c r="J301" s="20" t="str">
        <f>IF(Dati!F301="","",Dati!F301)</f>
        <v/>
      </c>
      <c r="K301" s="19" t="str">
        <f>IF(OR(H301="",J301=""),"",IF(H301*J301=0,"",H301*J301))</f>
        <v/>
      </c>
      <c r="L301" s="19" t="str">
        <f>IF(A301="","",IFERROR(IF(SUMPRODUCT((ISNUMBER(A$2:A301))*(A$2:A301&gt;1000)*(MONTH(IF(ISNUMBER(A$2:A301),A$2:A301,1))=MONTH(A301))*(YEAR(IF(ISNUMBER(A$2:A301),A$2:A301,1))=YEAR(A301))*IF(ISNUMBER(K$2:K301),K$2:K301,0))=0,"",SUMPRODUCT((ISNUMBER(A$2:A301))*(A$2:A301&gt;1000)*(MONTH(IF(ISNUMBER(A$2:A301),A$2:A301,1))=MONTH(A301))*(YEAR(IF(ISNUMBER(A$2:A301),A$2:A301,1))=YEAR(A301))*IF(ISNUMBER(K$2:K301),K$2:K301,0))),""))</f>
        <v/>
      </c>
      <c r="M301" s="21" t="str">
        <f>IF(A301="","",IFERROR(IF(SUMIF(N$2:N301,"CASA",K$2:K301)=0,"",SUMIF(N$2:N301,"CASA",K$2:K301)),""))</f>
        <v/>
      </c>
      <c r="N301" s="17" t="str">
        <f>IF(J301="","",IF(J301=0.2,"CASA",IF(Dati!G301="","",Dati!G301)))</f>
        <v/>
      </c>
    </row>
    <row r="302" spans="1:14" ht="15" customHeight="1" x14ac:dyDescent="0.2">
      <c r="A302" s="23" t="str">
        <f>IF(Dati!A302="","",Dati!A302)</f>
        <v/>
      </c>
      <c r="B302" s="17" t="str">
        <f>IF(Dati!B302="","",Dati!B302)</f>
        <v/>
      </c>
      <c r="C302" s="17" t="str">
        <f>IF(B302="","",IF(ISNUMBER(B301),IF(B302-B301&lt;0,B302,IF(B302-B301=0,"",B302-B301)),B302))</f>
        <v/>
      </c>
      <c r="D302" s="18" t="str">
        <f>IF(Dati!C302="","",IF(Dati!C302&gt;1,Dati!C302/100,Dati!C302))</f>
        <v/>
      </c>
      <c r="E302" s="18" t="str">
        <f>IF(Dati!D302="","",IF(Dati!D302&gt;1,Dati!D302/100,Dati!D302))</f>
        <v/>
      </c>
      <c r="F302" s="18" t="str">
        <f>IF(OR(D302="",E302=""),"",IF(OR(D302&gt;1,E302&gt;1),(E302-D302)/100,E302-D302))</f>
        <v/>
      </c>
      <c r="G302" s="17" t="str">
        <f>IF(F302="","",IF(64*F302=0,"",64*F302))</f>
        <v/>
      </c>
      <c r="H302" s="19" t="str">
        <f>IF(Dati!E302="","",Dati!E302)</f>
        <v/>
      </c>
      <c r="I302" s="19" t="str">
        <f>IFERROR(IF(OR(C302="",C302=0),"",H302/C302*100),"")</f>
        <v/>
      </c>
      <c r="J302" s="20" t="str">
        <f>IF(Dati!F302="","",Dati!F302)</f>
        <v/>
      </c>
      <c r="K302" s="19" t="str">
        <f>IF(OR(H302="",J302=""),"",IF(H302*J302=0,"",H302*J302))</f>
        <v/>
      </c>
      <c r="L302" s="19" t="str">
        <f>IF(A302="","",IFERROR(IF(SUMPRODUCT((ISNUMBER(A$2:A302))*(A$2:A302&gt;1000)*(MONTH(IF(ISNUMBER(A$2:A302),A$2:A302,1))=MONTH(A302))*(YEAR(IF(ISNUMBER(A$2:A302),A$2:A302,1))=YEAR(A302))*IF(ISNUMBER(K$2:K302),K$2:K302,0))=0,"",SUMPRODUCT((ISNUMBER(A$2:A302))*(A$2:A302&gt;1000)*(MONTH(IF(ISNUMBER(A$2:A302),A$2:A302,1))=MONTH(A302))*(YEAR(IF(ISNUMBER(A$2:A302),A$2:A302,1))=YEAR(A302))*IF(ISNUMBER(K$2:K302),K$2:K302,0))),""))</f>
        <v/>
      </c>
      <c r="M302" s="21" t="str">
        <f>IF(A302="","",IFERROR(IF(SUMIF(N$2:N302,"CASA",K$2:K302)=0,"",SUMIF(N$2:N302,"CASA",K$2:K302)),""))</f>
        <v/>
      </c>
      <c r="N302" s="17" t="str">
        <f>IF(J302="","",IF(J302=0.2,"CASA",IF(Dati!G302="","",Dati!G302)))</f>
        <v/>
      </c>
    </row>
    <row r="303" spans="1:14" ht="15" customHeight="1" x14ac:dyDescent="0.2">
      <c r="A303" s="23" t="str">
        <f>IF(Dati!A303="","",Dati!A303)</f>
        <v/>
      </c>
      <c r="B303" s="17" t="str">
        <f>IF(Dati!B303="","",Dati!B303)</f>
        <v/>
      </c>
      <c r="C303" s="17" t="str">
        <f>IF(B303="","",IF(ISNUMBER(B302),IF(B303-B302&lt;0,B303,IF(B303-B302=0,"",B303-B302)),B303))</f>
        <v/>
      </c>
      <c r="D303" s="18" t="str">
        <f>IF(Dati!C303="","",IF(Dati!C303&gt;1,Dati!C303/100,Dati!C303))</f>
        <v/>
      </c>
      <c r="E303" s="18" t="str">
        <f>IF(Dati!D303="","",IF(Dati!D303&gt;1,Dati!D303/100,Dati!D303))</f>
        <v/>
      </c>
      <c r="F303" s="18" t="str">
        <f>IF(OR(D303="",E303=""),"",IF(OR(D303&gt;1,E303&gt;1),(E303-D303)/100,E303-D303))</f>
        <v/>
      </c>
      <c r="G303" s="17" t="str">
        <f>IF(F303="","",IF(64*F303=0,"",64*F303))</f>
        <v/>
      </c>
      <c r="H303" s="19" t="str">
        <f>IF(Dati!E303="","",Dati!E303)</f>
        <v/>
      </c>
      <c r="I303" s="19" t="str">
        <f>IFERROR(IF(OR(C303="",C303=0),"",H303/C303*100),"")</f>
        <v/>
      </c>
      <c r="J303" s="20" t="str">
        <f>IF(Dati!F303="","",Dati!F303)</f>
        <v/>
      </c>
      <c r="K303" s="19" t="str">
        <f>IF(OR(H303="",J303=""),"",IF(H303*J303=0,"",H303*J303))</f>
        <v/>
      </c>
      <c r="L303" s="19" t="str">
        <f>IF(A303="","",IFERROR(IF(SUMPRODUCT((ISNUMBER(A$2:A303))*(A$2:A303&gt;1000)*(MONTH(IF(ISNUMBER(A$2:A303),A$2:A303,1))=MONTH(A303))*(YEAR(IF(ISNUMBER(A$2:A303),A$2:A303,1))=YEAR(A303))*IF(ISNUMBER(K$2:K303),K$2:K303,0))=0,"",SUMPRODUCT((ISNUMBER(A$2:A303))*(A$2:A303&gt;1000)*(MONTH(IF(ISNUMBER(A$2:A303),A$2:A303,1))=MONTH(A303))*(YEAR(IF(ISNUMBER(A$2:A303),A$2:A303,1))=YEAR(A303))*IF(ISNUMBER(K$2:K303),K$2:K303,0))),""))</f>
        <v/>
      </c>
      <c r="M303" s="21" t="str">
        <f>IF(A303="","",IFERROR(IF(SUMIF(N$2:N303,"CASA",K$2:K303)=0,"",SUMIF(N$2:N303,"CASA",K$2:K303)),""))</f>
        <v/>
      </c>
      <c r="N303" s="17" t="str">
        <f>IF(J303="","",IF(J303=0.2,"CASA",IF(Dati!G303="","",Dati!G303)))</f>
        <v/>
      </c>
    </row>
    <row r="304" spans="1:14" ht="15" customHeight="1" x14ac:dyDescent="0.2">
      <c r="A304" s="23" t="str">
        <f>IF(Dati!A304="","",Dati!A304)</f>
        <v/>
      </c>
      <c r="B304" s="17" t="str">
        <f>IF(Dati!B304="","",Dati!B304)</f>
        <v/>
      </c>
      <c r="C304" s="17" t="str">
        <f>IF(B304="","",IF(ISNUMBER(B303),IF(B304-B303&lt;0,B304,IF(B304-B303=0,"",B304-B303)),B304))</f>
        <v/>
      </c>
      <c r="D304" s="18" t="str">
        <f>IF(Dati!C304="","",IF(Dati!C304&gt;1,Dati!C304/100,Dati!C304))</f>
        <v/>
      </c>
      <c r="E304" s="18" t="str">
        <f>IF(Dati!D304="","",IF(Dati!D304&gt;1,Dati!D304/100,Dati!D304))</f>
        <v/>
      </c>
      <c r="F304" s="18" t="str">
        <f>IF(OR(D304="",E304=""),"",IF(OR(D304&gt;1,E304&gt;1),(E304-D304)/100,E304-D304))</f>
        <v/>
      </c>
      <c r="G304" s="17" t="str">
        <f>IF(F304="","",IF(64*F304=0,"",64*F304))</f>
        <v/>
      </c>
      <c r="H304" s="19" t="str">
        <f>IF(Dati!E304="","",Dati!E304)</f>
        <v/>
      </c>
      <c r="I304" s="19" t="str">
        <f>IFERROR(IF(OR(C304="",C304=0),"",H304/C304*100),"")</f>
        <v/>
      </c>
      <c r="J304" s="20" t="str">
        <f>IF(Dati!F304="","",Dati!F304)</f>
        <v/>
      </c>
      <c r="K304" s="19" t="str">
        <f>IF(OR(H304="",J304=""),"",IF(H304*J304=0,"",H304*J304))</f>
        <v/>
      </c>
      <c r="L304" s="19" t="str">
        <f>IF(A304="","",IFERROR(IF(SUMPRODUCT((ISNUMBER(A$2:A304))*(A$2:A304&gt;1000)*(MONTH(IF(ISNUMBER(A$2:A304),A$2:A304,1))=MONTH(A304))*(YEAR(IF(ISNUMBER(A$2:A304),A$2:A304,1))=YEAR(A304))*IF(ISNUMBER(K$2:K304),K$2:K304,0))=0,"",SUMPRODUCT((ISNUMBER(A$2:A304))*(A$2:A304&gt;1000)*(MONTH(IF(ISNUMBER(A$2:A304),A$2:A304,1))=MONTH(A304))*(YEAR(IF(ISNUMBER(A$2:A304),A$2:A304,1))=YEAR(A304))*IF(ISNUMBER(K$2:K304),K$2:K304,0))),""))</f>
        <v/>
      </c>
      <c r="M304" s="21" t="str">
        <f>IF(A304="","",IFERROR(IF(SUMIF(N$2:N304,"CASA",K$2:K304)=0,"",SUMIF(N$2:N304,"CASA",K$2:K304)),""))</f>
        <v/>
      </c>
      <c r="N304" s="17" t="str">
        <f>IF(J304="","",IF(J304=0.2,"CASA",IF(Dati!G304="","",Dati!G304)))</f>
        <v/>
      </c>
    </row>
    <row r="305" spans="1:14" ht="15" customHeight="1" x14ac:dyDescent="0.2">
      <c r="A305" s="23" t="str">
        <f>IF(Dati!A305="","",Dati!A305)</f>
        <v/>
      </c>
      <c r="B305" s="17" t="str">
        <f>IF(Dati!B305="","",Dati!B305)</f>
        <v/>
      </c>
      <c r="C305" s="17" t="str">
        <f>IF(B305="","",IF(ISNUMBER(B304),IF(B305-B304&lt;0,B305,IF(B305-B304=0,"",B305-B304)),B305))</f>
        <v/>
      </c>
      <c r="D305" s="18" t="str">
        <f>IF(Dati!C305="","",IF(Dati!C305&gt;1,Dati!C305/100,Dati!C305))</f>
        <v/>
      </c>
      <c r="E305" s="18" t="str">
        <f>IF(Dati!D305="","",IF(Dati!D305&gt;1,Dati!D305/100,Dati!D305))</f>
        <v/>
      </c>
      <c r="F305" s="18" t="str">
        <f>IF(OR(D305="",E305=""),"",IF(OR(D305&gt;1,E305&gt;1),(E305-D305)/100,E305-D305))</f>
        <v/>
      </c>
      <c r="G305" s="17" t="str">
        <f>IF(F305="","",IF(64*F305=0,"",64*F305))</f>
        <v/>
      </c>
      <c r="H305" s="19" t="str">
        <f>IF(Dati!E305="","",Dati!E305)</f>
        <v/>
      </c>
      <c r="I305" s="19" t="str">
        <f>IFERROR(IF(OR(C305="",C305=0),"",H305/C305*100),"")</f>
        <v/>
      </c>
      <c r="J305" s="20" t="str">
        <f>IF(Dati!F305="","",Dati!F305)</f>
        <v/>
      </c>
      <c r="K305" s="19" t="str">
        <f>IF(OR(H305="",J305=""),"",IF(H305*J305=0,"",H305*J305))</f>
        <v/>
      </c>
      <c r="L305" s="19" t="str">
        <f>IF(A305="","",IFERROR(IF(SUMPRODUCT((ISNUMBER(A$2:A305))*(A$2:A305&gt;1000)*(MONTH(IF(ISNUMBER(A$2:A305),A$2:A305,1))=MONTH(A305))*(YEAR(IF(ISNUMBER(A$2:A305),A$2:A305,1))=YEAR(A305))*IF(ISNUMBER(K$2:K305),K$2:K305,0))=0,"",SUMPRODUCT((ISNUMBER(A$2:A305))*(A$2:A305&gt;1000)*(MONTH(IF(ISNUMBER(A$2:A305),A$2:A305,1))=MONTH(A305))*(YEAR(IF(ISNUMBER(A$2:A305),A$2:A305,1))=YEAR(A305))*IF(ISNUMBER(K$2:K305),K$2:K305,0))),""))</f>
        <v/>
      </c>
      <c r="M305" s="21" t="str">
        <f>IF(A305="","",IFERROR(IF(SUMIF(N$2:N305,"CASA",K$2:K305)=0,"",SUMIF(N$2:N305,"CASA",K$2:K305)),""))</f>
        <v/>
      </c>
      <c r="N305" s="17" t="str">
        <f>IF(J305="","",IF(J305=0.2,"CASA",IF(Dati!G305="","",Dati!G305)))</f>
        <v/>
      </c>
    </row>
    <row r="306" spans="1:14" ht="15" customHeight="1" x14ac:dyDescent="0.2">
      <c r="A306" s="23" t="str">
        <f>IF(Dati!A306="","",Dati!A306)</f>
        <v/>
      </c>
      <c r="B306" s="17" t="str">
        <f>IF(Dati!B306="","",Dati!B306)</f>
        <v/>
      </c>
      <c r="C306" s="17" t="str">
        <f>IF(B306="","",IF(ISNUMBER(B305),IF(B306-B305&lt;0,B306,IF(B306-B305=0,"",B306-B305)),B306))</f>
        <v/>
      </c>
      <c r="D306" s="18" t="str">
        <f>IF(Dati!C306="","",IF(Dati!C306&gt;1,Dati!C306/100,Dati!C306))</f>
        <v/>
      </c>
      <c r="E306" s="18" t="str">
        <f>IF(Dati!D306="","",IF(Dati!D306&gt;1,Dati!D306/100,Dati!D306))</f>
        <v/>
      </c>
      <c r="F306" s="18" t="str">
        <f>IF(OR(D306="",E306=""),"",IF(OR(D306&gt;1,E306&gt;1),(E306-D306)/100,E306-D306))</f>
        <v/>
      </c>
      <c r="G306" s="17" t="str">
        <f>IF(F306="","",IF(64*F306=0,"",64*F306))</f>
        <v/>
      </c>
      <c r="H306" s="19" t="str">
        <f>IF(Dati!E306="","",Dati!E306)</f>
        <v/>
      </c>
      <c r="I306" s="19" t="str">
        <f>IFERROR(IF(OR(C306="",C306=0),"",H306/C306*100),"")</f>
        <v/>
      </c>
      <c r="J306" s="20" t="str">
        <f>IF(Dati!F306="","",Dati!F306)</f>
        <v/>
      </c>
      <c r="K306" s="19" t="str">
        <f>IF(OR(H306="",J306=""),"",IF(H306*J306=0,"",H306*J306))</f>
        <v/>
      </c>
      <c r="L306" s="19" t="str">
        <f>IF(A306="","",IFERROR(IF(SUMPRODUCT((ISNUMBER(A$2:A306))*(A$2:A306&gt;1000)*(MONTH(IF(ISNUMBER(A$2:A306),A$2:A306,1))=MONTH(A306))*(YEAR(IF(ISNUMBER(A$2:A306),A$2:A306,1))=YEAR(A306))*IF(ISNUMBER(K$2:K306),K$2:K306,0))=0,"",SUMPRODUCT((ISNUMBER(A$2:A306))*(A$2:A306&gt;1000)*(MONTH(IF(ISNUMBER(A$2:A306),A$2:A306,1))=MONTH(A306))*(YEAR(IF(ISNUMBER(A$2:A306),A$2:A306,1))=YEAR(A306))*IF(ISNUMBER(K$2:K306),K$2:K306,0))),""))</f>
        <v/>
      </c>
      <c r="M306" s="21" t="str">
        <f>IF(A306="","",IFERROR(IF(SUMIF(N$2:N306,"CASA",K$2:K306)=0,"",SUMIF(N$2:N306,"CASA",K$2:K306)),""))</f>
        <v/>
      </c>
      <c r="N306" s="17" t="str">
        <f>IF(J306="","",IF(J306=0.2,"CASA",IF(Dati!G306="","",Dati!G306)))</f>
        <v/>
      </c>
    </row>
    <row r="307" spans="1:14" ht="15" customHeight="1" x14ac:dyDescent="0.2">
      <c r="A307" s="23" t="str">
        <f>IF(Dati!A307="","",Dati!A307)</f>
        <v/>
      </c>
      <c r="B307" s="17" t="str">
        <f>IF(Dati!B307="","",Dati!B307)</f>
        <v/>
      </c>
      <c r="C307" s="17" t="str">
        <f>IF(B307="","",IF(ISNUMBER(B306),IF(B307-B306&lt;0,B307,IF(B307-B306=0,"",B307-B306)),B307))</f>
        <v/>
      </c>
      <c r="D307" s="18" t="str">
        <f>IF(Dati!C307="","",IF(Dati!C307&gt;1,Dati!C307/100,Dati!C307))</f>
        <v/>
      </c>
      <c r="E307" s="18" t="str">
        <f>IF(Dati!D307="","",IF(Dati!D307&gt;1,Dati!D307/100,Dati!D307))</f>
        <v/>
      </c>
      <c r="F307" s="18" t="str">
        <f>IF(OR(D307="",E307=""),"",IF(OR(D307&gt;1,E307&gt;1),(E307-D307)/100,E307-D307))</f>
        <v/>
      </c>
      <c r="G307" s="17" t="str">
        <f>IF(F307="","",IF(64*F307=0,"",64*F307))</f>
        <v/>
      </c>
      <c r="H307" s="19" t="str">
        <f>IF(Dati!E307="","",Dati!E307)</f>
        <v/>
      </c>
      <c r="I307" s="19" t="str">
        <f>IFERROR(IF(OR(C307="",C307=0),"",H307/C307*100),"")</f>
        <v/>
      </c>
      <c r="J307" s="20" t="str">
        <f>IF(Dati!F307="","",Dati!F307)</f>
        <v/>
      </c>
      <c r="K307" s="19" t="str">
        <f>IF(OR(H307="",J307=""),"",IF(H307*J307=0,"",H307*J307))</f>
        <v/>
      </c>
      <c r="L307" s="19" t="str">
        <f>IF(A307="","",IFERROR(IF(SUMPRODUCT((ISNUMBER(A$2:A307))*(A$2:A307&gt;1000)*(MONTH(IF(ISNUMBER(A$2:A307),A$2:A307,1))=MONTH(A307))*(YEAR(IF(ISNUMBER(A$2:A307),A$2:A307,1))=YEAR(A307))*IF(ISNUMBER(K$2:K307),K$2:K307,0))=0,"",SUMPRODUCT((ISNUMBER(A$2:A307))*(A$2:A307&gt;1000)*(MONTH(IF(ISNUMBER(A$2:A307),A$2:A307,1))=MONTH(A307))*(YEAR(IF(ISNUMBER(A$2:A307),A$2:A307,1))=YEAR(A307))*IF(ISNUMBER(K$2:K307),K$2:K307,0))),""))</f>
        <v/>
      </c>
      <c r="M307" s="21" t="str">
        <f>IF(A307="","",IFERROR(IF(SUMIF(N$2:N307,"CASA",K$2:K307)=0,"",SUMIF(N$2:N307,"CASA",K$2:K307)),""))</f>
        <v/>
      </c>
      <c r="N307" s="17" t="str">
        <f>IF(J307="","",IF(J307=0.2,"CASA",IF(Dati!G307="","",Dati!G307)))</f>
        <v/>
      </c>
    </row>
    <row r="308" spans="1:14" ht="15" customHeight="1" x14ac:dyDescent="0.2">
      <c r="A308" s="23" t="str">
        <f>IF(Dati!A308="","",Dati!A308)</f>
        <v/>
      </c>
      <c r="B308" s="17" t="str">
        <f>IF(Dati!B308="","",Dati!B308)</f>
        <v/>
      </c>
      <c r="C308" s="17" t="str">
        <f>IF(B308="","",IF(ISNUMBER(B307),IF(B308-B307&lt;0,B308,IF(B308-B307=0,"",B308-B307)),B308))</f>
        <v/>
      </c>
      <c r="D308" s="18" t="str">
        <f>IF(Dati!C308="","",IF(Dati!C308&gt;1,Dati!C308/100,Dati!C308))</f>
        <v/>
      </c>
      <c r="E308" s="18" t="str">
        <f>IF(Dati!D308="","",IF(Dati!D308&gt;1,Dati!D308/100,Dati!D308))</f>
        <v/>
      </c>
      <c r="F308" s="18" t="str">
        <f>IF(OR(D308="",E308=""),"",IF(OR(D308&gt;1,E308&gt;1),(E308-D308)/100,E308-D308))</f>
        <v/>
      </c>
      <c r="G308" s="17" t="str">
        <f>IF(F308="","",IF(64*F308=0,"",64*F308))</f>
        <v/>
      </c>
      <c r="H308" s="19" t="str">
        <f>IF(Dati!E308="","",Dati!E308)</f>
        <v/>
      </c>
      <c r="I308" s="19" t="str">
        <f>IFERROR(IF(OR(C308="",C308=0),"",H308/C308*100),"")</f>
        <v/>
      </c>
      <c r="J308" s="20" t="str">
        <f>IF(Dati!F308="","",Dati!F308)</f>
        <v/>
      </c>
      <c r="K308" s="19" t="str">
        <f>IF(OR(H308="",J308=""),"",IF(H308*J308=0,"",H308*J308))</f>
        <v/>
      </c>
      <c r="L308" s="19" t="str">
        <f>IF(A308="","",IFERROR(IF(SUMPRODUCT((ISNUMBER(A$2:A308))*(A$2:A308&gt;1000)*(MONTH(IF(ISNUMBER(A$2:A308),A$2:A308,1))=MONTH(A308))*(YEAR(IF(ISNUMBER(A$2:A308),A$2:A308,1))=YEAR(A308))*IF(ISNUMBER(K$2:K308),K$2:K308,0))=0,"",SUMPRODUCT((ISNUMBER(A$2:A308))*(A$2:A308&gt;1000)*(MONTH(IF(ISNUMBER(A$2:A308),A$2:A308,1))=MONTH(A308))*(YEAR(IF(ISNUMBER(A$2:A308),A$2:A308,1))=YEAR(A308))*IF(ISNUMBER(K$2:K308),K$2:K308,0))),""))</f>
        <v/>
      </c>
      <c r="M308" s="21" t="str">
        <f>IF(A308="","",IFERROR(IF(SUMIF(N$2:N308,"CASA",K$2:K308)=0,"",SUMIF(N$2:N308,"CASA",K$2:K308)),""))</f>
        <v/>
      </c>
      <c r="N308" s="17" t="str">
        <f>IF(J308="","",IF(J308=0.2,"CASA",IF(Dati!G308="","",Dati!G308)))</f>
        <v/>
      </c>
    </row>
    <row r="309" spans="1:14" ht="15" customHeight="1" x14ac:dyDescent="0.2">
      <c r="A309" s="23" t="str">
        <f>IF(Dati!A309="","",Dati!A309)</f>
        <v/>
      </c>
      <c r="B309" s="17" t="str">
        <f>IF(Dati!B309="","",Dati!B309)</f>
        <v/>
      </c>
      <c r="C309" s="17" t="str">
        <f>IF(B309="","",IF(ISNUMBER(B308),IF(B309-B308&lt;0,B309,IF(B309-B308=0,"",B309-B308)),B309))</f>
        <v/>
      </c>
      <c r="D309" s="18" t="str">
        <f>IF(Dati!C309="","",IF(Dati!C309&gt;1,Dati!C309/100,Dati!C309))</f>
        <v/>
      </c>
      <c r="E309" s="18" t="str">
        <f>IF(Dati!D309="","",IF(Dati!D309&gt;1,Dati!D309/100,Dati!D309))</f>
        <v/>
      </c>
      <c r="F309" s="18" t="str">
        <f>IF(OR(D309="",E309=""),"",IF(OR(D309&gt;1,E309&gt;1),(E309-D309)/100,E309-D309))</f>
        <v/>
      </c>
      <c r="G309" s="17" t="str">
        <f>IF(F309="","",IF(64*F309=0,"",64*F309))</f>
        <v/>
      </c>
      <c r="H309" s="19" t="str">
        <f>IF(Dati!E309="","",Dati!E309)</f>
        <v/>
      </c>
      <c r="I309" s="19" t="str">
        <f>IFERROR(IF(OR(C309="",C309=0),"",H309/C309*100),"")</f>
        <v/>
      </c>
      <c r="J309" s="20" t="str">
        <f>IF(Dati!F309="","",Dati!F309)</f>
        <v/>
      </c>
      <c r="K309" s="19" t="str">
        <f>IF(OR(H309="",J309=""),"",IF(H309*J309=0,"",H309*J309))</f>
        <v/>
      </c>
      <c r="L309" s="19" t="str">
        <f>IF(A309="","",IFERROR(IF(SUMPRODUCT((ISNUMBER(A$2:A309))*(A$2:A309&gt;1000)*(MONTH(IF(ISNUMBER(A$2:A309),A$2:A309,1))=MONTH(A309))*(YEAR(IF(ISNUMBER(A$2:A309),A$2:A309,1))=YEAR(A309))*IF(ISNUMBER(K$2:K309),K$2:K309,0))=0,"",SUMPRODUCT((ISNUMBER(A$2:A309))*(A$2:A309&gt;1000)*(MONTH(IF(ISNUMBER(A$2:A309),A$2:A309,1))=MONTH(A309))*(YEAR(IF(ISNUMBER(A$2:A309),A$2:A309,1))=YEAR(A309))*IF(ISNUMBER(K$2:K309),K$2:K309,0))),""))</f>
        <v/>
      </c>
      <c r="M309" s="21" t="str">
        <f>IF(A309="","",IFERROR(IF(SUMIF(N$2:N309,"CASA",K$2:K309)=0,"",SUMIF(N$2:N309,"CASA",K$2:K309)),""))</f>
        <v/>
      </c>
      <c r="N309" s="17" t="str">
        <f>IF(J309="","",IF(J309=0.2,"CASA",IF(Dati!G309="","",Dati!G309)))</f>
        <v/>
      </c>
    </row>
    <row r="310" spans="1:14" ht="15" customHeight="1" x14ac:dyDescent="0.2">
      <c r="A310" s="23" t="str">
        <f>IF(Dati!A310="","",Dati!A310)</f>
        <v/>
      </c>
      <c r="B310" s="17" t="str">
        <f>IF(Dati!B310="","",Dati!B310)</f>
        <v/>
      </c>
      <c r="C310" s="17" t="str">
        <f>IF(B310="","",IF(ISNUMBER(B309),IF(B310-B309&lt;0,B310,IF(B310-B309=0,"",B310-B309)),B310))</f>
        <v/>
      </c>
      <c r="D310" s="18" t="str">
        <f>IF(Dati!C310="","",IF(Dati!C310&gt;1,Dati!C310/100,Dati!C310))</f>
        <v/>
      </c>
      <c r="E310" s="18" t="str">
        <f>IF(Dati!D310="","",IF(Dati!D310&gt;1,Dati!D310/100,Dati!D310))</f>
        <v/>
      </c>
      <c r="F310" s="18" t="str">
        <f>IF(OR(D310="",E310=""),"",IF(OR(D310&gt;1,E310&gt;1),(E310-D310)/100,E310-D310))</f>
        <v/>
      </c>
      <c r="G310" s="17" t="str">
        <f>IF(F310="","",IF(64*F310=0,"",64*F310))</f>
        <v/>
      </c>
      <c r="H310" s="19" t="str">
        <f>IF(Dati!E310="","",Dati!E310)</f>
        <v/>
      </c>
      <c r="I310" s="19" t="str">
        <f>IFERROR(IF(OR(C310="",C310=0),"",H310/C310*100),"")</f>
        <v/>
      </c>
      <c r="J310" s="20" t="str">
        <f>IF(Dati!F310="","",Dati!F310)</f>
        <v/>
      </c>
      <c r="K310" s="19" t="str">
        <f>IF(OR(H310="",J310=""),"",IF(H310*J310=0,"",H310*J310))</f>
        <v/>
      </c>
      <c r="L310" s="19" t="str">
        <f>IF(A310="","",IFERROR(IF(SUMPRODUCT((ISNUMBER(A$2:A310))*(A$2:A310&gt;1000)*(MONTH(IF(ISNUMBER(A$2:A310),A$2:A310,1))=MONTH(A310))*(YEAR(IF(ISNUMBER(A$2:A310),A$2:A310,1))=YEAR(A310))*IF(ISNUMBER(K$2:K310),K$2:K310,0))=0,"",SUMPRODUCT((ISNUMBER(A$2:A310))*(A$2:A310&gt;1000)*(MONTH(IF(ISNUMBER(A$2:A310),A$2:A310,1))=MONTH(A310))*(YEAR(IF(ISNUMBER(A$2:A310),A$2:A310,1))=YEAR(A310))*IF(ISNUMBER(K$2:K310),K$2:K310,0))),""))</f>
        <v/>
      </c>
      <c r="M310" s="21" t="str">
        <f>IF(A310="","",IFERROR(IF(SUMIF(N$2:N310,"CASA",K$2:K310)=0,"",SUMIF(N$2:N310,"CASA",K$2:K310)),""))</f>
        <v/>
      </c>
      <c r="N310" s="17" t="str">
        <f>IF(J310="","",IF(J310=0.2,"CASA",IF(Dati!G310="","",Dati!G310)))</f>
        <v/>
      </c>
    </row>
    <row r="311" spans="1:14" ht="15" customHeight="1" x14ac:dyDescent="0.2">
      <c r="A311" s="23" t="str">
        <f>IF(Dati!A311="","",Dati!A311)</f>
        <v/>
      </c>
      <c r="B311" s="17" t="str">
        <f>IF(Dati!B311="","",Dati!B311)</f>
        <v/>
      </c>
      <c r="C311" s="17" t="str">
        <f>IF(B311="","",IF(ISNUMBER(B310),IF(B311-B310&lt;0,B311,IF(B311-B310=0,"",B311-B310)),B311))</f>
        <v/>
      </c>
      <c r="D311" s="18" t="str">
        <f>IF(Dati!C311="","",IF(Dati!C311&gt;1,Dati!C311/100,Dati!C311))</f>
        <v/>
      </c>
      <c r="E311" s="18" t="str">
        <f>IF(Dati!D311="","",IF(Dati!D311&gt;1,Dati!D311/100,Dati!D311))</f>
        <v/>
      </c>
      <c r="F311" s="18" t="str">
        <f>IF(OR(D311="",E311=""),"",IF(OR(D311&gt;1,E311&gt;1),(E311-D311)/100,E311-D311))</f>
        <v/>
      </c>
      <c r="G311" s="17" t="str">
        <f>IF(F311="","",IF(64*F311=0,"",64*F311))</f>
        <v/>
      </c>
      <c r="H311" s="19" t="str">
        <f>IF(Dati!E311="","",Dati!E311)</f>
        <v/>
      </c>
      <c r="I311" s="19" t="str">
        <f>IFERROR(IF(OR(C311="",C311=0),"",H311/C311*100),"")</f>
        <v/>
      </c>
      <c r="J311" s="20" t="str">
        <f>IF(Dati!F311="","",Dati!F311)</f>
        <v/>
      </c>
      <c r="K311" s="19" t="str">
        <f>IF(OR(H311="",J311=""),"",IF(H311*J311=0,"",H311*J311))</f>
        <v/>
      </c>
      <c r="L311" s="19" t="str">
        <f>IF(A311="","",IFERROR(IF(SUMPRODUCT((ISNUMBER(A$2:A311))*(A$2:A311&gt;1000)*(MONTH(IF(ISNUMBER(A$2:A311),A$2:A311,1))=MONTH(A311))*(YEAR(IF(ISNUMBER(A$2:A311),A$2:A311,1))=YEAR(A311))*IF(ISNUMBER(K$2:K311),K$2:K311,0))=0,"",SUMPRODUCT((ISNUMBER(A$2:A311))*(A$2:A311&gt;1000)*(MONTH(IF(ISNUMBER(A$2:A311),A$2:A311,1))=MONTH(A311))*(YEAR(IF(ISNUMBER(A$2:A311),A$2:A311,1))=YEAR(A311))*IF(ISNUMBER(K$2:K311),K$2:K311,0))),""))</f>
        <v/>
      </c>
      <c r="M311" s="21" t="str">
        <f>IF(A311="","",IFERROR(IF(SUMIF(N$2:N311,"CASA",K$2:K311)=0,"",SUMIF(N$2:N311,"CASA",K$2:K311)),""))</f>
        <v/>
      </c>
      <c r="N311" s="17" t="str">
        <f>IF(J311="","",IF(J311=0.2,"CASA",IF(Dati!G311="","",Dati!G311)))</f>
        <v/>
      </c>
    </row>
    <row r="312" spans="1:14" ht="15" customHeight="1" x14ac:dyDescent="0.2">
      <c r="A312" s="23" t="str">
        <f>IF(Dati!A312="","",Dati!A312)</f>
        <v/>
      </c>
      <c r="B312" s="17" t="str">
        <f>IF(Dati!B312="","",Dati!B312)</f>
        <v/>
      </c>
      <c r="C312" s="17" t="str">
        <f>IF(B312="","",IF(ISNUMBER(B311),IF(B312-B311&lt;0,B312,IF(B312-B311=0,"",B312-B311)),B312))</f>
        <v/>
      </c>
      <c r="D312" s="18" t="str">
        <f>IF(Dati!C312="","",IF(Dati!C312&gt;1,Dati!C312/100,Dati!C312))</f>
        <v/>
      </c>
      <c r="E312" s="18" t="str">
        <f>IF(Dati!D312="","",IF(Dati!D312&gt;1,Dati!D312/100,Dati!D312))</f>
        <v/>
      </c>
      <c r="F312" s="18" t="str">
        <f>IF(OR(D312="",E312=""),"",IF(OR(D312&gt;1,E312&gt;1),(E312-D312)/100,E312-D312))</f>
        <v/>
      </c>
      <c r="G312" s="17" t="str">
        <f>IF(F312="","",IF(64*F312=0,"",64*F312))</f>
        <v/>
      </c>
      <c r="H312" s="19" t="str">
        <f>IF(Dati!E312="","",Dati!E312)</f>
        <v/>
      </c>
      <c r="I312" s="19" t="str">
        <f>IFERROR(IF(OR(C312="",C312=0),"",H312/C312*100),"")</f>
        <v/>
      </c>
      <c r="J312" s="20" t="str">
        <f>IF(Dati!F312="","",Dati!F312)</f>
        <v/>
      </c>
      <c r="K312" s="19" t="str">
        <f>IF(OR(H312="",J312=""),"",IF(H312*J312=0,"",H312*J312))</f>
        <v/>
      </c>
      <c r="L312" s="19" t="str">
        <f>IF(A312="","",IFERROR(IF(SUMPRODUCT((ISNUMBER(A$2:A312))*(A$2:A312&gt;1000)*(MONTH(IF(ISNUMBER(A$2:A312),A$2:A312,1))=MONTH(A312))*(YEAR(IF(ISNUMBER(A$2:A312),A$2:A312,1))=YEAR(A312))*IF(ISNUMBER(K$2:K312),K$2:K312,0))=0,"",SUMPRODUCT((ISNUMBER(A$2:A312))*(A$2:A312&gt;1000)*(MONTH(IF(ISNUMBER(A$2:A312),A$2:A312,1))=MONTH(A312))*(YEAR(IF(ISNUMBER(A$2:A312),A$2:A312,1))=YEAR(A312))*IF(ISNUMBER(K$2:K312),K$2:K312,0))),""))</f>
        <v/>
      </c>
      <c r="M312" s="21" t="str">
        <f>IF(A312="","",IFERROR(IF(SUMIF(N$2:N312,"CASA",K$2:K312)=0,"",SUMIF(N$2:N312,"CASA",K$2:K312)),""))</f>
        <v/>
      </c>
      <c r="N312" s="17" t="str">
        <f>IF(J312="","",IF(J312=0.2,"CASA",IF(Dati!G312="","",Dati!G312)))</f>
        <v/>
      </c>
    </row>
    <row r="313" spans="1:14" ht="15" customHeight="1" x14ac:dyDescent="0.2">
      <c r="A313" s="23" t="str">
        <f>IF(Dati!A313="","",Dati!A313)</f>
        <v/>
      </c>
      <c r="B313" s="17" t="str">
        <f>IF(Dati!B313="","",Dati!B313)</f>
        <v/>
      </c>
      <c r="C313" s="17" t="str">
        <f>IF(B313="","",IF(ISNUMBER(B312),IF(B313-B312&lt;0,B313,IF(B313-B312=0,"",B313-B312)),B313))</f>
        <v/>
      </c>
      <c r="D313" s="18" t="str">
        <f>IF(Dati!C313="","",IF(Dati!C313&gt;1,Dati!C313/100,Dati!C313))</f>
        <v/>
      </c>
      <c r="E313" s="18" t="str">
        <f>IF(Dati!D313="","",IF(Dati!D313&gt;1,Dati!D313/100,Dati!D313))</f>
        <v/>
      </c>
      <c r="F313" s="18" t="str">
        <f>IF(OR(D313="",E313=""),"",IF(OR(D313&gt;1,E313&gt;1),(E313-D313)/100,E313-D313))</f>
        <v/>
      </c>
      <c r="G313" s="17" t="str">
        <f>IF(F313="","",IF(64*F313=0,"",64*F313))</f>
        <v/>
      </c>
      <c r="H313" s="19" t="str">
        <f>IF(Dati!E313="","",Dati!E313)</f>
        <v/>
      </c>
      <c r="I313" s="19" t="str">
        <f>IFERROR(IF(OR(C313="",C313=0),"",H313/C313*100),"")</f>
        <v/>
      </c>
      <c r="J313" s="20" t="str">
        <f>IF(Dati!F313="","",Dati!F313)</f>
        <v/>
      </c>
      <c r="K313" s="19" t="str">
        <f>IF(OR(H313="",J313=""),"",IF(H313*J313=0,"",H313*J313))</f>
        <v/>
      </c>
      <c r="L313" s="19" t="str">
        <f>IF(A313="","",IFERROR(IF(SUMPRODUCT((ISNUMBER(A$2:A313))*(A$2:A313&gt;1000)*(MONTH(IF(ISNUMBER(A$2:A313),A$2:A313,1))=MONTH(A313))*(YEAR(IF(ISNUMBER(A$2:A313),A$2:A313,1))=YEAR(A313))*IF(ISNUMBER(K$2:K313),K$2:K313,0))=0,"",SUMPRODUCT((ISNUMBER(A$2:A313))*(A$2:A313&gt;1000)*(MONTH(IF(ISNUMBER(A$2:A313),A$2:A313,1))=MONTH(A313))*(YEAR(IF(ISNUMBER(A$2:A313),A$2:A313,1))=YEAR(A313))*IF(ISNUMBER(K$2:K313),K$2:K313,0))),""))</f>
        <v/>
      </c>
      <c r="M313" s="21" t="str">
        <f>IF(A313="","",IFERROR(IF(SUMIF(N$2:N313,"CASA",K$2:K313)=0,"",SUMIF(N$2:N313,"CASA",K$2:K313)),""))</f>
        <v/>
      </c>
      <c r="N313" s="17" t="str">
        <f>IF(J313="","",IF(J313=0.2,"CASA",IF(Dati!G313="","",Dati!G313)))</f>
        <v/>
      </c>
    </row>
    <row r="314" spans="1:14" ht="15" customHeight="1" x14ac:dyDescent="0.2">
      <c r="A314" s="23" t="str">
        <f>IF(Dati!A314="","",Dati!A314)</f>
        <v/>
      </c>
      <c r="B314" s="17" t="str">
        <f>IF(Dati!B314="","",Dati!B314)</f>
        <v/>
      </c>
      <c r="C314" s="17" t="str">
        <f>IF(B314="","",IF(ISNUMBER(B313),IF(B314-B313&lt;0,B314,IF(B314-B313=0,"",B314-B313)),B314))</f>
        <v/>
      </c>
      <c r="D314" s="18" t="str">
        <f>IF(Dati!C314="","",IF(Dati!C314&gt;1,Dati!C314/100,Dati!C314))</f>
        <v/>
      </c>
      <c r="E314" s="18" t="str">
        <f>IF(Dati!D314="","",IF(Dati!D314&gt;1,Dati!D314/100,Dati!D314))</f>
        <v/>
      </c>
      <c r="F314" s="18" t="str">
        <f>IF(OR(D314="",E314=""),"",IF(OR(D314&gt;1,E314&gt;1),(E314-D314)/100,E314-D314))</f>
        <v/>
      </c>
      <c r="G314" s="17" t="str">
        <f>IF(F314="","",IF(64*F314=0,"",64*F314))</f>
        <v/>
      </c>
      <c r="H314" s="19" t="str">
        <f>IF(Dati!E314="","",Dati!E314)</f>
        <v/>
      </c>
      <c r="I314" s="19" t="str">
        <f>IFERROR(IF(OR(C314="",C314=0),"",H314/C314*100),"")</f>
        <v/>
      </c>
      <c r="J314" s="20" t="str">
        <f>IF(Dati!F314="","",Dati!F314)</f>
        <v/>
      </c>
      <c r="K314" s="19" t="str">
        <f>IF(OR(H314="",J314=""),"",IF(H314*J314=0,"",H314*J314))</f>
        <v/>
      </c>
      <c r="L314" s="19" t="str">
        <f>IF(A314="","",IFERROR(IF(SUMPRODUCT((ISNUMBER(A$2:A314))*(A$2:A314&gt;1000)*(MONTH(IF(ISNUMBER(A$2:A314),A$2:A314,1))=MONTH(A314))*(YEAR(IF(ISNUMBER(A$2:A314),A$2:A314,1))=YEAR(A314))*IF(ISNUMBER(K$2:K314),K$2:K314,0))=0,"",SUMPRODUCT((ISNUMBER(A$2:A314))*(A$2:A314&gt;1000)*(MONTH(IF(ISNUMBER(A$2:A314),A$2:A314,1))=MONTH(A314))*(YEAR(IF(ISNUMBER(A$2:A314),A$2:A314,1))=YEAR(A314))*IF(ISNUMBER(K$2:K314),K$2:K314,0))),""))</f>
        <v/>
      </c>
      <c r="M314" s="21" t="str">
        <f>IF(A314="","",IFERROR(IF(SUMIF(N$2:N314,"CASA",K$2:K314)=0,"",SUMIF(N$2:N314,"CASA",K$2:K314)),""))</f>
        <v/>
      </c>
      <c r="N314" s="17" t="str">
        <f>IF(J314="","",IF(J314=0.2,"CASA",IF(Dati!G314="","",Dati!G314)))</f>
        <v/>
      </c>
    </row>
    <row r="315" spans="1:14" ht="15" customHeight="1" x14ac:dyDescent="0.2">
      <c r="A315" s="23" t="str">
        <f>IF(Dati!A315="","",Dati!A315)</f>
        <v/>
      </c>
      <c r="B315" s="17" t="str">
        <f>IF(Dati!B315="","",Dati!B315)</f>
        <v/>
      </c>
      <c r="C315" s="17" t="str">
        <f>IF(B315="","",IF(ISNUMBER(B314),IF(B315-B314&lt;0,B315,IF(B315-B314=0,"",B315-B314)),B315))</f>
        <v/>
      </c>
      <c r="D315" s="18" t="str">
        <f>IF(Dati!C315="","",IF(Dati!C315&gt;1,Dati!C315/100,Dati!C315))</f>
        <v/>
      </c>
      <c r="E315" s="18" t="str">
        <f>IF(Dati!D315="","",IF(Dati!D315&gt;1,Dati!D315/100,Dati!D315))</f>
        <v/>
      </c>
      <c r="F315" s="18" t="str">
        <f>IF(OR(D315="",E315=""),"",IF(OR(D315&gt;1,E315&gt;1),(E315-D315)/100,E315-D315))</f>
        <v/>
      </c>
      <c r="G315" s="17" t="str">
        <f>IF(F315="","",IF(64*F315=0,"",64*F315))</f>
        <v/>
      </c>
      <c r="H315" s="19" t="str">
        <f>IF(Dati!E315="","",Dati!E315)</f>
        <v/>
      </c>
      <c r="I315" s="19" t="str">
        <f>IFERROR(IF(OR(C315="",C315=0),"",H315/C315*100),"")</f>
        <v/>
      </c>
      <c r="J315" s="20" t="str">
        <f>IF(Dati!F315="","",Dati!F315)</f>
        <v/>
      </c>
      <c r="K315" s="19" t="str">
        <f>IF(OR(H315="",J315=""),"",IF(H315*J315=0,"",H315*J315))</f>
        <v/>
      </c>
      <c r="L315" s="19" t="str">
        <f>IF(A315="","",IFERROR(IF(SUMPRODUCT((ISNUMBER(A$2:A315))*(A$2:A315&gt;1000)*(MONTH(IF(ISNUMBER(A$2:A315),A$2:A315,1))=MONTH(A315))*(YEAR(IF(ISNUMBER(A$2:A315),A$2:A315,1))=YEAR(A315))*IF(ISNUMBER(K$2:K315),K$2:K315,0))=0,"",SUMPRODUCT((ISNUMBER(A$2:A315))*(A$2:A315&gt;1000)*(MONTH(IF(ISNUMBER(A$2:A315),A$2:A315,1))=MONTH(A315))*(YEAR(IF(ISNUMBER(A$2:A315),A$2:A315,1))=YEAR(A315))*IF(ISNUMBER(K$2:K315),K$2:K315,0))),""))</f>
        <v/>
      </c>
      <c r="M315" s="21" t="str">
        <f>IF(A315="","",IFERROR(IF(SUMIF(N$2:N315,"CASA",K$2:K315)=0,"",SUMIF(N$2:N315,"CASA",K$2:K315)),""))</f>
        <v/>
      </c>
      <c r="N315" s="17" t="str">
        <f>IF(J315="","",IF(J315=0.2,"CASA",IF(Dati!G315="","",Dati!G315)))</f>
        <v/>
      </c>
    </row>
    <row r="316" spans="1:14" ht="15" customHeight="1" x14ac:dyDescent="0.2">
      <c r="A316" s="23" t="str">
        <f>IF(Dati!A316="","",Dati!A316)</f>
        <v/>
      </c>
      <c r="B316" s="17" t="str">
        <f>IF(Dati!B316="","",Dati!B316)</f>
        <v/>
      </c>
      <c r="C316" s="17" t="str">
        <f>IF(B316="","",IF(ISNUMBER(B315),IF(B316-B315&lt;0,B316,IF(B316-B315=0,"",B316-B315)),B316))</f>
        <v/>
      </c>
      <c r="D316" s="18" t="str">
        <f>IF(Dati!C316="","",IF(Dati!C316&gt;1,Dati!C316/100,Dati!C316))</f>
        <v/>
      </c>
      <c r="E316" s="18" t="str">
        <f>IF(Dati!D316="","",IF(Dati!D316&gt;1,Dati!D316/100,Dati!D316))</f>
        <v/>
      </c>
      <c r="F316" s="18" t="str">
        <f>IF(OR(D316="",E316=""),"",IF(OR(D316&gt;1,E316&gt;1),(E316-D316)/100,E316-D316))</f>
        <v/>
      </c>
      <c r="G316" s="17" t="str">
        <f>IF(F316="","",IF(64*F316=0,"",64*F316))</f>
        <v/>
      </c>
      <c r="H316" s="19" t="str">
        <f>IF(Dati!E316="","",Dati!E316)</f>
        <v/>
      </c>
      <c r="I316" s="19" t="str">
        <f>IFERROR(IF(OR(C316="",C316=0),"",H316/C316*100),"")</f>
        <v/>
      </c>
      <c r="J316" s="20" t="str">
        <f>IF(Dati!F316="","",Dati!F316)</f>
        <v/>
      </c>
      <c r="K316" s="19" t="str">
        <f>IF(OR(H316="",J316=""),"",IF(H316*J316=0,"",H316*J316))</f>
        <v/>
      </c>
      <c r="L316" s="19" t="str">
        <f>IF(A316="","",IFERROR(IF(SUMPRODUCT((ISNUMBER(A$2:A316))*(A$2:A316&gt;1000)*(MONTH(IF(ISNUMBER(A$2:A316),A$2:A316,1))=MONTH(A316))*(YEAR(IF(ISNUMBER(A$2:A316),A$2:A316,1))=YEAR(A316))*IF(ISNUMBER(K$2:K316),K$2:K316,0))=0,"",SUMPRODUCT((ISNUMBER(A$2:A316))*(A$2:A316&gt;1000)*(MONTH(IF(ISNUMBER(A$2:A316),A$2:A316,1))=MONTH(A316))*(YEAR(IF(ISNUMBER(A$2:A316),A$2:A316,1))=YEAR(A316))*IF(ISNUMBER(K$2:K316),K$2:K316,0))),""))</f>
        <v/>
      </c>
      <c r="M316" s="21" t="str">
        <f>IF(A316="","",IFERROR(IF(SUMIF(N$2:N316,"CASA",K$2:K316)=0,"",SUMIF(N$2:N316,"CASA",K$2:K316)),""))</f>
        <v/>
      </c>
      <c r="N316" s="17" t="str">
        <f>IF(J316="","",IF(J316=0.2,"CASA",IF(Dati!G316="","",Dati!G316)))</f>
        <v/>
      </c>
    </row>
    <row r="317" spans="1:14" ht="15" customHeight="1" x14ac:dyDescent="0.2">
      <c r="A317" s="23" t="str">
        <f>IF(Dati!A317="","",Dati!A317)</f>
        <v/>
      </c>
      <c r="B317" s="17" t="str">
        <f>IF(Dati!B317="","",Dati!B317)</f>
        <v/>
      </c>
      <c r="C317" s="17" t="str">
        <f>IF(B317="","",IF(ISNUMBER(B316),IF(B317-B316&lt;0,B317,IF(B317-B316=0,"",B317-B316)),B317))</f>
        <v/>
      </c>
      <c r="D317" s="18" t="str">
        <f>IF(Dati!C317="","",IF(Dati!C317&gt;1,Dati!C317/100,Dati!C317))</f>
        <v/>
      </c>
      <c r="E317" s="18" t="str">
        <f>IF(Dati!D317="","",IF(Dati!D317&gt;1,Dati!D317/100,Dati!D317))</f>
        <v/>
      </c>
      <c r="F317" s="18" t="str">
        <f>IF(OR(D317="",E317=""),"",IF(OR(D317&gt;1,E317&gt;1),(E317-D317)/100,E317-D317))</f>
        <v/>
      </c>
      <c r="G317" s="17" t="str">
        <f>IF(F317="","",IF(64*F317=0,"",64*F317))</f>
        <v/>
      </c>
      <c r="H317" s="19" t="str">
        <f>IF(Dati!E317="","",Dati!E317)</f>
        <v/>
      </c>
      <c r="I317" s="19" t="str">
        <f>IFERROR(IF(OR(C317="",C317=0),"",H317/C317*100),"")</f>
        <v/>
      </c>
      <c r="J317" s="20" t="str">
        <f>IF(Dati!F317="","",Dati!F317)</f>
        <v/>
      </c>
      <c r="K317" s="19" t="str">
        <f>IF(OR(H317="",J317=""),"",IF(H317*J317=0,"",H317*J317))</f>
        <v/>
      </c>
      <c r="L317" s="19" t="str">
        <f>IF(A317="","",IFERROR(IF(SUMPRODUCT((ISNUMBER(A$2:A317))*(A$2:A317&gt;1000)*(MONTH(IF(ISNUMBER(A$2:A317),A$2:A317,1))=MONTH(A317))*(YEAR(IF(ISNUMBER(A$2:A317),A$2:A317,1))=YEAR(A317))*IF(ISNUMBER(K$2:K317),K$2:K317,0))=0,"",SUMPRODUCT((ISNUMBER(A$2:A317))*(A$2:A317&gt;1000)*(MONTH(IF(ISNUMBER(A$2:A317),A$2:A317,1))=MONTH(A317))*(YEAR(IF(ISNUMBER(A$2:A317),A$2:A317,1))=YEAR(A317))*IF(ISNUMBER(K$2:K317),K$2:K317,0))),""))</f>
        <v/>
      </c>
      <c r="M317" s="21" t="str">
        <f>IF(A317="","",IFERROR(IF(SUMIF(N$2:N317,"CASA",K$2:K317)=0,"",SUMIF(N$2:N317,"CASA",K$2:K317)),""))</f>
        <v/>
      </c>
      <c r="N317" s="17" t="str">
        <f>IF(J317="","",IF(J317=0.2,"CASA",IF(Dati!G317="","",Dati!G317)))</f>
        <v/>
      </c>
    </row>
    <row r="318" spans="1:14" ht="15" customHeight="1" x14ac:dyDescent="0.2">
      <c r="A318" s="23" t="str">
        <f>IF(Dati!A318="","",Dati!A318)</f>
        <v/>
      </c>
      <c r="B318" s="17" t="str">
        <f>IF(Dati!B318="","",Dati!B318)</f>
        <v/>
      </c>
      <c r="C318" s="17" t="str">
        <f>IF(B318="","",IF(ISNUMBER(B317),IF(B318-B317&lt;0,B318,IF(B318-B317=0,"",B318-B317)),B318))</f>
        <v/>
      </c>
      <c r="D318" s="18" t="str">
        <f>IF(Dati!C318="","",IF(Dati!C318&gt;1,Dati!C318/100,Dati!C318))</f>
        <v/>
      </c>
      <c r="E318" s="18" t="str">
        <f>IF(Dati!D318="","",IF(Dati!D318&gt;1,Dati!D318/100,Dati!D318))</f>
        <v/>
      </c>
      <c r="F318" s="18" t="str">
        <f>IF(OR(D318="",E318=""),"",IF(OR(D318&gt;1,E318&gt;1),(E318-D318)/100,E318-D318))</f>
        <v/>
      </c>
      <c r="G318" s="17" t="str">
        <f>IF(F318="","",IF(64*F318=0,"",64*F318))</f>
        <v/>
      </c>
      <c r="H318" s="19" t="str">
        <f>IF(Dati!E318="","",Dati!E318)</f>
        <v/>
      </c>
      <c r="I318" s="19" t="str">
        <f>IFERROR(IF(OR(C318="",C318=0),"",H318/C318*100),"")</f>
        <v/>
      </c>
      <c r="J318" s="20" t="str">
        <f>IF(Dati!F318="","",Dati!F318)</f>
        <v/>
      </c>
      <c r="K318" s="19" t="str">
        <f>IF(OR(H318="",J318=""),"",IF(H318*J318=0,"",H318*J318))</f>
        <v/>
      </c>
      <c r="L318" s="19" t="str">
        <f>IF(A318="","",IFERROR(IF(SUMPRODUCT((ISNUMBER(A$2:A318))*(A$2:A318&gt;1000)*(MONTH(IF(ISNUMBER(A$2:A318),A$2:A318,1))=MONTH(A318))*(YEAR(IF(ISNUMBER(A$2:A318),A$2:A318,1))=YEAR(A318))*IF(ISNUMBER(K$2:K318),K$2:K318,0))=0,"",SUMPRODUCT((ISNUMBER(A$2:A318))*(A$2:A318&gt;1000)*(MONTH(IF(ISNUMBER(A$2:A318),A$2:A318,1))=MONTH(A318))*(YEAR(IF(ISNUMBER(A$2:A318),A$2:A318,1))=YEAR(A318))*IF(ISNUMBER(K$2:K318),K$2:K318,0))),""))</f>
        <v/>
      </c>
      <c r="M318" s="21" t="str">
        <f>IF(A318="","",IFERROR(IF(SUMIF(N$2:N318,"CASA",K$2:K318)=0,"",SUMIF(N$2:N318,"CASA",K$2:K318)),""))</f>
        <v/>
      </c>
      <c r="N318" s="17" t="str">
        <f>IF(J318="","",IF(J318=0.2,"CASA",IF(Dati!G318="","",Dati!G318)))</f>
        <v/>
      </c>
    </row>
    <row r="319" spans="1:14" ht="15" customHeight="1" x14ac:dyDescent="0.2">
      <c r="A319" s="23" t="str">
        <f>IF(Dati!A319="","",Dati!A319)</f>
        <v/>
      </c>
      <c r="B319" s="17" t="str">
        <f>IF(Dati!B319="","",Dati!B319)</f>
        <v/>
      </c>
      <c r="C319" s="17" t="str">
        <f>IF(B319="","",IF(ISNUMBER(B318),IF(B319-B318&lt;0,B319,IF(B319-B318=0,"",B319-B318)),B319))</f>
        <v/>
      </c>
      <c r="D319" s="18" t="str">
        <f>IF(Dati!C319="","",IF(Dati!C319&gt;1,Dati!C319/100,Dati!C319))</f>
        <v/>
      </c>
      <c r="E319" s="18" t="str">
        <f>IF(Dati!D319="","",IF(Dati!D319&gt;1,Dati!D319/100,Dati!D319))</f>
        <v/>
      </c>
      <c r="F319" s="18" t="str">
        <f>IF(OR(D319="",E319=""),"",IF(OR(D319&gt;1,E319&gt;1),(E319-D319)/100,E319-D319))</f>
        <v/>
      </c>
      <c r="G319" s="17" t="str">
        <f>IF(F319="","",IF(64*F319=0,"",64*F319))</f>
        <v/>
      </c>
      <c r="H319" s="19" t="str">
        <f>IF(Dati!E319="","",Dati!E319)</f>
        <v/>
      </c>
      <c r="I319" s="19" t="str">
        <f>IFERROR(IF(OR(C319="",C319=0),"",H319/C319*100),"")</f>
        <v/>
      </c>
      <c r="J319" s="20" t="str">
        <f>IF(Dati!F319="","",Dati!F319)</f>
        <v/>
      </c>
      <c r="K319" s="19" t="str">
        <f>IF(OR(H319="",J319=""),"",IF(H319*J319=0,"",H319*J319))</f>
        <v/>
      </c>
      <c r="L319" s="19" t="str">
        <f>IF(A319="","",IFERROR(IF(SUMPRODUCT((ISNUMBER(A$2:A319))*(A$2:A319&gt;1000)*(MONTH(IF(ISNUMBER(A$2:A319),A$2:A319,1))=MONTH(A319))*(YEAR(IF(ISNUMBER(A$2:A319),A$2:A319,1))=YEAR(A319))*IF(ISNUMBER(K$2:K319),K$2:K319,0))=0,"",SUMPRODUCT((ISNUMBER(A$2:A319))*(A$2:A319&gt;1000)*(MONTH(IF(ISNUMBER(A$2:A319),A$2:A319,1))=MONTH(A319))*(YEAR(IF(ISNUMBER(A$2:A319),A$2:A319,1))=YEAR(A319))*IF(ISNUMBER(K$2:K319),K$2:K319,0))),""))</f>
        <v/>
      </c>
      <c r="M319" s="21" t="str">
        <f>IF(A319="","",IFERROR(IF(SUMIF(N$2:N319,"CASA",K$2:K319)=0,"",SUMIF(N$2:N319,"CASA",K$2:K319)),""))</f>
        <v/>
      </c>
      <c r="N319" s="17" t="str">
        <f>IF(J319="","",IF(J319=0.2,"CASA",IF(Dati!G319="","",Dati!G319)))</f>
        <v/>
      </c>
    </row>
    <row r="320" spans="1:14" ht="15" customHeight="1" x14ac:dyDescent="0.2">
      <c r="A320" s="23" t="str">
        <f>IF(Dati!A320="","",Dati!A320)</f>
        <v/>
      </c>
      <c r="B320" s="17" t="str">
        <f>IF(Dati!B320="","",Dati!B320)</f>
        <v/>
      </c>
      <c r="C320" s="17" t="str">
        <f>IF(B320="","",IF(ISNUMBER(B319),IF(B320-B319&lt;0,B320,IF(B320-B319=0,"",B320-B319)),B320))</f>
        <v/>
      </c>
      <c r="D320" s="18" t="str">
        <f>IF(Dati!C320="","",IF(Dati!C320&gt;1,Dati!C320/100,Dati!C320))</f>
        <v/>
      </c>
      <c r="E320" s="18" t="str">
        <f>IF(Dati!D320="","",IF(Dati!D320&gt;1,Dati!D320/100,Dati!D320))</f>
        <v/>
      </c>
      <c r="F320" s="18" t="str">
        <f>IF(OR(D320="",E320=""),"",IF(OR(D320&gt;1,E320&gt;1),(E320-D320)/100,E320-D320))</f>
        <v/>
      </c>
      <c r="G320" s="17" t="str">
        <f>IF(F320="","",IF(64*F320=0,"",64*F320))</f>
        <v/>
      </c>
      <c r="H320" s="19" t="str">
        <f>IF(Dati!E320="","",Dati!E320)</f>
        <v/>
      </c>
      <c r="I320" s="19" t="str">
        <f>IFERROR(IF(OR(C320="",C320=0),"",H320/C320*100),"")</f>
        <v/>
      </c>
      <c r="J320" s="20" t="str">
        <f>IF(Dati!F320="","",Dati!F320)</f>
        <v/>
      </c>
      <c r="K320" s="19" t="str">
        <f>IF(OR(H320="",J320=""),"",IF(H320*J320=0,"",H320*J320))</f>
        <v/>
      </c>
      <c r="L320" s="19" t="str">
        <f>IF(A320="","",IFERROR(IF(SUMPRODUCT((ISNUMBER(A$2:A320))*(A$2:A320&gt;1000)*(MONTH(IF(ISNUMBER(A$2:A320),A$2:A320,1))=MONTH(A320))*(YEAR(IF(ISNUMBER(A$2:A320),A$2:A320,1))=YEAR(A320))*IF(ISNUMBER(K$2:K320),K$2:K320,0))=0,"",SUMPRODUCT((ISNUMBER(A$2:A320))*(A$2:A320&gt;1000)*(MONTH(IF(ISNUMBER(A$2:A320),A$2:A320,1))=MONTH(A320))*(YEAR(IF(ISNUMBER(A$2:A320),A$2:A320,1))=YEAR(A320))*IF(ISNUMBER(K$2:K320),K$2:K320,0))),""))</f>
        <v/>
      </c>
      <c r="M320" s="21" t="str">
        <f>IF(A320="","",IFERROR(IF(SUMIF(N$2:N320,"CASA",K$2:K320)=0,"",SUMIF(N$2:N320,"CASA",K$2:K320)),""))</f>
        <v/>
      </c>
      <c r="N320" s="17" t="str">
        <f>IF(J320="","",IF(J320=0.2,"CASA",IF(Dati!G320="","",Dati!G320)))</f>
        <v/>
      </c>
    </row>
    <row r="321" spans="1:14" ht="15" customHeight="1" x14ac:dyDescent="0.2">
      <c r="A321" s="23" t="str">
        <f>IF(Dati!A321="","",Dati!A321)</f>
        <v/>
      </c>
      <c r="B321" s="17" t="str">
        <f>IF(Dati!B321="","",Dati!B321)</f>
        <v/>
      </c>
      <c r="C321" s="17" t="str">
        <f>IF(B321="","",IF(ISNUMBER(B320),IF(B321-B320&lt;0,B321,IF(B321-B320=0,"",B321-B320)),B321))</f>
        <v/>
      </c>
      <c r="D321" s="18" t="str">
        <f>IF(Dati!C321="","",IF(Dati!C321&gt;1,Dati!C321/100,Dati!C321))</f>
        <v/>
      </c>
      <c r="E321" s="18" t="str">
        <f>IF(Dati!D321="","",IF(Dati!D321&gt;1,Dati!D321/100,Dati!D321))</f>
        <v/>
      </c>
      <c r="F321" s="18" t="str">
        <f>IF(OR(D321="",E321=""),"",IF(OR(D321&gt;1,E321&gt;1),(E321-D321)/100,E321-D321))</f>
        <v/>
      </c>
      <c r="G321" s="17" t="str">
        <f>IF(F321="","",IF(64*F321=0,"",64*F321))</f>
        <v/>
      </c>
      <c r="H321" s="19" t="str">
        <f>IF(Dati!E321="","",Dati!E321)</f>
        <v/>
      </c>
      <c r="I321" s="19" t="str">
        <f>IFERROR(IF(OR(C321="",C321=0),"",H321/C321*100),"")</f>
        <v/>
      </c>
      <c r="J321" s="20" t="str">
        <f>IF(Dati!F321="","",Dati!F321)</f>
        <v/>
      </c>
      <c r="K321" s="19" t="str">
        <f>IF(OR(H321="",J321=""),"",IF(H321*J321=0,"",H321*J321))</f>
        <v/>
      </c>
      <c r="L321" s="19" t="str">
        <f>IF(A321="","",IFERROR(IF(SUMPRODUCT((ISNUMBER(A$2:A321))*(A$2:A321&gt;1000)*(MONTH(IF(ISNUMBER(A$2:A321),A$2:A321,1))=MONTH(A321))*(YEAR(IF(ISNUMBER(A$2:A321),A$2:A321,1))=YEAR(A321))*IF(ISNUMBER(K$2:K321),K$2:K321,0))=0,"",SUMPRODUCT((ISNUMBER(A$2:A321))*(A$2:A321&gt;1000)*(MONTH(IF(ISNUMBER(A$2:A321),A$2:A321,1))=MONTH(A321))*(YEAR(IF(ISNUMBER(A$2:A321),A$2:A321,1))=YEAR(A321))*IF(ISNUMBER(K$2:K321),K$2:K321,0))),""))</f>
        <v/>
      </c>
      <c r="M321" s="21" t="str">
        <f>IF(A321="","",IFERROR(IF(SUMIF(N$2:N321,"CASA",K$2:K321)=0,"",SUMIF(N$2:N321,"CASA",K$2:K321)),""))</f>
        <v/>
      </c>
      <c r="N321" s="17" t="str">
        <f>IF(J321="","",IF(J321=0.2,"CASA",IF(Dati!G321="","",Dati!G321)))</f>
        <v/>
      </c>
    </row>
    <row r="322" spans="1:14" ht="15" customHeight="1" x14ac:dyDescent="0.2">
      <c r="A322" s="23" t="str">
        <f>IF(Dati!A322="","",Dati!A322)</f>
        <v/>
      </c>
      <c r="B322" s="17" t="str">
        <f>IF(Dati!B322="","",Dati!B322)</f>
        <v/>
      </c>
      <c r="C322" s="17" t="str">
        <f>IF(B322="","",IF(ISNUMBER(B321),IF(B322-B321&lt;0,B322,IF(B322-B321=0,"",B322-B321)),B322))</f>
        <v/>
      </c>
      <c r="D322" s="18" t="str">
        <f>IF(Dati!C322="","",IF(Dati!C322&gt;1,Dati!C322/100,Dati!C322))</f>
        <v/>
      </c>
      <c r="E322" s="18" t="str">
        <f>IF(Dati!D322="","",IF(Dati!D322&gt;1,Dati!D322/100,Dati!D322))</f>
        <v/>
      </c>
      <c r="F322" s="18" t="str">
        <f>IF(OR(D322="",E322=""),"",IF(OR(D322&gt;1,E322&gt;1),(E322-D322)/100,E322-D322))</f>
        <v/>
      </c>
      <c r="G322" s="17" t="str">
        <f>IF(F322="","",IF(64*F322=0,"",64*F322))</f>
        <v/>
      </c>
      <c r="H322" s="19" t="str">
        <f>IF(Dati!E322="","",Dati!E322)</f>
        <v/>
      </c>
      <c r="I322" s="19" t="str">
        <f>IFERROR(IF(OR(C322="",C322=0),"",H322/C322*100),"")</f>
        <v/>
      </c>
      <c r="J322" s="20" t="str">
        <f>IF(Dati!F322="","",Dati!F322)</f>
        <v/>
      </c>
      <c r="K322" s="19" t="str">
        <f>IF(OR(H322="",J322=""),"",IF(H322*J322=0,"",H322*J322))</f>
        <v/>
      </c>
      <c r="L322" s="19" t="str">
        <f>IF(A322="","",IFERROR(IF(SUMPRODUCT((ISNUMBER(A$2:A322))*(A$2:A322&gt;1000)*(MONTH(IF(ISNUMBER(A$2:A322),A$2:A322,1))=MONTH(A322))*(YEAR(IF(ISNUMBER(A$2:A322),A$2:A322,1))=YEAR(A322))*IF(ISNUMBER(K$2:K322),K$2:K322,0))=0,"",SUMPRODUCT((ISNUMBER(A$2:A322))*(A$2:A322&gt;1000)*(MONTH(IF(ISNUMBER(A$2:A322),A$2:A322,1))=MONTH(A322))*(YEAR(IF(ISNUMBER(A$2:A322),A$2:A322,1))=YEAR(A322))*IF(ISNUMBER(K$2:K322),K$2:K322,0))),""))</f>
        <v/>
      </c>
      <c r="M322" s="21" t="str">
        <f>IF(A322="","",IFERROR(IF(SUMIF(N$2:N322,"CASA",K$2:K322)=0,"",SUMIF(N$2:N322,"CASA",K$2:K322)),""))</f>
        <v/>
      </c>
      <c r="N322" s="17" t="str">
        <f>IF(J322="","",IF(J322=0.2,"CASA",IF(Dati!G322="","",Dati!G322)))</f>
        <v/>
      </c>
    </row>
    <row r="323" spans="1:14" ht="15" customHeight="1" x14ac:dyDescent="0.2">
      <c r="A323" s="23" t="str">
        <f>IF(Dati!A323="","",Dati!A323)</f>
        <v/>
      </c>
      <c r="B323" s="17" t="str">
        <f>IF(Dati!B323="","",Dati!B323)</f>
        <v/>
      </c>
      <c r="C323" s="17" t="str">
        <f>IF(B323="","",IF(ISNUMBER(B322),IF(B323-B322&lt;0,B323,IF(B323-B322=0,"",B323-B322)),B323))</f>
        <v/>
      </c>
      <c r="D323" s="18" t="str">
        <f>IF(Dati!C323="","",IF(Dati!C323&gt;1,Dati!C323/100,Dati!C323))</f>
        <v/>
      </c>
      <c r="E323" s="18" t="str">
        <f>IF(Dati!D323="","",IF(Dati!D323&gt;1,Dati!D323/100,Dati!D323))</f>
        <v/>
      </c>
      <c r="F323" s="18" t="str">
        <f>IF(OR(D323="",E323=""),"",IF(OR(D323&gt;1,E323&gt;1),(E323-D323)/100,E323-D323))</f>
        <v/>
      </c>
      <c r="G323" s="17" t="str">
        <f>IF(F323="","",IF(64*F323=0,"",64*F323))</f>
        <v/>
      </c>
      <c r="H323" s="19" t="str">
        <f>IF(Dati!E323="","",Dati!E323)</f>
        <v/>
      </c>
      <c r="I323" s="19" t="str">
        <f>IFERROR(IF(OR(C323="",C323=0),"",H323/C323*100),"")</f>
        <v/>
      </c>
      <c r="J323" s="20" t="str">
        <f>IF(Dati!F323="","",Dati!F323)</f>
        <v/>
      </c>
      <c r="K323" s="19" t="str">
        <f>IF(OR(H323="",J323=""),"",IF(H323*J323=0,"",H323*J323))</f>
        <v/>
      </c>
      <c r="L323" s="19" t="str">
        <f>IF(A323="","",IFERROR(IF(SUMPRODUCT((ISNUMBER(A$2:A323))*(A$2:A323&gt;1000)*(MONTH(IF(ISNUMBER(A$2:A323),A$2:A323,1))=MONTH(A323))*(YEAR(IF(ISNUMBER(A$2:A323),A$2:A323,1))=YEAR(A323))*IF(ISNUMBER(K$2:K323),K$2:K323,0))=0,"",SUMPRODUCT((ISNUMBER(A$2:A323))*(A$2:A323&gt;1000)*(MONTH(IF(ISNUMBER(A$2:A323),A$2:A323,1))=MONTH(A323))*(YEAR(IF(ISNUMBER(A$2:A323),A$2:A323,1))=YEAR(A323))*IF(ISNUMBER(K$2:K323),K$2:K323,0))),""))</f>
        <v/>
      </c>
      <c r="M323" s="21" t="str">
        <f>IF(A323="","",IFERROR(IF(SUMIF(N$2:N323,"CASA",K$2:K323)=0,"",SUMIF(N$2:N323,"CASA",K$2:K323)),""))</f>
        <v/>
      </c>
      <c r="N323" s="17" t="str">
        <f>IF(J323="","",IF(J323=0.2,"CASA",IF(Dati!G323="","",Dati!G323)))</f>
        <v/>
      </c>
    </row>
    <row r="324" spans="1:14" ht="15" customHeight="1" x14ac:dyDescent="0.2">
      <c r="A324" s="23" t="str">
        <f>IF(Dati!A324="","",Dati!A324)</f>
        <v/>
      </c>
      <c r="B324" s="17" t="str">
        <f>IF(Dati!B324="","",Dati!B324)</f>
        <v/>
      </c>
      <c r="C324" s="17" t="str">
        <f>IF(B324="","",IF(ISNUMBER(B323),IF(B324-B323&lt;0,B324,IF(B324-B323=0,"",B324-B323)),B324))</f>
        <v/>
      </c>
      <c r="D324" s="18" t="str">
        <f>IF(Dati!C324="","",IF(Dati!C324&gt;1,Dati!C324/100,Dati!C324))</f>
        <v/>
      </c>
      <c r="E324" s="18" t="str">
        <f>IF(Dati!D324="","",IF(Dati!D324&gt;1,Dati!D324/100,Dati!D324))</f>
        <v/>
      </c>
      <c r="F324" s="18" t="str">
        <f>IF(OR(D324="",E324=""),"",IF(OR(D324&gt;1,E324&gt;1),(E324-D324)/100,E324-D324))</f>
        <v/>
      </c>
      <c r="G324" s="17" t="str">
        <f>IF(F324="","",IF(64*F324=0,"",64*F324))</f>
        <v/>
      </c>
      <c r="H324" s="19" t="str">
        <f>IF(Dati!E324="","",Dati!E324)</f>
        <v/>
      </c>
      <c r="I324" s="19" t="str">
        <f>IFERROR(IF(OR(C324="",C324=0),"",H324/C324*100),"")</f>
        <v/>
      </c>
      <c r="J324" s="20" t="str">
        <f>IF(Dati!F324="","",Dati!F324)</f>
        <v/>
      </c>
      <c r="K324" s="19" t="str">
        <f>IF(OR(H324="",J324=""),"",IF(H324*J324=0,"",H324*J324))</f>
        <v/>
      </c>
      <c r="L324" s="19" t="str">
        <f>IF(A324="","",IFERROR(IF(SUMPRODUCT((ISNUMBER(A$2:A324))*(A$2:A324&gt;1000)*(MONTH(IF(ISNUMBER(A$2:A324),A$2:A324,1))=MONTH(A324))*(YEAR(IF(ISNUMBER(A$2:A324),A$2:A324,1))=YEAR(A324))*IF(ISNUMBER(K$2:K324),K$2:K324,0))=0,"",SUMPRODUCT((ISNUMBER(A$2:A324))*(A$2:A324&gt;1000)*(MONTH(IF(ISNUMBER(A$2:A324),A$2:A324,1))=MONTH(A324))*(YEAR(IF(ISNUMBER(A$2:A324),A$2:A324,1))=YEAR(A324))*IF(ISNUMBER(K$2:K324),K$2:K324,0))),""))</f>
        <v/>
      </c>
      <c r="M324" s="21" t="str">
        <f>IF(A324="","",IFERROR(IF(SUMIF(N$2:N324,"CASA",K$2:K324)=0,"",SUMIF(N$2:N324,"CASA",K$2:K324)),""))</f>
        <v/>
      </c>
      <c r="N324" s="17" t="str">
        <f>IF(J324="","",IF(J324=0.2,"CASA",IF(Dati!G324="","",Dati!G324)))</f>
        <v/>
      </c>
    </row>
    <row r="325" spans="1:14" ht="15" customHeight="1" x14ac:dyDescent="0.2">
      <c r="A325" s="23" t="str">
        <f>IF(Dati!A325="","",Dati!A325)</f>
        <v/>
      </c>
      <c r="B325" s="17" t="str">
        <f>IF(Dati!B325="","",Dati!B325)</f>
        <v/>
      </c>
      <c r="C325" s="17" t="str">
        <f>IF(B325="","",IF(ISNUMBER(B324),IF(B325-B324&lt;0,B325,IF(B325-B324=0,"",B325-B324)),B325))</f>
        <v/>
      </c>
      <c r="D325" s="18" t="str">
        <f>IF(Dati!C325="","",IF(Dati!C325&gt;1,Dati!C325/100,Dati!C325))</f>
        <v/>
      </c>
      <c r="E325" s="18" t="str">
        <f>IF(Dati!D325="","",IF(Dati!D325&gt;1,Dati!D325/100,Dati!D325))</f>
        <v/>
      </c>
      <c r="F325" s="18" t="str">
        <f>IF(OR(D325="",E325=""),"",IF(OR(D325&gt;1,E325&gt;1),(E325-D325)/100,E325-D325))</f>
        <v/>
      </c>
      <c r="G325" s="17" t="str">
        <f>IF(F325="","",IF(64*F325=0,"",64*F325))</f>
        <v/>
      </c>
      <c r="H325" s="19" t="str">
        <f>IF(Dati!E325="","",Dati!E325)</f>
        <v/>
      </c>
      <c r="I325" s="19" t="str">
        <f>IFERROR(IF(OR(C325="",C325=0),"",H325/C325*100),"")</f>
        <v/>
      </c>
      <c r="J325" s="20" t="str">
        <f>IF(Dati!F325="","",Dati!F325)</f>
        <v/>
      </c>
      <c r="K325" s="19" t="str">
        <f>IF(OR(H325="",J325=""),"",IF(H325*J325=0,"",H325*J325))</f>
        <v/>
      </c>
      <c r="L325" s="19" t="str">
        <f>IF(A325="","",IFERROR(IF(SUMPRODUCT((ISNUMBER(A$2:A325))*(A$2:A325&gt;1000)*(MONTH(IF(ISNUMBER(A$2:A325),A$2:A325,1))=MONTH(A325))*(YEAR(IF(ISNUMBER(A$2:A325),A$2:A325,1))=YEAR(A325))*IF(ISNUMBER(K$2:K325),K$2:K325,0))=0,"",SUMPRODUCT((ISNUMBER(A$2:A325))*(A$2:A325&gt;1000)*(MONTH(IF(ISNUMBER(A$2:A325),A$2:A325,1))=MONTH(A325))*(YEAR(IF(ISNUMBER(A$2:A325),A$2:A325,1))=YEAR(A325))*IF(ISNUMBER(K$2:K325),K$2:K325,0))),""))</f>
        <v/>
      </c>
      <c r="M325" s="21" t="str">
        <f>IF(A325="","",IFERROR(IF(SUMIF(N$2:N325,"CASA",K$2:K325)=0,"",SUMIF(N$2:N325,"CASA",K$2:K325)),""))</f>
        <v/>
      </c>
      <c r="N325" s="17" t="str">
        <f>IF(J325="","",IF(J325=0.2,"CASA",IF(Dati!G325="","",Dati!G325)))</f>
        <v/>
      </c>
    </row>
    <row r="326" spans="1:14" ht="15" customHeight="1" x14ac:dyDescent="0.2">
      <c r="A326" s="23" t="str">
        <f>IF(Dati!A326="","",Dati!A326)</f>
        <v/>
      </c>
      <c r="B326" s="17" t="str">
        <f>IF(Dati!B326="","",Dati!B326)</f>
        <v/>
      </c>
      <c r="C326" s="17" t="str">
        <f>IF(B326="","",IF(ISNUMBER(B325),IF(B326-B325&lt;0,B326,IF(B326-B325=0,"",B326-B325)),B326))</f>
        <v/>
      </c>
      <c r="D326" s="18" t="str">
        <f>IF(Dati!C326="","",IF(Dati!C326&gt;1,Dati!C326/100,Dati!C326))</f>
        <v/>
      </c>
      <c r="E326" s="18" t="str">
        <f>IF(Dati!D326="","",IF(Dati!D326&gt;1,Dati!D326/100,Dati!D326))</f>
        <v/>
      </c>
      <c r="F326" s="18" t="str">
        <f>IF(OR(D326="",E326=""),"",IF(OR(D326&gt;1,E326&gt;1),(E326-D326)/100,E326-D326))</f>
        <v/>
      </c>
      <c r="G326" s="17" t="str">
        <f>IF(F326="","",IF(64*F326=0,"",64*F326))</f>
        <v/>
      </c>
      <c r="H326" s="19" t="str">
        <f>IF(Dati!E326="","",Dati!E326)</f>
        <v/>
      </c>
      <c r="I326" s="19" t="str">
        <f>IFERROR(IF(OR(C326="",C326=0),"",H326/C326*100),"")</f>
        <v/>
      </c>
      <c r="J326" s="20" t="str">
        <f>IF(Dati!F326="","",Dati!F326)</f>
        <v/>
      </c>
      <c r="K326" s="19" t="str">
        <f>IF(OR(H326="",J326=""),"",IF(H326*J326=0,"",H326*J326))</f>
        <v/>
      </c>
      <c r="L326" s="19" t="str">
        <f>IF(A326="","",IFERROR(IF(SUMPRODUCT((ISNUMBER(A$2:A326))*(A$2:A326&gt;1000)*(MONTH(IF(ISNUMBER(A$2:A326),A$2:A326,1))=MONTH(A326))*(YEAR(IF(ISNUMBER(A$2:A326),A$2:A326,1))=YEAR(A326))*IF(ISNUMBER(K$2:K326),K$2:K326,0))=0,"",SUMPRODUCT((ISNUMBER(A$2:A326))*(A$2:A326&gt;1000)*(MONTH(IF(ISNUMBER(A$2:A326),A$2:A326,1))=MONTH(A326))*(YEAR(IF(ISNUMBER(A$2:A326),A$2:A326,1))=YEAR(A326))*IF(ISNUMBER(K$2:K326),K$2:K326,0))),""))</f>
        <v/>
      </c>
      <c r="M326" s="21" t="str">
        <f>IF(A326="","",IFERROR(IF(SUMIF(N$2:N326,"CASA",K$2:K326)=0,"",SUMIF(N$2:N326,"CASA",K$2:K326)),""))</f>
        <v/>
      </c>
      <c r="N326" s="17" t="str">
        <f>IF(J326="","",IF(J326=0.2,"CASA",IF(Dati!G326="","",Dati!G326)))</f>
        <v/>
      </c>
    </row>
    <row r="327" spans="1:14" ht="15" customHeight="1" x14ac:dyDescent="0.2">
      <c r="A327" s="23" t="str">
        <f>IF(Dati!A327="","",Dati!A327)</f>
        <v/>
      </c>
      <c r="B327" s="17" t="str">
        <f>IF(Dati!B327="","",Dati!B327)</f>
        <v/>
      </c>
      <c r="C327" s="17" t="str">
        <f>IF(B327="","",IF(ISNUMBER(B326),IF(B327-B326&lt;0,B327,IF(B327-B326=0,"",B327-B326)),B327))</f>
        <v/>
      </c>
      <c r="D327" s="18" t="str">
        <f>IF(Dati!C327="","",IF(Dati!C327&gt;1,Dati!C327/100,Dati!C327))</f>
        <v/>
      </c>
      <c r="E327" s="18" t="str">
        <f>IF(Dati!D327="","",IF(Dati!D327&gt;1,Dati!D327/100,Dati!D327))</f>
        <v/>
      </c>
      <c r="F327" s="18" t="str">
        <f>IF(OR(D327="",E327=""),"",IF(OR(D327&gt;1,E327&gt;1),(E327-D327)/100,E327-D327))</f>
        <v/>
      </c>
      <c r="G327" s="17" t="str">
        <f>IF(F327="","",IF(64*F327=0,"",64*F327))</f>
        <v/>
      </c>
      <c r="H327" s="19" t="str">
        <f>IF(Dati!E327="","",Dati!E327)</f>
        <v/>
      </c>
      <c r="I327" s="19" t="str">
        <f>IFERROR(IF(OR(C327="",C327=0),"",H327/C327*100),"")</f>
        <v/>
      </c>
      <c r="J327" s="20" t="str">
        <f>IF(Dati!F327="","",Dati!F327)</f>
        <v/>
      </c>
      <c r="K327" s="19" t="str">
        <f>IF(OR(H327="",J327=""),"",IF(H327*J327=0,"",H327*J327))</f>
        <v/>
      </c>
      <c r="L327" s="19" t="str">
        <f>IF(A327="","",IFERROR(IF(SUMPRODUCT((ISNUMBER(A$2:A327))*(A$2:A327&gt;1000)*(MONTH(IF(ISNUMBER(A$2:A327),A$2:A327,1))=MONTH(A327))*(YEAR(IF(ISNUMBER(A$2:A327),A$2:A327,1))=YEAR(A327))*IF(ISNUMBER(K$2:K327),K$2:K327,0))=0,"",SUMPRODUCT((ISNUMBER(A$2:A327))*(A$2:A327&gt;1000)*(MONTH(IF(ISNUMBER(A$2:A327),A$2:A327,1))=MONTH(A327))*(YEAR(IF(ISNUMBER(A$2:A327),A$2:A327,1))=YEAR(A327))*IF(ISNUMBER(K$2:K327),K$2:K327,0))),""))</f>
        <v/>
      </c>
      <c r="M327" s="21" t="str">
        <f>IF(A327="","",IFERROR(IF(SUMIF(N$2:N327,"CASA",K$2:K327)=0,"",SUMIF(N$2:N327,"CASA",K$2:K327)),""))</f>
        <v/>
      </c>
      <c r="N327" s="17" t="str">
        <f>IF(J327="","",IF(J327=0.2,"CASA",IF(Dati!G327="","",Dati!G327)))</f>
        <v/>
      </c>
    </row>
    <row r="328" spans="1:14" ht="15" customHeight="1" x14ac:dyDescent="0.2">
      <c r="A328" s="23" t="str">
        <f>IF(Dati!A328="","",Dati!A328)</f>
        <v/>
      </c>
      <c r="B328" s="17" t="str">
        <f>IF(Dati!B328="","",Dati!B328)</f>
        <v/>
      </c>
      <c r="C328" s="17" t="str">
        <f>IF(B328="","",IF(ISNUMBER(B327),IF(B328-B327&lt;0,B328,IF(B328-B327=0,"",B328-B327)),B328))</f>
        <v/>
      </c>
      <c r="D328" s="18" t="str">
        <f>IF(Dati!C328="","",IF(Dati!C328&gt;1,Dati!C328/100,Dati!C328))</f>
        <v/>
      </c>
      <c r="E328" s="18" t="str">
        <f>IF(Dati!D328="","",IF(Dati!D328&gt;1,Dati!D328/100,Dati!D328))</f>
        <v/>
      </c>
      <c r="F328" s="18" t="str">
        <f>IF(OR(D328="",E328=""),"",IF(OR(D328&gt;1,E328&gt;1),(E328-D328)/100,E328-D328))</f>
        <v/>
      </c>
      <c r="G328" s="17" t="str">
        <f>IF(F328="","",IF(64*F328=0,"",64*F328))</f>
        <v/>
      </c>
      <c r="H328" s="19" t="str">
        <f>IF(Dati!E328="","",Dati!E328)</f>
        <v/>
      </c>
      <c r="I328" s="19" t="str">
        <f>IFERROR(IF(OR(C328="",C328=0),"",H328/C328*100),"")</f>
        <v/>
      </c>
      <c r="J328" s="20" t="str">
        <f>IF(Dati!F328="","",Dati!F328)</f>
        <v/>
      </c>
      <c r="K328" s="19" t="str">
        <f>IF(OR(H328="",J328=""),"",IF(H328*J328=0,"",H328*J328))</f>
        <v/>
      </c>
      <c r="L328" s="19" t="str">
        <f>IF(A328="","",IFERROR(IF(SUMPRODUCT((ISNUMBER(A$2:A328))*(A$2:A328&gt;1000)*(MONTH(IF(ISNUMBER(A$2:A328),A$2:A328,1))=MONTH(A328))*(YEAR(IF(ISNUMBER(A$2:A328),A$2:A328,1))=YEAR(A328))*IF(ISNUMBER(K$2:K328),K$2:K328,0))=0,"",SUMPRODUCT((ISNUMBER(A$2:A328))*(A$2:A328&gt;1000)*(MONTH(IF(ISNUMBER(A$2:A328),A$2:A328,1))=MONTH(A328))*(YEAR(IF(ISNUMBER(A$2:A328),A$2:A328,1))=YEAR(A328))*IF(ISNUMBER(K$2:K328),K$2:K328,0))),""))</f>
        <v/>
      </c>
      <c r="M328" s="21" t="str">
        <f>IF(A328="","",IFERROR(IF(SUMIF(N$2:N328,"CASA",K$2:K328)=0,"",SUMIF(N$2:N328,"CASA",K$2:K328)),""))</f>
        <v/>
      </c>
      <c r="N328" s="17" t="str">
        <f>IF(J328="","",IF(J328=0.2,"CASA",IF(Dati!G328="","",Dati!G328)))</f>
        <v/>
      </c>
    </row>
    <row r="329" spans="1:14" ht="15" customHeight="1" x14ac:dyDescent="0.2">
      <c r="A329" s="23" t="str">
        <f>IF(Dati!A329="","",Dati!A329)</f>
        <v/>
      </c>
      <c r="B329" s="17" t="str">
        <f>IF(Dati!B329="","",Dati!B329)</f>
        <v/>
      </c>
      <c r="C329" s="17" t="str">
        <f>IF(B329="","",IF(ISNUMBER(B328),IF(B329-B328&lt;0,B329,IF(B329-B328=0,"",B329-B328)),B329))</f>
        <v/>
      </c>
      <c r="D329" s="18" t="str">
        <f>IF(Dati!C329="","",IF(Dati!C329&gt;1,Dati!C329/100,Dati!C329))</f>
        <v/>
      </c>
      <c r="E329" s="18" t="str">
        <f>IF(Dati!D329="","",IF(Dati!D329&gt;1,Dati!D329/100,Dati!D329))</f>
        <v/>
      </c>
      <c r="F329" s="18" t="str">
        <f>IF(OR(D329="",E329=""),"",IF(OR(D329&gt;1,E329&gt;1),(E329-D329)/100,E329-D329))</f>
        <v/>
      </c>
      <c r="G329" s="17" t="str">
        <f>IF(F329="","",IF(64*F329=0,"",64*F329))</f>
        <v/>
      </c>
      <c r="H329" s="19" t="str">
        <f>IF(Dati!E329="","",Dati!E329)</f>
        <v/>
      </c>
      <c r="I329" s="19" t="str">
        <f>IFERROR(IF(OR(C329="",C329=0),"",H329/C329*100),"")</f>
        <v/>
      </c>
      <c r="J329" s="20" t="str">
        <f>IF(Dati!F329="","",Dati!F329)</f>
        <v/>
      </c>
      <c r="K329" s="19" t="str">
        <f>IF(OR(H329="",J329=""),"",IF(H329*J329=0,"",H329*J329))</f>
        <v/>
      </c>
      <c r="L329" s="19" t="str">
        <f>IF(A329="","",IFERROR(IF(SUMPRODUCT((ISNUMBER(A$2:A329))*(A$2:A329&gt;1000)*(MONTH(IF(ISNUMBER(A$2:A329),A$2:A329,1))=MONTH(A329))*(YEAR(IF(ISNUMBER(A$2:A329),A$2:A329,1))=YEAR(A329))*IF(ISNUMBER(K$2:K329),K$2:K329,0))=0,"",SUMPRODUCT((ISNUMBER(A$2:A329))*(A$2:A329&gt;1000)*(MONTH(IF(ISNUMBER(A$2:A329),A$2:A329,1))=MONTH(A329))*(YEAR(IF(ISNUMBER(A$2:A329),A$2:A329,1))=YEAR(A329))*IF(ISNUMBER(K$2:K329),K$2:K329,0))),""))</f>
        <v/>
      </c>
      <c r="M329" s="21" t="str">
        <f>IF(A329="","",IFERROR(IF(SUMIF(N$2:N329,"CASA",K$2:K329)=0,"",SUMIF(N$2:N329,"CASA",K$2:K329)),""))</f>
        <v/>
      </c>
      <c r="N329" s="17" t="str">
        <f>IF(J329="","",IF(J329=0.2,"CASA",IF(Dati!G329="","",Dati!G329)))</f>
        <v/>
      </c>
    </row>
    <row r="330" spans="1:14" ht="15" customHeight="1" x14ac:dyDescent="0.2">
      <c r="A330" s="23" t="str">
        <f>IF(Dati!A330="","",Dati!A330)</f>
        <v/>
      </c>
      <c r="B330" s="17" t="str">
        <f>IF(Dati!B330="","",Dati!B330)</f>
        <v/>
      </c>
      <c r="C330" s="17" t="str">
        <f>IF(B330="","",IF(ISNUMBER(B329),IF(B330-B329&lt;0,B330,IF(B330-B329=0,"",B330-B329)),B330))</f>
        <v/>
      </c>
      <c r="D330" s="18" t="str">
        <f>IF(Dati!C330="","",IF(Dati!C330&gt;1,Dati!C330/100,Dati!C330))</f>
        <v/>
      </c>
      <c r="E330" s="18" t="str">
        <f>IF(Dati!D330="","",IF(Dati!D330&gt;1,Dati!D330/100,Dati!D330))</f>
        <v/>
      </c>
      <c r="F330" s="18" t="str">
        <f>IF(OR(D330="",E330=""),"",IF(OR(D330&gt;1,E330&gt;1),(E330-D330)/100,E330-D330))</f>
        <v/>
      </c>
      <c r="G330" s="17" t="str">
        <f>IF(F330="","",IF(64*F330=0,"",64*F330))</f>
        <v/>
      </c>
      <c r="H330" s="19" t="str">
        <f>IF(Dati!E330="","",Dati!E330)</f>
        <v/>
      </c>
      <c r="I330" s="19" t="str">
        <f>IFERROR(IF(OR(C330="",C330=0),"",H330/C330*100),"")</f>
        <v/>
      </c>
      <c r="J330" s="20" t="str">
        <f>IF(Dati!F330="","",Dati!F330)</f>
        <v/>
      </c>
      <c r="K330" s="19" t="str">
        <f>IF(OR(H330="",J330=""),"",IF(H330*J330=0,"",H330*J330))</f>
        <v/>
      </c>
      <c r="L330" s="19" t="str">
        <f>IF(A330="","",IFERROR(IF(SUMPRODUCT((ISNUMBER(A$2:A330))*(A$2:A330&gt;1000)*(MONTH(IF(ISNUMBER(A$2:A330),A$2:A330,1))=MONTH(A330))*(YEAR(IF(ISNUMBER(A$2:A330),A$2:A330,1))=YEAR(A330))*IF(ISNUMBER(K$2:K330),K$2:K330,0))=0,"",SUMPRODUCT((ISNUMBER(A$2:A330))*(A$2:A330&gt;1000)*(MONTH(IF(ISNUMBER(A$2:A330),A$2:A330,1))=MONTH(A330))*(YEAR(IF(ISNUMBER(A$2:A330),A$2:A330,1))=YEAR(A330))*IF(ISNUMBER(K$2:K330),K$2:K330,0))),""))</f>
        <v/>
      </c>
      <c r="M330" s="21" t="str">
        <f>IF(A330="","",IFERROR(IF(SUMIF(N$2:N330,"CASA",K$2:K330)=0,"",SUMIF(N$2:N330,"CASA",K$2:K330)),""))</f>
        <v/>
      </c>
      <c r="N330" s="17" t="str">
        <f>IF(J330="","",IF(J330=0.2,"CASA",IF(Dati!G330="","",Dati!G330)))</f>
        <v/>
      </c>
    </row>
    <row r="331" spans="1:14" ht="15" customHeight="1" x14ac:dyDescent="0.2">
      <c r="A331" s="23" t="str">
        <f>IF(Dati!A331="","",Dati!A331)</f>
        <v/>
      </c>
      <c r="B331" s="17" t="str">
        <f>IF(Dati!B331="","",Dati!B331)</f>
        <v/>
      </c>
      <c r="C331" s="17" t="str">
        <f>IF(B331="","",IF(ISNUMBER(B330),IF(B331-B330&lt;0,B331,IF(B331-B330=0,"",B331-B330)),B331))</f>
        <v/>
      </c>
      <c r="D331" s="18" t="str">
        <f>IF(Dati!C331="","",IF(Dati!C331&gt;1,Dati!C331/100,Dati!C331))</f>
        <v/>
      </c>
      <c r="E331" s="18" t="str">
        <f>IF(Dati!D331="","",IF(Dati!D331&gt;1,Dati!D331/100,Dati!D331))</f>
        <v/>
      </c>
      <c r="F331" s="18" t="str">
        <f>IF(OR(D331="",E331=""),"",IF(OR(D331&gt;1,E331&gt;1),(E331-D331)/100,E331-D331))</f>
        <v/>
      </c>
      <c r="G331" s="17" t="str">
        <f>IF(F331="","",IF(64*F331=0,"",64*F331))</f>
        <v/>
      </c>
      <c r="H331" s="19" t="str">
        <f>IF(Dati!E331="","",Dati!E331)</f>
        <v/>
      </c>
      <c r="I331" s="19" t="str">
        <f>IFERROR(IF(OR(C331="",C331=0),"",H331/C331*100),"")</f>
        <v/>
      </c>
      <c r="J331" s="20" t="str">
        <f>IF(Dati!F331="","",Dati!F331)</f>
        <v/>
      </c>
      <c r="K331" s="19" t="str">
        <f>IF(OR(H331="",J331=""),"",IF(H331*J331=0,"",H331*J331))</f>
        <v/>
      </c>
      <c r="L331" s="19" t="str">
        <f>IF(A331="","",IFERROR(IF(SUMPRODUCT((ISNUMBER(A$2:A331))*(A$2:A331&gt;1000)*(MONTH(IF(ISNUMBER(A$2:A331),A$2:A331,1))=MONTH(A331))*(YEAR(IF(ISNUMBER(A$2:A331),A$2:A331,1))=YEAR(A331))*IF(ISNUMBER(K$2:K331),K$2:K331,0))=0,"",SUMPRODUCT((ISNUMBER(A$2:A331))*(A$2:A331&gt;1000)*(MONTH(IF(ISNUMBER(A$2:A331),A$2:A331,1))=MONTH(A331))*(YEAR(IF(ISNUMBER(A$2:A331),A$2:A331,1))=YEAR(A331))*IF(ISNUMBER(K$2:K331),K$2:K331,0))),""))</f>
        <v/>
      </c>
      <c r="M331" s="21" t="str">
        <f>IF(A331="","",IFERROR(IF(SUMIF(N$2:N331,"CASA",K$2:K331)=0,"",SUMIF(N$2:N331,"CASA",K$2:K331)),""))</f>
        <v/>
      </c>
      <c r="N331" s="17" t="str">
        <f>IF(J331="","",IF(J331=0.2,"CASA",IF(Dati!G331="","",Dati!G331)))</f>
        <v/>
      </c>
    </row>
    <row r="332" spans="1:14" ht="15" customHeight="1" x14ac:dyDescent="0.2">
      <c r="A332" s="23" t="str">
        <f>IF(Dati!A332="","",Dati!A332)</f>
        <v/>
      </c>
      <c r="B332" s="17" t="str">
        <f>IF(Dati!B332="","",Dati!B332)</f>
        <v/>
      </c>
      <c r="C332" s="17" t="str">
        <f>IF(B332="","",IF(ISNUMBER(B331),IF(B332-B331&lt;0,B332,IF(B332-B331=0,"",B332-B331)),B332))</f>
        <v/>
      </c>
      <c r="D332" s="18" t="str">
        <f>IF(Dati!C332="","",IF(Dati!C332&gt;1,Dati!C332/100,Dati!C332))</f>
        <v/>
      </c>
      <c r="E332" s="18" t="str">
        <f>IF(Dati!D332="","",IF(Dati!D332&gt;1,Dati!D332/100,Dati!D332))</f>
        <v/>
      </c>
      <c r="F332" s="18" t="str">
        <f>IF(OR(D332="",E332=""),"",IF(OR(D332&gt;1,E332&gt;1),(E332-D332)/100,E332-D332))</f>
        <v/>
      </c>
      <c r="G332" s="17" t="str">
        <f>IF(F332="","",IF(64*F332=0,"",64*F332))</f>
        <v/>
      </c>
      <c r="H332" s="19" t="str">
        <f>IF(Dati!E332="","",Dati!E332)</f>
        <v/>
      </c>
      <c r="I332" s="19" t="str">
        <f>IFERROR(IF(OR(C332="",C332=0),"",H332/C332*100),"")</f>
        <v/>
      </c>
      <c r="J332" s="20" t="str">
        <f>IF(Dati!F332="","",Dati!F332)</f>
        <v/>
      </c>
      <c r="K332" s="19" t="str">
        <f>IF(OR(H332="",J332=""),"",IF(H332*J332=0,"",H332*J332))</f>
        <v/>
      </c>
      <c r="L332" s="19" t="str">
        <f>IF(A332="","",IFERROR(IF(SUMPRODUCT((ISNUMBER(A$2:A332))*(A$2:A332&gt;1000)*(MONTH(IF(ISNUMBER(A$2:A332),A$2:A332,1))=MONTH(A332))*(YEAR(IF(ISNUMBER(A$2:A332),A$2:A332,1))=YEAR(A332))*IF(ISNUMBER(K$2:K332),K$2:K332,0))=0,"",SUMPRODUCT((ISNUMBER(A$2:A332))*(A$2:A332&gt;1000)*(MONTH(IF(ISNUMBER(A$2:A332),A$2:A332,1))=MONTH(A332))*(YEAR(IF(ISNUMBER(A$2:A332),A$2:A332,1))=YEAR(A332))*IF(ISNUMBER(K$2:K332),K$2:K332,0))),""))</f>
        <v/>
      </c>
      <c r="M332" s="21" t="str">
        <f>IF(A332="","",IFERROR(IF(SUMIF(N$2:N332,"CASA",K$2:K332)=0,"",SUMIF(N$2:N332,"CASA",K$2:K332)),""))</f>
        <v/>
      </c>
      <c r="N332" s="17" t="str">
        <f>IF(J332="","",IF(J332=0.2,"CASA",IF(Dati!G332="","",Dati!G332)))</f>
        <v/>
      </c>
    </row>
    <row r="333" spans="1:14" ht="15" customHeight="1" x14ac:dyDescent="0.2">
      <c r="A333" s="23" t="str">
        <f>IF(Dati!A333="","",Dati!A333)</f>
        <v/>
      </c>
      <c r="B333" s="17" t="str">
        <f>IF(Dati!B333="","",Dati!B333)</f>
        <v/>
      </c>
      <c r="C333" s="17" t="str">
        <f>IF(B333="","",IF(ISNUMBER(B332),IF(B333-B332&lt;0,B333,IF(B333-B332=0,"",B333-B332)),B333))</f>
        <v/>
      </c>
      <c r="D333" s="18" t="str">
        <f>IF(Dati!C333="","",IF(Dati!C333&gt;1,Dati!C333/100,Dati!C333))</f>
        <v/>
      </c>
      <c r="E333" s="18" t="str">
        <f>IF(Dati!D333="","",IF(Dati!D333&gt;1,Dati!D333/100,Dati!D333))</f>
        <v/>
      </c>
      <c r="F333" s="18" t="str">
        <f>IF(OR(D333="",E333=""),"",IF(OR(D333&gt;1,E333&gt;1),(E333-D333)/100,E333-D333))</f>
        <v/>
      </c>
      <c r="G333" s="17" t="str">
        <f>IF(F333="","",IF(64*F333=0,"",64*F333))</f>
        <v/>
      </c>
      <c r="H333" s="19" t="str">
        <f>IF(Dati!E333="","",Dati!E333)</f>
        <v/>
      </c>
      <c r="I333" s="19" t="str">
        <f>IFERROR(IF(OR(C333="",C333=0),"",H333/C333*100),"")</f>
        <v/>
      </c>
      <c r="J333" s="20" t="str">
        <f>IF(Dati!F333="","",Dati!F333)</f>
        <v/>
      </c>
      <c r="K333" s="19" t="str">
        <f>IF(OR(H333="",J333=""),"",IF(H333*J333=0,"",H333*J333))</f>
        <v/>
      </c>
      <c r="L333" s="19" t="str">
        <f>IF(A333="","",IFERROR(IF(SUMPRODUCT((ISNUMBER(A$2:A333))*(A$2:A333&gt;1000)*(MONTH(IF(ISNUMBER(A$2:A333),A$2:A333,1))=MONTH(A333))*(YEAR(IF(ISNUMBER(A$2:A333),A$2:A333,1))=YEAR(A333))*IF(ISNUMBER(K$2:K333),K$2:K333,0))=0,"",SUMPRODUCT((ISNUMBER(A$2:A333))*(A$2:A333&gt;1000)*(MONTH(IF(ISNUMBER(A$2:A333),A$2:A333,1))=MONTH(A333))*(YEAR(IF(ISNUMBER(A$2:A333),A$2:A333,1))=YEAR(A333))*IF(ISNUMBER(K$2:K333),K$2:K333,0))),""))</f>
        <v/>
      </c>
      <c r="M333" s="21" t="str">
        <f>IF(A333="","",IFERROR(IF(SUMIF(N$2:N333,"CASA",K$2:K333)=0,"",SUMIF(N$2:N333,"CASA",K$2:K333)),""))</f>
        <v/>
      </c>
      <c r="N333" s="17" t="str">
        <f>IF(J333="","",IF(J333=0.2,"CASA",IF(Dati!G333="","",Dati!G333)))</f>
        <v/>
      </c>
    </row>
    <row r="334" spans="1:14" ht="15" customHeight="1" x14ac:dyDescent="0.2">
      <c r="A334" s="23" t="str">
        <f>IF(Dati!A334="","",Dati!A334)</f>
        <v/>
      </c>
      <c r="B334" s="17" t="str">
        <f>IF(Dati!B334="","",Dati!B334)</f>
        <v/>
      </c>
      <c r="C334" s="17" t="str">
        <f>IF(B334="","",IF(ISNUMBER(B333),IF(B334-B333&lt;0,B334,IF(B334-B333=0,"",B334-B333)),B334))</f>
        <v/>
      </c>
      <c r="D334" s="18" t="str">
        <f>IF(Dati!C334="","",IF(Dati!C334&gt;1,Dati!C334/100,Dati!C334))</f>
        <v/>
      </c>
      <c r="E334" s="18" t="str">
        <f>IF(Dati!D334="","",IF(Dati!D334&gt;1,Dati!D334/100,Dati!D334))</f>
        <v/>
      </c>
      <c r="F334" s="18" t="str">
        <f>IF(OR(D334="",E334=""),"",IF(OR(D334&gt;1,E334&gt;1),(E334-D334)/100,E334-D334))</f>
        <v/>
      </c>
      <c r="G334" s="17" t="str">
        <f>IF(F334="","",IF(64*F334=0,"",64*F334))</f>
        <v/>
      </c>
      <c r="H334" s="19" t="str">
        <f>IF(Dati!E334="","",Dati!E334)</f>
        <v/>
      </c>
      <c r="I334" s="19" t="str">
        <f>IFERROR(IF(OR(C334="",C334=0),"",H334/C334*100),"")</f>
        <v/>
      </c>
      <c r="J334" s="20" t="str">
        <f>IF(Dati!F334="","",Dati!F334)</f>
        <v/>
      </c>
      <c r="K334" s="19" t="str">
        <f>IF(OR(H334="",J334=""),"",IF(H334*J334=0,"",H334*J334))</f>
        <v/>
      </c>
      <c r="L334" s="19" t="str">
        <f>IF(A334="","",IFERROR(IF(SUMPRODUCT((ISNUMBER(A$2:A334))*(A$2:A334&gt;1000)*(MONTH(IF(ISNUMBER(A$2:A334),A$2:A334,1))=MONTH(A334))*(YEAR(IF(ISNUMBER(A$2:A334),A$2:A334,1))=YEAR(A334))*IF(ISNUMBER(K$2:K334),K$2:K334,0))=0,"",SUMPRODUCT((ISNUMBER(A$2:A334))*(A$2:A334&gt;1000)*(MONTH(IF(ISNUMBER(A$2:A334),A$2:A334,1))=MONTH(A334))*(YEAR(IF(ISNUMBER(A$2:A334),A$2:A334,1))=YEAR(A334))*IF(ISNUMBER(K$2:K334),K$2:K334,0))),""))</f>
        <v/>
      </c>
      <c r="M334" s="21" t="str">
        <f>IF(A334="","",IFERROR(IF(SUMIF(N$2:N334,"CASA",K$2:K334)=0,"",SUMIF(N$2:N334,"CASA",K$2:K334)),""))</f>
        <v/>
      </c>
      <c r="N334" s="17" t="str">
        <f>IF(J334="","",IF(J334=0.2,"CASA",IF(Dati!G334="","",Dati!G334)))</f>
        <v/>
      </c>
    </row>
    <row r="335" spans="1:14" ht="15" customHeight="1" x14ac:dyDescent="0.2">
      <c r="A335" s="23" t="str">
        <f>IF(Dati!A335="","",Dati!A335)</f>
        <v/>
      </c>
      <c r="B335" s="17" t="str">
        <f>IF(Dati!B335="","",Dati!B335)</f>
        <v/>
      </c>
      <c r="C335" s="17" t="str">
        <f>IF(B335="","",IF(ISNUMBER(B334),IF(B335-B334&lt;0,B335,IF(B335-B334=0,"",B335-B334)),B335))</f>
        <v/>
      </c>
      <c r="D335" s="18" t="str">
        <f>IF(Dati!C335="","",IF(Dati!C335&gt;1,Dati!C335/100,Dati!C335))</f>
        <v/>
      </c>
      <c r="E335" s="18" t="str">
        <f>IF(Dati!D335="","",IF(Dati!D335&gt;1,Dati!D335/100,Dati!D335))</f>
        <v/>
      </c>
      <c r="F335" s="18" t="str">
        <f>IF(OR(D335="",E335=""),"",IF(OR(D335&gt;1,E335&gt;1),(E335-D335)/100,E335-D335))</f>
        <v/>
      </c>
      <c r="G335" s="17" t="str">
        <f>IF(F335="","",IF(64*F335=0,"",64*F335))</f>
        <v/>
      </c>
      <c r="H335" s="19" t="str">
        <f>IF(Dati!E335="","",Dati!E335)</f>
        <v/>
      </c>
      <c r="I335" s="19" t="str">
        <f>IFERROR(IF(OR(C335="",C335=0),"",H335/C335*100),"")</f>
        <v/>
      </c>
      <c r="J335" s="20" t="str">
        <f>IF(Dati!F335="","",Dati!F335)</f>
        <v/>
      </c>
      <c r="K335" s="19" t="str">
        <f>IF(OR(H335="",J335=""),"",IF(H335*J335=0,"",H335*J335))</f>
        <v/>
      </c>
      <c r="L335" s="19" t="str">
        <f>IF(A335="","",IFERROR(IF(SUMPRODUCT((ISNUMBER(A$2:A335))*(A$2:A335&gt;1000)*(MONTH(IF(ISNUMBER(A$2:A335),A$2:A335,1))=MONTH(A335))*(YEAR(IF(ISNUMBER(A$2:A335),A$2:A335,1))=YEAR(A335))*IF(ISNUMBER(K$2:K335),K$2:K335,0))=0,"",SUMPRODUCT((ISNUMBER(A$2:A335))*(A$2:A335&gt;1000)*(MONTH(IF(ISNUMBER(A$2:A335),A$2:A335,1))=MONTH(A335))*(YEAR(IF(ISNUMBER(A$2:A335),A$2:A335,1))=YEAR(A335))*IF(ISNUMBER(K$2:K335),K$2:K335,0))),""))</f>
        <v/>
      </c>
      <c r="M335" s="21" t="str">
        <f>IF(A335="","",IFERROR(IF(SUMIF(N$2:N335,"CASA",K$2:K335)=0,"",SUMIF(N$2:N335,"CASA",K$2:K335)),""))</f>
        <v/>
      </c>
      <c r="N335" s="17" t="str">
        <f>IF(J335="","",IF(J335=0.2,"CASA",IF(Dati!G335="","",Dati!G335)))</f>
        <v/>
      </c>
    </row>
    <row r="336" spans="1:14" ht="15" customHeight="1" x14ac:dyDescent="0.2">
      <c r="A336" s="23" t="str">
        <f>IF(Dati!A336="","",Dati!A336)</f>
        <v/>
      </c>
      <c r="B336" s="17" t="str">
        <f>IF(Dati!B336="","",Dati!B336)</f>
        <v/>
      </c>
      <c r="C336" s="17" t="str">
        <f>IF(B336="","",IF(ISNUMBER(B335),IF(B336-B335&lt;0,B336,IF(B336-B335=0,"",B336-B335)),B336))</f>
        <v/>
      </c>
      <c r="D336" s="18" t="str">
        <f>IF(Dati!C336="","",IF(Dati!C336&gt;1,Dati!C336/100,Dati!C336))</f>
        <v/>
      </c>
      <c r="E336" s="18" t="str">
        <f>IF(Dati!D336="","",IF(Dati!D336&gt;1,Dati!D336/100,Dati!D336))</f>
        <v/>
      </c>
      <c r="F336" s="18" t="str">
        <f>IF(OR(D336="",E336=""),"",IF(OR(D336&gt;1,E336&gt;1),(E336-D336)/100,E336-D336))</f>
        <v/>
      </c>
      <c r="G336" s="17" t="str">
        <f>IF(F336="","",IF(64*F336=0,"",64*F336))</f>
        <v/>
      </c>
      <c r="H336" s="19" t="str">
        <f>IF(Dati!E336="","",Dati!E336)</f>
        <v/>
      </c>
      <c r="I336" s="19" t="str">
        <f>IFERROR(IF(OR(C336="",C336=0),"",H336/C336*100),"")</f>
        <v/>
      </c>
      <c r="J336" s="20" t="str">
        <f>IF(Dati!F336="","",Dati!F336)</f>
        <v/>
      </c>
      <c r="K336" s="19" t="str">
        <f>IF(OR(H336="",J336=""),"",IF(H336*J336=0,"",H336*J336))</f>
        <v/>
      </c>
      <c r="L336" s="19" t="str">
        <f>IF(A336="","",IFERROR(IF(SUMPRODUCT((ISNUMBER(A$2:A336))*(A$2:A336&gt;1000)*(MONTH(IF(ISNUMBER(A$2:A336),A$2:A336,1))=MONTH(A336))*(YEAR(IF(ISNUMBER(A$2:A336),A$2:A336,1))=YEAR(A336))*IF(ISNUMBER(K$2:K336),K$2:K336,0))=0,"",SUMPRODUCT((ISNUMBER(A$2:A336))*(A$2:A336&gt;1000)*(MONTH(IF(ISNUMBER(A$2:A336),A$2:A336,1))=MONTH(A336))*(YEAR(IF(ISNUMBER(A$2:A336),A$2:A336,1))=YEAR(A336))*IF(ISNUMBER(K$2:K336),K$2:K336,0))),""))</f>
        <v/>
      </c>
      <c r="M336" s="21" t="str">
        <f>IF(A336="","",IFERROR(IF(SUMIF(N$2:N336,"CASA",K$2:K336)=0,"",SUMIF(N$2:N336,"CASA",K$2:K336)),""))</f>
        <v/>
      </c>
      <c r="N336" s="17" t="str">
        <f>IF(J336="","",IF(J336=0.2,"CASA",IF(Dati!G336="","",Dati!G336)))</f>
        <v/>
      </c>
    </row>
    <row r="337" spans="1:14" ht="15" customHeight="1" x14ac:dyDescent="0.2">
      <c r="A337" s="23" t="str">
        <f>IF(Dati!A337="","",Dati!A337)</f>
        <v/>
      </c>
      <c r="B337" s="17" t="str">
        <f>IF(Dati!B337="","",Dati!B337)</f>
        <v/>
      </c>
      <c r="C337" s="17" t="str">
        <f>IF(B337="","",IF(ISNUMBER(B336),IF(B337-B336&lt;0,B337,IF(B337-B336=0,"",B337-B336)),B337))</f>
        <v/>
      </c>
      <c r="D337" s="18" t="str">
        <f>IF(Dati!C337="","",IF(Dati!C337&gt;1,Dati!C337/100,Dati!C337))</f>
        <v/>
      </c>
      <c r="E337" s="18" t="str">
        <f>IF(Dati!D337="","",IF(Dati!D337&gt;1,Dati!D337/100,Dati!D337))</f>
        <v/>
      </c>
      <c r="F337" s="18" t="str">
        <f>IF(OR(D337="",E337=""),"",IF(OR(D337&gt;1,E337&gt;1),(E337-D337)/100,E337-D337))</f>
        <v/>
      </c>
      <c r="G337" s="17" t="str">
        <f>IF(F337="","",IF(64*F337=0,"",64*F337))</f>
        <v/>
      </c>
      <c r="H337" s="19" t="str">
        <f>IF(Dati!E337="","",Dati!E337)</f>
        <v/>
      </c>
      <c r="I337" s="19" t="str">
        <f>IFERROR(IF(OR(C337="",C337=0),"",H337/C337*100),"")</f>
        <v/>
      </c>
      <c r="J337" s="20" t="str">
        <f>IF(Dati!F337="","",Dati!F337)</f>
        <v/>
      </c>
      <c r="K337" s="19" t="str">
        <f>IF(OR(H337="",J337=""),"",IF(H337*J337=0,"",H337*J337))</f>
        <v/>
      </c>
      <c r="L337" s="19" t="str">
        <f>IF(A337="","",IFERROR(IF(SUMPRODUCT((ISNUMBER(A$2:A337))*(A$2:A337&gt;1000)*(MONTH(IF(ISNUMBER(A$2:A337),A$2:A337,1))=MONTH(A337))*(YEAR(IF(ISNUMBER(A$2:A337),A$2:A337,1))=YEAR(A337))*IF(ISNUMBER(K$2:K337),K$2:K337,0))=0,"",SUMPRODUCT((ISNUMBER(A$2:A337))*(A$2:A337&gt;1000)*(MONTH(IF(ISNUMBER(A$2:A337),A$2:A337,1))=MONTH(A337))*(YEAR(IF(ISNUMBER(A$2:A337),A$2:A337,1))=YEAR(A337))*IF(ISNUMBER(K$2:K337),K$2:K337,0))),""))</f>
        <v/>
      </c>
      <c r="M337" s="21" t="str">
        <f>IF(A337="","",IFERROR(IF(SUMIF(N$2:N337,"CASA",K$2:K337)=0,"",SUMIF(N$2:N337,"CASA",K$2:K337)),""))</f>
        <v/>
      </c>
      <c r="N337" s="17" t="str">
        <f>IF(J337="","",IF(J337=0.2,"CASA",IF(Dati!G337="","",Dati!G337)))</f>
        <v/>
      </c>
    </row>
    <row r="338" spans="1:14" ht="15" customHeight="1" x14ac:dyDescent="0.2">
      <c r="A338" s="23" t="str">
        <f>IF(Dati!A338="","",Dati!A338)</f>
        <v/>
      </c>
      <c r="B338" s="17" t="str">
        <f>IF(Dati!B338="","",Dati!B338)</f>
        <v/>
      </c>
      <c r="C338" s="17" t="str">
        <f>IF(B338="","",IF(ISNUMBER(B337),IF(B338-B337&lt;0,B338,IF(B338-B337=0,"",B338-B337)),B338))</f>
        <v/>
      </c>
      <c r="D338" s="18" t="str">
        <f>IF(Dati!C338="","",IF(Dati!C338&gt;1,Dati!C338/100,Dati!C338))</f>
        <v/>
      </c>
      <c r="E338" s="18" t="str">
        <f>IF(Dati!D338="","",IF(Dati!D338&gt;1,Dati!D338/100,Dati!D338))</f>
        <v/>
      </c>
      <c r="F338" s="18" t="str">
        <f>IF(OR(D338="",E338=""),"",IF(OR(D338&gt;1,E338&gt;1),(E338-D338)/100,E338-D338))</f>
        <v/>
      </c>
      <c r="G338" s="17" t="str">
        <f>IF(F338="","",IF(64*F338=0,"",64*F338))</f>
        <v/>
      </c>
      <c r="H338" s="19" t="str">
        <f>IF(Dati!E338="","",Dati!E338)</f>
        <v/>
      </c>
      <c r="I338" s="19" t="str">
        <f>IFERROR(IF(OR(C338="",C338=0),"",H338/C338*100),"")</f>
        <v/>
      </c>
      <c r="J338" s="20" t="str">
        <f>IF(Dati!F338="","",Dati!F338)</f>
        <v/>
      </c>
      <c r="K338" s="19" t="str">
        <f>IF(OR(H338="",J338=""),"",IF(H338*J338=0,"",H338*J338))</f>
        <v/>
      </c>
      <c r="L338" s="19" t="str">
        <f>IF(A338="","",IFERROR(IF(SUMPRODUCT((ISNUMBER(A$2:A338))*(A$2:A338&gt;1000)*(MONTH(IF(ISNUMBER(A$2:A338),A$2:A338,1))=MONTH(A338))*(YEAR(IF(ISNUMBER(A$2:A338),A$2:A338,1))=YEAR(A338))*IF(ISNUMBER(K$2:K338),K$2:K338,0))=0,"",SUMPRODUCT((ISNUMBER(A$2:A338))*(A$2:A338&gt;1000)*(MONTH(IF(ISNUMBER(A$2:A338),A$2:A338,1))=MONTH(A338))*(YEAR(IF(ISNUMBER(A$2:A338),A$2:A338,1))=YEAR(A338))*IF(ISNUMBER(K$2:K338),K$2:K338,0))),""))</f>
        <v/>
      </c>
      <c r="M338" s="21" t="str">
        <f>IF(A338="","",IFERROR(IF(SUMIF(N$2:N338,"CASA",K$2:K338)=0,"",SUMIF(N$2:N338,"CASA",K$2:K338)),""))</f>
        <v/>
      </c>
      <c r="N338" s="17" t="str">
        <f>IF(J338="","",IF(J338=0.2,"CASA",IF(Dati!G338="","",Dati!G338)))</f>
        <v/>
      </c>
    </row>
    <row r="339" spans="1:14" ht="15" customHeight="1" x14ac:dyDescent="0.2">
      <c r="A339" s="23" t="str">
        <f>IF(Dati!A339="","",Dati!A339)</f>
        <v/>
      </c>
      <c r="B339" s="17" t="str">
        <f>IF(Dati!B339="","",Dati!B339)</f>
        <v/>
      </c>
      <c r="C339" s="17" t="str">
        <f>IF(B339="","",IF(ISNUMBER(B338),IF(B339-B338&lt;0,B339,IF(B339-B338=0,"",B339-B338)),B339))</f>
        <v/>
      </c>
      <c r="D339" s="18" t="str">
        <f>IF(Dati!C339="","",IF(Dati!C339&gt;1,Dati!C339/100,Dati!C339))</f>
        <v/>
      </c>
      <c r="E339" s="18" t="str">
        <f>IF(Dati!D339="","",IF(Dati!D339&gt;1,Dati!D339/100,Dati!D339))</f>
        <v/>
      </c>
      <c r="F339" s="18" t="str">
        <f>IF(OR(D339="",E339=""),"",IF(OR(D339&gt;1,E339&gt;1),(E339-D339)/100,E339-D339))</f>
        <v/>
      </c>
      <c r="G339" s="17" t="str">
        <f>IF(F339="","",IF(64*F339=0,"",64*F339))</f>
        <v/>
      </c>
      <c r="H339" s="19" t="str">
        <f>IF(Dati!E339="","",Dati!E339)</f>
        <v/>
      </c>
      <c r="I339" s="19" t="str">
        <f>IFERROR(IF(OR(C339="",C339=0),"",H339/C339*100),"")</f>
        <v/>
      </c>
      <c r="J339" s="20" t="str">
        <f>IF(Dati!F339="","",Dati!F339)</f>
        <v/>
      </c>
      <c r="K339" s="19" t="str">
        <f>IF(OR(H339="",J339=""),"",IF(H339*J339=0,"",H339*J339))</f>
        <v/>
      </c>
      <c r="L339" s="19" t="str">
        <f>IF(A339="","",IFERROR(IF(SUMPRODUCT((ISNUMBER(A$2:A339))*(A$2:A339&gt;1000)*(MONTH(IF(ISNUMBER(A$2:A339),A$2:A339,1))=MONTH(A339))*(YEAR(IF(ISNUMBER(A$2:A339),A$2:A339,1))=YEAR(A339))*IF(ISNUMBER(K$2:K339),K$2:K339,0))=0,"",SUMPRODUCT((ISNUMBER(A$2:A339))*(A$2:A339&gt;1000)*(MONTH(IF(ISNUMBER(A$2:A339),A$2:A339,1))=MONTH(A339))*(YEAR(IF(ISNUMBER(A$2:A339),A$2:A339,1))=YEAR(A339))*IF(ISNUMBER(K$2:K339),K$2:K339,0))),""))</f>
        <v/>
      </c>
      <c r="M339" s="21" t="str">
        <f>IF(A339="","",IFERROR(IF(SUMIF(N$2:N339,"CASA",K$2:K339)=0,"",SUMIF(N$2:N339,"CASA",K$2:K339)),""))</f>
        <v/>
      </c>
      <c r="N339" s="17" t="str">
        <f>IF(J339="","",IF(J339=0.2,"CASA",IF(Dati!G339="","",Dati!G339)))</f>
        <v/>
      </c>
    </row>
    <row r="340" spans="1:14" ht="15" customHeight="1" x14ac:dyDescent="0.2">
      <c r="A340" s="23" t="str">
        <f>IF(Dati!A340="","",Dati!A340)</f>
        <v/>
      </c>
      <c r="B340" s="17" t="str">
        <f>IF(Dati!B340="","",Dati!B340)</f>
        <v/>
      </c>
      <c r="C340" s="17" t="str">
        <f>IF(B340="","",IF(ISNUMBER(B339),IF(B340-B339&lt;0,B340,IF(B340-B339=0,"",B340-B339)),B340))</f>
        <v/>
      </c>
      <c r="D340" s="18" t="str">
        <f>IF(Dati!C340="","",IF(Dati!C340&gt;1,Dati!C340/100,Dati!C340))</f>
        <v/>
      </c>
      <c r="E340" s="18" t="str">
        <f>IF(Dati!D340="","",IF(Dati!D340&gt;1,Dati!D340/100,Dati!D340))</f>
        <v/>
      </c>
      <c r="F340" s="18" t="str">
        <f>IF(OR(D340="",E340=""),"",IF(OR(D340&gt;1,E340&gt;1),(E340-D340)/100,E340-D340))</f>
        <v/>
      </c>
      <c r="G340" s="17" t="str">
        <f>IF(F340="","",IF(64*F340=0,"",64*F340))</f>
        <v/>
      </c>
      <c r="H340" s="19" t="str">
        <f>IF(Dati!E340="","",Dati!E340)</f>
        <v/>
      </c>
      <c r="I340" s="19" t="str">
        <f>IFERROR(IF(OR(C340="",C340=0),"",H340/C340*100),"")</f>
        <v/>
      </c>
      <c r="J340" s="20" t="str">
        <f>IF(Dati!F340="","",Dati!F340)</f>
        <v/>
      </c>
      <c r="K340" s="19" t="str">
        <f>IF(OR(H340="",J340=""),"",IF(H340*J340=0,"",H340*J340))</f>
        <v/>
      </c>
      <c r="L340" s="19" t="str">
        <f>IF(A340="","",IFERROR(IF(SUMPRODUCT((ISNUMBER(A$2:A340))*(A$2:A340&gt;1000)*(MONTH(IF(ISNUMBER(A$2:A340),A$2:A340,1))=MONTH(A340))*(YEAR(IF(ISNUMBER(A$2:A340),A$2:A340,1))=YEAR(A340))*IF(ISNUMBER(K$2:K340),K$2:K340,0))=0,"",SUMPRODUCT((ISNUMBER(A$2:A340))*(A$2:A340&gt;1000)*(MONTH(IF(ISNUMBER(A$2:A340),A$2:A340,1))=MONTH(A340))*(YEAR(IF(ISNUMBER(A$2:A340),A$2:A340,1))=YEAR(A340))*IF(ISNUMBER(K$2:K340),K$2:K340,0))),""))</f>
        <v/>
      </c>
      <c r="M340" s="21" t="str">
        <f>IF(A340="","",IFERROR(IF(SUMIF(N$2:N340,"CASA",K$2:K340)=0,"",SUMIF(N$2:N340,"CASA",K$2:K340)),""))</f>
        <v/>
      </c>
      <c r="N340" s="17" t="str">
        <f>IF(J340="","",IF(J340=0.2,"CASA",IF(Dati!G340="","",Dati!G340)))</f>
        <v/>
      </c>
    </row>
    <row r="341" spans="1:14" ht="15" customHeight="1" x14ac:dyDescent="0.2">
      <c r="A341" s="23" t="str">
        <f>IF(Dati!A341="","",Dati!A341)</f>
        <v/>
      </c>
      <c r="B341" s="17" t="str">
        <f>IF(Dati!B341="","",Dati!B341)</f>
        <v/>
      </c>
      <c r="C341" s="17" t="str">
        <f>IF(B341="","",IF(ISNUMBER(B340),IF(B341-B340&lt;0,B341,IF(B341-B340=0,"",B341-B340)),B341))</f>
        <v/>
      </c>
      <c r="D341" s="18" t="str">
        <f>IF(Dati!C341="","",IF(Dati!C341&gt;1,Dati!C341/100,Dati!C341))</f>
        <v/>
      </c>
      <c r="E341" s="18" t="str">
        <f>IF(Dati!D341="","",IF(Dati!D341&gt;1,Dati!D341/100,Dati!D341))</f>
        <v/>
      </c>
      <c r="F341" s="18" t="str">
        <f>IF(OR(D341="",E341=""),"",IF(OR(D341&gt;1,E341&gt;1),(E341-D341)/100,E341-D341))</f>
        <v/>
      </c>
      <c r="G341" s="17" t="str">
        <f>IF(F341="","",IF(64*F341=0,"",64*F341))</f>
        <v/>
      </c>
      <c r="H341" s="19" t="str">
        <f>IF(Dati!E341="","",Dati!E341)</f>
        <v/>
      </c>
      <c r="I341" s="19" t="str">
        <f>IFERROR(IF(OR(C341="",C341=0),"",H341/C341*100),"")</f>
        <v/>
      </c>
      <c r="J341" s="20" t="str">
        <f>IF(Dati!F341="","",Dati!F341)</f>
        <v/>
      </c>
      <c r="K341" s="19" t="str">
        <f>IF(OR(H341="",J341=""),"",IF(H341*J341=0,"",H341*J341))</f>
        <v/>
      </c>
      <c r="L341" s="19" t="str">
        <f>IF(A341="","",IFERROR(IF(SUMPRODUCT((ISNUMBER(A$2:A341))*(A$2:A341&gt;1000)*(MONTH(IF(ISNUMBER(A$2:A341),A$2:A341,1))=MONTH(A341))*(YEAR(IF(ISNUMBER(A$2:A341),A$2:A341,1))=YEAR(A341))*IF(ISNUMBER(K$2:K341),K$2:K341,0))=0,"",SUMPRODUCT((ISNUMBER(A$2:A341))*(A$2:A341&gt;1000)*(MONTH(IF(ISNUMBER(A$2:A341),A$2:A341,1))=MONTH(A341))*(YEAR(IF(ISNUMBER(A$2:A341),A$2:A341,1))=YEAR(A341))*IF(ISNUMBER(K$2:K341),K$2:K341,0))),""))</f>
        <v/>
      </c>
      <c r="M341" s="21" t="str">
        <f>IF(A341="","",IFERROR(IF(SUMIF(N$2:N341,"CASA",K$2:K341)=0,"",SUMIF(N$2:N341,"CASA",K$2:K341)),""))</f>
        <v/>
      </c>
      <c r="N341" s="17" t="str">
        <f>IF(J341="","",IF(J341=0.2,"CASA",IF(Dati!G341="","",Dati!G341)))</f>
        <v/>
      </c>
    </row>
    <row r="342" spans="1:14" ht="15" customHeight="1" x14ac:dyDescent="0.2">
      <c r="A342" s="23" t="str">
        <f>IF(Dati!A342="","",Dati!A342)</f>
        <v/>
      </c>
      <c r="B342" s="17" t="str">
        <f>IF(Dati!B342="","",Dati!B342)</f>
        <v/>
      </c>
      <c r="C342" s="17" t="str">
        <f>IF(B342="","",IF(ISNUMBER(B341),IF(B342-B341&lt;0,B342,IF(B342-B341=0,"",B342-B341)),B342))</f>
        <v/>
      </c>
      <c r="D342" s="18" t="str">
        <f>IF(Dati!C342="","",IF(Dati!C342&gt;1,Dati!C342/100,Dati!C342))</f>
        <v/>
      </c>
      <c r="E342" s="18" t="str">
        <f>IF(Dati!D342="","",IF(Dati!D342&gt;1,Dati!D342/100,Dati!D342))</f>
        <v/>
      </c>
      <c r="F342" s="18" t="str">
        <f>IF(OR(D342="",E342=""),"",IF(OR(D342&gt;1,E342&gt;1),(E342-D342)/100,E342-D342))</f>
        <v/>
      </c>
      <c r="G342" s="17" t="str">
        <f>IF(F342="","",IF(64*F342=0,"",64*F342))</f>
        <v/>
      </c>
      <c r="H342" s="19" t="str">
        <f>IF(Dati!E342="","",Dati!E342)</f>
        <v/>
      </c>
      <c r="I342" s="19" t="str">
        <f>IFERROR(IF(OR(C342="",C342=0),"",H342/C342*100),"")</f>
        <v/>
      </c>
      <c r="J342" s="20" t="str">
        <f>IF(Dati!F342="","",Dati!F342)</f>
        <v/>
      </c>
      <c r="K342" s="19" t="str">
        <f>IF(OR(H342="",J342=""),"",IF(H342*J342=0,"",H342*J342))</f>
        <v/>
      </c>
      <c r="L342" s="19" t="str">
        <f>IF(A342="","",IFERROR(IF(SUMPRODUCT((ISNUMBER(A$2:A342))*(A$2:A342&gt;1000)*(MONTH(IF(ISNUMBER(A$2:A342),A$2:A342,1))=MONTH(A342))*(YEAR(IF(ISNUMBER(A$2:A342),A$2:A342,1))=YEAR(A342))*IF(ISNUMBER(K$2:K342),K$2:K342,0))=0,"",SUMPRODUCT((ISNUMBER(A$2:A342))*(A$2:A342&gt;1000)*(MONTH(IF(ISNUMBER(A$2:A342),A$2:A342,1))=MONTH(A342))*(YEAR(IF(ISNUMBER(A$2:A342),A$2:A342,1))=YEAR(A342))*IF(ISNUMBER(K$2:K342),K$2:K342,0))),""))</f>
        <v/>
      </c>
      <c r="M342" s="21" t="str">
        <f>IF(A342="","",IFERROR(IF(SUMIF(N$2:N342,"CASA",K$2:K342)=0,"",SUMIF(N$2:N342,"CASA",K$2:K342)),""))</f>
        <v/>
      </c>
      <c r="N342" s="17" t="str">
        <f>IF(J342="","",IF(J342=0.2,"CASA",IF(Dati!G342="","",Dati!G342)))</f>
        <v/>
      </c>
    </row>
    <row r="343" spans="1:14" ht="15" customHeight="1" x14ac:dyDescent="0.2">
      <c r="A343" s="23" t="str">
        <f>IF(Dati!A343="","",Dati!A343)</f>
        <v/>
      </c>
      <c r="B343" s="17" t="str">
        <f>IF(Dati!B343="","",Dati!B343)</f>
        <v/>
      </c>
      <c r="C343" s="17" t="str">
        <f>IF(B343="","",IF(ISNUMBER(B342),IF(B343-B342&lt;0,B343,IF(B343-B342=0,"",B343-B342)),B343))</f>
        <v/>
      </c>
      <c r="D343" s="18" t="str">
        <f>IF(Dati!C343="","",IF(Dati!C343&gt;1,Dati!C343/100,Dati!C343))</f>
        <v/>
      </c>
      <c r="E343" s="18" t="str">
        <f>IF(Dati!D343="","",IF(Dati!D343&gt;1,Dati!D343/100,Dati!D343))</f>
        <v/>
      </c>
      <c r="F343" s="18" t="str">
        <f>IF(OR(D343="",E343=""),"",IF(OR(D343&gt;1,E343&gt;1),(E343-D343)/100,E343-D343))</f>
        <v/>
      </c>
      <c r="G343" s="17" t="str">
        <f>IF(F343="","",IF(64*F343=0,"",64*F343))</f>
        <v/>
      </c>
      <c r="H343" s="19" t="str">
        <f>IF(Dati!E343="","",Dati!E343)</f>
        <v/>
      </c>
      <c r="I343" s="19" t="str">
        <f>IFERROR(IF(OR(C343="",C343=0),"",H343/C343*100),"")</f>
        <v/>
      </c>
      <c r="J343" s="20" t="str">
        <f>IF(Dati!F343="","",Dati!F343)</f>
        <v/>
      </c>
      <c r="K343" s="19" t="str">
        <f>IF(OR(H343="",J343=""),"",IF(H343*J343=0,"",H343*J343))</f>
        <v/>
      </c>
      <c r="L343" s="19" t="str">
        <f>IF(A343="","",IFERROR(IF(SUMPRODUCT((ISNUMBER(A$2:A343))*(A$2:A343&gt;1000)*(MONTH(IF(ISNUMBER(A$2:A343),A$2:A343,1))=MONTH(A343))*(YEAR(IF(ISNUMBER(A$2:A343),A$2:A343,1))=YEAR(A343))*IF(ISNUMBER(K$2:K343),K$2:K343,0))=0,"",SUMPRODUCT((ISNUMBER(A$2:A343))*(A$2:A343&gt;1000)*(MONTH(IF(ISNUMBER(A$2:A343),A$2:A343,1))=MONTH(A343))*(YEAR(IF(ISNUMBER(A$2:A343),A$2:A343,1))=YEAR(A343))*IF(ISNUMBER(K$2:K343),K$2:K343,0))),""))</f>
        <v/>
      </c>
      <c r="M343" s="21" t="str">
        <f>IF(A343="","",IFERROR(IF(SUMIF(N$2:N343,"CASA",K$2:K343)=0,"",SUMIF(N$2:N343,"CASA",K$2:K343)),""))</f>
        <v/>
      </c>
      <c r="N343" s="17" t="str">
        <f>IF(J343="","",IF(J343=0.2,"CASA",IF(Dati!G343="","",Dati!G343)))</f>
        <v/>
      </c>
    </row>
    <row r="344" spans="1:14" ht="15" customHeight="1" x14ac:dyDescent="0.2">
      <c r="A344" s="23" t="str">
        <f>IF(Dati!A344="","",Dati!A344)</f>
        <v/>
      </c>
      <c r="B344" s="17" t="str">
        <f>IF(Dati!B344="","",Dati!B344)</f>
        <v/>
      </c>
      <c r="C344" s="17" t="str">
        <f>IF(B344="","",IF(ISNUMBER(B343),IF(B344-B343&lt;0,B344,IF(B344-B343=0,"",B344-B343)),B344))</f>
        <v/>
      </c>
      <c r="D344" s="18" t="str">
        <f>IF(Dati!C344="","",IF(Dati!C344&gt;1,Dati!C344/100,Dati!C344))</f>
        <v/>
      </c>
      <c r="E344" s="18" t="str">
        <f>IF(Dati!D344="","",IF(Dati!D344&gt;1,Dati!D344/100,Dati!D344))</f>
        <v/>
      </c>
      <c r="F344" s="18" t="str">
        <f>IF(OR(D344="",E344=""),"",IF(OR(D344&gt;1,E344&gt;1),(E344-D344)/100,E344-D344))</f>
        <v/>
      </c>
      <c r="G344" s="17" t="str">
        <f>IF(F344="","",IF(64*F344=0,"",64*F344))</f>
        <v/>
      </c>
      <c r="H344" s="19" t="str">
        <f>IF(Dati!E344="","",Dati!E344)</f>
        <v/>
      </c>
      <c r="I344" s="19" t="str">
        <f>IFERROR(IF(OR(C344="",C344=0),"",H344/C344*100),"")</f>
        <v/>
      </c>
      <c r="J344" s="20" t="str">
        <f>IF(Dati!F344="","",Dati!F344)</f>
        <v/>
      </c>
      <c r="K344" s="19" t="str">
        <f>IF(OR(H344="",J344=""),"",IF(H344*J344=0,"",H344*J344))</f>
        <v/>
      </c>
      <c r="L344" s="19" t="str">
        <f>IF(A344="","",IFERROR(IF(SUMPRODUCT((ISNUMBER(A$2:A344))*(A$2:A344&gt;1000)*(MONTH(IF(ISNUMBER(A$2:A344),A$2:A344,1))=MONTH(A344))*(YEAR(IF(ISNUMBER(A$2:A344),A$2:A344,1))=YEAR(A344))*IF(ISNUMBER(K$2:K344),K$2:K344,0))=0,"",SUMPRODUCT((ISNUMBER(A$2:A344))*(A$2:A344&gt;1000)*(MONTH(IF(ISNUMBER(A$2:A344),A$2:A344,1))=MONTH(A344))*(YEAR(IF(ISNUMBER(A$2:A344),A$2:A344,1))=YEAR(A344))*IF(ISNUMBER(K$2:K344),K$2:K344,0))),""))</f>
        <v/>
      </c>
      <c r="M344" s="21" t="str">
        <f>IF(A344="","",IFERROR(IF(SUMIF(N$2:N344,"CASA",K$2:K344)=0,"",SUMIF(N$2:N344,"CASA",K$2:K344)),""))</f>
        <v/>
      </c>
      <c r="N344" s="17" t="str">
        <f>IF(J344="","",IF(J344=0.2,"CASA",IF(Dati!G344="","",Dati!G344)))</f>
        <v/>
      </c>
    </row>
    <row r="345" spans="1:14" ht="15" customHeight="1" x14ac:dyDescent="0.2">
      <c r="A345" s="23" t="str">
        <f>IF(Dati!A345="","",Dati!A345)</f>
        <v/>
      </c>
      <c r="B345" s="17" t="str">
        <f>IF(Dati!B345="","",Dati!B345)</f>
        <v/>
      </c>
      <c r="C345" s="17" t="str">
        <f>IF(B345="","",IF(ISNUMBER(B344),IF(B345-B344&lt;0,B345,IF(B345-B344=0,"",B345-B344)),B345))</f>
        <v/>
      </c>
      <c r="D345" s="18" t="str">
        <f>IF(Dati!C345="","",IF(Dati!C345&gt;1,Dati!C345/100,Dati!C345))</f>
        <v/>
      </c>
      <c r="E345" s="18" t="str">
        <f>IF(Dati!D345="","",IF(Dati!D345&gt;1,Dati!D345/100,Dati!D345))</f>
        <v/>
      </c>
      <c r="F345" s="18" t="str">
        <f>IF(OR(D345="",E345=""),"",IF(OR(D345&gt;1,E345&gt;1),(E345-D345)/100,E345-D345))</f>
        <v/>
      </c>
      <c r="G345" s="17" t="str">
        <f>IF(F345="","",IF(64*F345=0,"",64*F345))</f>
        <v/>
      </c>
      <c r="H345" s="19" t="str">
        <f>IF(Dati!E345="","",Dati!E345)</f>
        <v/>
      </c>
      <c r="I345" s="19" t="str">
        <f>IFERROR(IF(OR(C345="",C345=0),"",H345/C345*100),"")</f>
        <v/>
      </c>
      <c r="J345" s="20" t="str">
        <f>IF(Dati!F345="","",Dati!F345)</f>
        <v/>
      </c>
      <c r="K345" s="19" t="str">
        <f>IF(OR(H345="",J345=""),"",IF(H345*J345=0,"",H345*J345))</f>
        <v/>
      </c>
      <c r="L345" s="19" t="str">
        <f>IF(A345="","",IFERROR(IF(SUMPRODUCT((ISNUMBER(A$2:A345))*(A$2:A345&gt;1000)*(MONTH(IF(ISNUMBER(A$2:A345),A$2:A345,1))=MONTH(A345))*(YEAR(IF(ISNUMBER(A$2:A345),A$2:A345,1))=YEAR(A345))*IF(ISNUMBER(K$2:K345),K$2:K345,0))=0,"",SUMPRODUCT((ISNUMBER(A$2:A345))*(A$2:A345&gt;1000)*(MONTH(IF(ISNUMBER(A$2:A345),A$2:A345,1))=MONTH(A345))*(YEAR(IF(ISNUMBER(A$2:A345),A$2:A345,1))=YEAR(A345))*IF(ISNUMBER(K$2:K345),K$2:K345,0))),""))</f>
        <v/>
      </c>
      <c r="M345" s="21" t="str">
        <f>IF(A345="","",IFERROR(IF(SUMIF(N$2:N345,"CASA",K$2:K345)=0,"",SUMIF(N$2:N345,"CASA",K$2:K345)),""))</f>
        <v/>
      </c>
      <c r="N345" s="17" t="str">
        <f>IF(J345="","",IF(J345=0.2,"CASA",IF(Dati!G345="","",Dati!G345)))</f>
        <v/>
      </c>
    </row>
    <row r="346" spans="1:14" ht="15" customHeight="1" x14ac:dyDescent="0.2">
      <c r="A346" s="23" t="str">
        <f>IF(Dati!A346="","",Dati!A346)</f>
        <v/>
      </c>
      <c r="B346" s="17" t="str">
        <f>IF(Dati!B346="","",Dati!B346)</f>
        <v/>
      </c>
      <c r="C346" s="17" t="str">
        <f>IF(B346="","",IF(ISNUMBER(B345),IF(B346-B345&lt;0,B346,IF(B346-B345=0,"",B346-B345)),B346))</f>
        <v/>
      </c>
      <c r="D346" s="18" t="str">
        <f>IF(Dati!C346="","",IF(Dati!C346&gt;1,Dati!C346/100,Dati!C346))</f>
        <v/>
      </c>
      <c r="E346" s="18" t="str">
        <f>IF(Dati!D346="","",IF(Dati!D346&gt;1,Dati!D346/100,Dati!D346))</f>
        <v/>
      </c>
      <c r="F346" s="18" t="str">
        <f>IF(OR(D346="",E346=""),"",IF(OR(D346&gt;1,E346&gt;1),(E346-D346)/100,E346-D346))</f>
        <v/>
      </c>
      <c r="G346" s="17" t="str">
        <f>IF(F346="","",IF(64*F346=0,"",64*F346))</f>
        <v/>
      </c>
      <c r="H346" s="19" t="str">
        <f>IF(Dati!E346="","",Dati!E346)</f>
        <v/>
      </c>
      <c r="I346" s="19" t="str">
        <f>IFERROR(IF(OR(C346="",C346=0),"",H346/C346*100),"")</f>
        <v/>
      </c>
      <c r="J346" s="20" t="str">
        <f>IF(Dati!F346="","",Dati!F346)</f>
        <v/>
      </c>
      <c r="K346" s="19" t="str">
        <f>IF(OR(H346="",J346=""),"",IF(H346*J346=0,"",H346*J346))</f>
        <v/>
      </c>
      <c r="L346" s="19" t="str">
        <f>IF(A346="","",IFERROR(IF(SUMPRODUCT((ISNUMBER(A$2:A346))*(A$2:A346&gt;1000)*(MONTH(IF(ISNUMBER(A$2:A346),A$2:A346,1))=MONTH(A346))*(YEAR(IF(ISNUMBER(A$2:A346),A$2:A346,1))=YEAR(A346))*IF(ISNUMBER(K$2:K346),K$2:K346,0))=0,"",SUMPRODUCT((ISNUMBER(A$2:A346))*(A$2:A346&gt;1000)*(MONTH(IF(ISNUMBER(A$2:A346),A$2:A346,1))=MONTH(A346))*(YEAR(IF(ISNUMBER(A$2:A346),A$2:A346,1))=YEAR(A346))*IF(ISNUMBER(K$2:K346),K$2:K346,0))),""))</f>
        <v/>
      </c>
      <c r="M346" s="21" t="str">
        <f>IF(A346="","",IFERROR(IF(SUMIF(N$2:N346,"CASA",K$2:K346)=0,"",SUMIF(N$2:N346,"CASA",K$2:K346)),""))</f>
        <v/>
      </c>
      <c r="N346" s="17" t="str">
        <f>IF(J346="","",IF(J346=0.2,"CASA",IF(Dati!G346="","",Dati!G346)))</f>
        <v/>
      </c>
    </row>
    <row r="347" spans="1:14" ht="15" customHeight="1" x14ac:dyDescent="0.2">
      <c r="A347" s="23" t="str">
        <f>IF(Dati!A347="","",Dati!A347)</f>
        <v/>
      </c>
      <c r="B347" s="17" t="str">
        <f>IF(Dati!B347="","",Dati!B347)</f>
        <v/>
      </c>
      <c r="C347" s="17" t="str">
        <f>IF(B347="","",IF(ISNUMBER(B346),IF(B347-B346&lt;0,B347,IF(B347-B346=0,"",B347-B346)),B347))</f>
        <v/>
      </c>
      <c r="D347" s="18" t="str">
        <f>IF(Dati!C347="","",IF(Dati!C347&gt;1,Dati!C347/100,Dati!C347))</f>
        <v/>
      </c>
      <c r="E347" s="18" t="str">
        <f>IF(Dati!D347="","",IF(Dati!D347&gt;1,Dati!D347/100,Dati!D347))</f>
        <v/>
      </c>
      <c r="F347" s="18" t="str">
        <f>IF(OR(D347="",E347=""),"",IF(OR(D347&gt;1,E347&gt;1),(E347-D347)/100,E347-D347))</f>
        <v/>
      </c>
      <c r="G347" s="17" t="str">
        <f>IF(F347="","",IF(64*F347=0,"",64*F347))</f>
        <v/>
      </c>
      <c r="H347" s="19" t="str">
        <f>IF(Dati!E347="","",Dati!E347)</f>
        <v/>
      </c>
      <c r="I347" s="19" t="str">
        <f>IFERROR(IF(OR(C347="",C347=0),"",H347/C347*100),"")</f>
        <v/>
      </c>
      <c r="J347" s="20" t="str">
        <f>IF(Dati!F347="","",Dati!F347)</f>
        <v/>
      </c>
      <c r="K347" s="19" t="str">
        <f>IF(OR(H347="",J347=""),"",IF(H347*J347=0,"",H347*J347))</f>
        <v/>
      </c>
      <c r="L347" s="19" t="str">
        <f>IF(A347="","",IFERROR(IF(SUMPRODUCT((ISNUMBER(A$2:A347))*(A$2:A347&gt;1000)*(MONTH(IF(ISNUMBER(A$2:A347),A$2:A347,1))=MONTH(A347))*(YEAR(IF(ISNUMBER(A$2:A347),A$2:A347,1))=YEAR(A347))*IF(ISNUMBER(K$2:K347),K$2:K347,0))=0,"",SUMPRODUCT((ISNUMBER(A$2:A347))*(A$2:A347&gt;1000)*(MONTH(IF(ISNUMBER(A$2:A347),A$2:A347,1))=MONTH(A347))*(YEAR(IF(ISNUMBER(A$2:A347),A$2:A347,1))=YEAR(A347))*IF(ISNUMBER(K$2:K347),K$2:K347,0))),""))</f>
        <v/>
      </c>
      <c r="M347" s="21" t="str">
        <f>IF(A347="","",IFERROR(IF(SUMIF(N$2:N347,"CASA",K$2:K347)=0,"",SUMIF(N$2:N347,"CASA",K$2:K347)),""))</f>
        <v/>
      </c>
      <c r="N347" s="17" t="str">
        <f>IF(J347="","",IF(J347=0.2,"CASA",IF(Dati!G347="","",Dati!G347)))</f>
        <v/>
      </c>
    </row>
    <row r="348" spans="1:14" ht="15" customHeight="1" x14ac:dyDescent="0.2">
      <c r="A348" s="23" t="str">
        <f>IF(Dati!A348="","",Dati!A348)</f>
        <v/>
      </c>
      <c r="B348" s="17" t="str">
        <f>IF(Dati!B348="","",Dati!B348)</f>
        <v/>
      </c>
      <c r="C348" s="17" t="str">
        <f>IF(B348="","",IF(ISNUMBER(B347),IF(B348-B347&lt;0,B348,IF(B348-B347=0,"",B348-B347)),B348))</f>
        <v/>
      </c>
      <c r="D348" s="18" t="str">
        <f>IF(Dati!C348="","",IF(Dati!C348&gt;1,Dati!C348/100,Dati!C348))</f>
        <v/>
      </c>
      <c r="E348" s="18" t="str">
        <f>IF(Dati!D348="","",IF(Dati!D348&gt;1,Dati!D348/100,Dati!D348))</f>
        <v/>
      </c>
      <c r="F348" s="18" t="str">
        <f>IF(OR(D348="",E348=""),"",IF(OR(D348&gt;1,E348&gt;1),(E348-D348)/100,E348-D348))</f>
        <v/>
      </c>
      <c r="G348" s="17" t="str">
        <f>IF(F348="","",IF(64*F348=0,"",64*F348))</f>
        <v/>
      </c>
      <c r="H348" s="19" t="str">
        <f>IF(Dati!E348="","",Dati!E348)</f>
        <v/>
      </c>
      <c r="I348" s="19" t="str">
        <f>IFERROR(IF(OR(C348="",C348=0),"",H348/C348*100),"")</f>
        <v/>
      </c>
      <c r="J348" s="20" t="str">
        <f>IF(Dati!F348="","",Dati!F348)</f>
        <v/>
      </c>
      <c r="K348" s="19" t="str">
        <f>IF(OR(H348="",J348=""),"",IF(H348*J348=0,"",H348*J348))</f>
        <v/>
      </c>
      <c r="L348" s="19" t="str">
        <f>IF(A348="","",IFERROR(IF(SUMPRODUCT((ISNUMBER(A$2:A348))*(A$2:A348&gt;1000)*(MONTH(IF(ISNUMBER(A$2:A348),A$2:A348,1))=MONTH(A348))*(YEAR(IF(ISNUMBER(A$2:A348),A$2:A348,1))=YEAR(A348))*IF(ISNUMBER(K$2:K348),K$2:K348,0))=0,"",SUMPRODUCT((ISNUMBER(A$2:A348))*(A$2:A348&gt;1000)*(MONTH(IF(ISNUMBER(A$2:A348),A$2:A348,1))=MONTH(A348))*(YEAR(IF(ISNUMBER(A$2:A348),A$2:A348,1))=YEAR(A348))*IF(ISNUMBER(K$2:K348),K$2:K348,0))),""))</f>
        <v/>
      </c>
      <c r="M348" s="21" t="str">
        <f>IF(A348="","",IFERROR(IF(SUMIF(N$2:N348,"CASA",K$2:K348)=0,"",SUMIF(N$2:N348,"CASA",K$2:K348)),""))</f>
        <v/>
      </c>
      <c r="N348" s="17" t="str">
        <f>IF(J348="","",IF(J348=0.2,"CASA",IF(Dati!G348="","",Dati!G348)))</f>
        <v/>
      </c>
    </row>
    <row r="349" spans="1:14" ht="15" customHeight="1" x14ac:dyDescent="0.2">
      <c r="A349" s="23" t="str">
        <f>IF(Dati!A349="","",Dati!A349)</f>
        <v/>
      </c>
      <c r="B349" s="17" t="str">
        <f>IF(Dati!B349="","",Dati!B349)</f>
        <v/>
      </c>
      <c r="C349" s="17" t="str">
        <f>IF(B349="","",IF(ISNUMBER(B348),IF(B349-B348&lt;0,B349,IF(B349-B348=0,"",B349-B348)),B349))</f>
        <v/>
      </c>
      <c r="D349" s="18" t="str">
        <f>IF(Dati!C349="","",IF(Dati!C349&gt;1,Dati!C349/100,Dati!C349))</f>
        <v/>
      </c>
      <c r="E349" s="18" t="str">
        <f>IF(Dati!D349="","",IF(Dati!D349&gt;1,Dati!D349/100,Dati!D349))</f>
        <v/>
      </c>
      <c r="F349" s="18" t="str">
        <f>IF(OR(D349="",E349=""),"",IF(OR(D349&gt;1,E349&gt;1),(E349-D349)/100,E349-D349))</f>
        <v/>
      </c>
      <c r="G349" s="17" t="str">
        <f>IF(F349="","",IF(64*F349=0,"",64*F349))</f>
        <v/>
      </c>
      <c r="H349" s="19" t="str">
        <f>IF(Dati!E349="","",Dati!E349)</f>
        <v/>
      </c>
      <c r="I349" s="19" t="str">
        <f>IFERROR(IF(OR(C349="",C349=0),"",H349/C349*100),"")</f>
        <v/>
      </c>
      <c r="J349" s="20" t="str">
        <f>IF(Dati!F349="","",Dati!F349)</f>
        <v/>
      </c>
      <c r="K349" s="19" t="str">
        <f>IF(OR(H349="",J349=""),"",IF(H349*J349=0,"",H349*J349))</f>
        <v/>
      </c>
      <c r="L349" s="19" t="str">
        <f>IF(A349="","",IFERROR(IF(SUMPRODUCT((ISNUMBER(A$2:A349))*(A$2:A349&gt;1000)*(MONTH(IF(ISNUMBER(A$2:A349),A$2:A349,1))=MONTH(A349))*(YEAR(IF(ISNUMBER(A$2:A349),A$2:A349,1))=YEAR(A349))*IF(ISNUMBER(K$2:K349),K$2:K349,0))=0,"",SUMPRODUCT((ISNUMBER(A$2:A349))*(A$2:A349&gt;1000)*(MONTH(IF(ISNUMBER(A$2:A349),A$2:A349,1))=MONTH(A349))*(YEAR(IF(ISNUMBER(A$2:A349),A$2:A349,1))=YEAR(A349))*IF(ISNUMBER(K$2:K349),K$2:K349,0))),""))</f>
        <v/>
      </c>
      <c r="M349" s="21" t="str">
        <f>IF(A349="","",IFERROR(IF(SUMIF(N$2:N349,"CASA",K$2:K349)=0,"",SUMIF(N$2:N349,"CASA",K$2:K349)),""))</f>
        <v/>
      </c>
      <c r="N349" s="17" t="str">
        <f>IF(J349="","",IF(J349=0.2,"CASA",IF(Dati!G349="","",Dati!G349)))</f>
        <v/>
      </c>
    </row>
    <row r="350" spans="1:14" ht="15" customHeight="1" x14ac:dyDescent="0.2">
      <c r="A350" s="23" t="str">
        <f>IF(Dati!A350="","",Dati!A350)</f>
        <v/>
      </c>
      <c r="B350" s="17" t="str">
        <f>IF(Dati!B350="","",Dati!B350)</f>
        <v/>
      </c>
      <c r="C350" s="17" t="str">
        <f>IF(B350="","",IF(ISNUMBER(B349),IF(B350-B349&lt;0,B350,IF(B350-B349=0,"",B350-B349)),B350))</f>
        <v/>
      </c>
      <c r="D350" s="18" t="str">
        <f>IF(Dati!C350="","",IF(Dati!C350&gt;1,Dati!C350/100,Dati!C350))</f>
        <v/>
      </c>
      <c r="E350" s="18" t="str">
        <f>IF(Dati!D350="","",IF(Dati!D350&gt;1,Dati!D350/100,Dati!D350))</f>
        <v/>
      </c>
      <c r="F350" s="18" t="str">
        <f>IF(OR(D350="",E350=""),"",IF(OR(D350&gt;1,E350&gt;1),(E350-D350)/100,E350-D350))</f>
        <v/>
      </c>
      <c r="G350" s="17" t="str">
        <f>IF(F350="","",IF(64*F350=0,"",64*F350))</f>
        <v/>
      </c>
      <c r="H350" s="19" t="str">
        <f>IF(Dati!E350="","",Dati!E350)</f>
        <v/>
      </c>
      <c r="I350" s="19" t="str">
        <f>IFERROR(IF(OR(C350="",C350=0),"",H350/C350*100),"")</f>
        <v/>
      </c>
      <c r="J350" s="20" t="str">
        <f>IF(Dati!F350="","",Dati!F350)</f>
        <v/>
      </c>
      <c r="K350" s="19" t="str">
        <f>IF(OR(H350="",J350=""),"",IF(H350*J350=0,"",H350*J350))</f>
        <v/>
      </c>
      <c r="L350" s="19" t="str">
        <f>IF(A350="","",IFERROR(IF(SUMPRODUCT((ISNUMBER(A$2:A350))*(A$2:A350&gt;1000)*(MONTH(IF(ISNUMBER(A$2:A350),A$2:A350,1))=MONTH(A350))*(YEAR(IF(ISNUMBER(A$2:A350),A$2:A350,1))=YEAR(A350))*IF(ISNUMBER(K$2:K350),K$2:K350,0))=0,"",SUMPRODUCT((ISNUMBER(A$2:A350))*(A$2:A350&gt;1000)*(MONTH(IF(ISNUMBER(A$2:A350),A$2:A350,1))=MONTH(A350))*(YEAR(IF(ISNUMBER(A$2:A350),A$2:A350,1))=YEAR(A350))*IF(ISNUMBER(K$2:K350),K$2:K350,0))),""))</f>
        <v/>
      </c>
      <c r="M350" s="21" t="str">
        <f>IF(A350="","",IFERROR(IF(SUMIF(N$2:N350,"CASA",K$2:K350)=0,"",SUMIF(N$2:N350,"CASA",K$2:K350)),""))</f>
        <v/>
      </c>
      <c r="N350" s="17" t="str">
        <f>IF(J350="","",IF(J350=0.2,"CASA",IF(Dati!G350="","",Dati!G350)))</f>
        <v/>
      </c>
    </row>
    <row r="351" spans="1:14" ht="15" customHeight="1" x14ac:dyDescent="0.2">
      <c r="A351" s="23" t="str">
        <f>IF(Dati!A351="","",Dati!A351)</f>
        <v/>
      </c>
      <c r="B351" s="17" t="str">
        <f>IF(Dati!B351="","",Dati!B351)</f>
        <v/>
      </c>
      <c r="C351" s="17" t="str">
        <f>IF(B351="","",IF(ISNUMBER(B350),IF(B351-B350&lt;0,B351,IF(B351-B350=0,"",B351-B350)),B351))</f>
        <v/>
      </c>
      <c r="D351" s="18" t="str">
        <f>IF(Dati!C351="","",IF(Dati!C351&gt;1,Dati!C351/100,Dati!C351))</f>
        <v/>
      </c>
      <c r="E351" s="18" t="str">
        <f>IF(Dati!D351="","",IF(Dati!D351&gt;1,Dati!D351/100,Dati!D351))</f>
        <v/>
      </c>
      <c r="F351" s="18" t="str">
        <f>IF(OR(D351="",E351=""),"",IF(OR(D351&gt;1,E351&gt;1),(E351-D351)/100,E351-D351))</f>
        <v/>
      </c>
      <c r="G351" s="17" t="str">
        <f>IF(F351="","",IF(64*F351=0,"",64*F351))</f>
        <v/>
      </c>
      <c r="H351" s="19" t="str">
        <f>IF(Dati!E351="","",Dati!E351)</f>
        <v/>
      </c>
      <c r="I351" s="19" t="str">
        <f>IFERROR(IF(OR(C351="",C351=0),"",H351/C351*100),"")</f>
        <v/>
      </c>
      <c r="J351" s="20" t="str">
        <f>IF(Dati!F351="","",Dati!F351)</f>
        <v/>
      </c>
      <c r="K351" s="19" t="str">
        <f>IF(OR(H351="",J351=""),"",IF(H351*J351=0,"",H351*J351))</f>
        <v/>
      </c>
      <c r="L351" s="19" t="str">
        <f>IF(A351="","",IFERROR(IF(SUMPRODUCT((ISNUMBER(A$2:A351))*(A$2:A351&gt;1000)*(MONTH(IF(ISNUMBER(A$2:A351),A$2:A351,1))=MONTH(A351))*(YEAR(IF(ISNUMBER(A$2:A351),A$2:A351,1))=YEAR(A351))*IF(ISNUMBER(K$2:K351),K$2:K351,0))=0,"",SUMPRODUCT((ISNUMBER(A$2:A351))*(A$2:A351&gt;1000)*(MONTH(IF(ISNUMBER(A$2:A351),A$2:A351,1))=MONTH(A351))*(YEAR(IF(ISNUMBER(A$2:A351),A$2:A351,1))=YEAR(A351))*IF(ISNUMBER(K$2:K351),K$2:K351,0))),""))</f>
        <v/>
      </c>
      <c r="M351" s="21" t="str">
        <f>IF(A351="","",IFERROR(IF(SUMIF(N$2:N351,"CASA",K$2:K351)=0,"",SUMIF(N$2:N351,"CASA",K$2:K351)),""))</f>
        <v/>
      </c>
      <c r="N351" s="17" t="str">
        <f>IF(J351="","",IF(J351=0.2,"CASA",IF(Dati!G351="","",Dati!G351)))</f>
        <v/>
      </c>
    </row>
    <row r="352" spans="1:14" ht="15" customHeight="1" x14ac:dyDescent="0.2">
      <c r="A352" s="23" t="str">
        <f>IF(Dati!A352="","",Dati!A352)</f>
        <v/>
      </c>
      <c r="B352" s="17" t="str">
        <f>IF(Dati!B352="","",Dati!B352)</f>
        <v/>
      </c>
      <c r="C352" s="17" t="str">
        <f>IF(B352="","",IF(ISNUMBER(B351),IF(B352-B351&lt;0,B352,IF(B352-B351=0,"",B352-B351)),B352))</f>
        <v/>
      </c>
      <c r="D352" s="18" t="str">
        <f>IF(Dati!C352="","",IF(Dati!C352&gt;1,Dati!C352/100,Dati!C352))</f>
        <v/>
      </c>
      <c r="E352" s="18" t="str">
        <f>IF(Dati!D352="","",IF(Dati!D352&gt;1,Dati!D352/100,Dati!D352))</f>
        <v/>
      </c>
      <c r="F352" s="18" t="str">
        <f>IF(OR(D352="",E352=""),"",IF(OR(D352&gt;1,E352&gt;1),(E352-D352)/100,E352-D352))</f>
        <v/>
      </c>
      <c r="G352" s="17" t="str">
        <f>IF(F352="","",IF(64*F352=0,"",64*F352))</f>
        <v/>
      </c>
      <c r="H352" s="19" t="str">
        <f>IF(Dati!E352="","",Dati!E352)</f>
        <v/>
      </c>
      <c r="I352" s="19" t="str">
        <f>IFERROR(IF(OR(C352="",C352=0),"",H352/C352*100),"")</f>
        <v/>
      </c>
      <c r="J352" s="20" t="str">
        <f>IF(Dati!F352="","",Dati!F352)</f>
        <v/>
      </c>
      <c r="K352" s="19" t="str">
        <f>IF(OR(H352="",J352=""),"",IF(H352*J352=0,"",H352*J352))</f>
        <v/>
      </c>
      <c r="L352" s="19" t="str">
        <f>IF(A352="","",IFERROR(IF(SUMPRODUCT((ISNUMBER(A$2:A352))*(A$2:A352&gt;1000)*(MONTH(IF(ISNUMBER(A$2:A352),A$2:A352,1))=MONTH(A352))*(YEAR(IF(ISNUMBER(A$2:A352),A$2:A352,1))=YEAR(A352))*IF(ISNUMBER(K$2:K352),K$2:K352,0))=0,"",SUMPRODUCT((ISNUMBER(A$2:A352))*(A$2:A352&gt;1000)*(MONTH(IF(ISNUMBER(A$2:A352),A$2:A352,1))=MONTH(A352))*(YEAR(IF(ISNUMBER(A$2:A352),A$2:A352,1))=YEAR(A352))*IF(ISNUMBER(K$2:K352),K$2:K352,0))),""))</f>
        <v/>
      </c>
      <c r="M352" s="21" t="str">
        <f>IF(A352="","",IFERROR(IF(SUMIF(N$2:N352,"CASA",K$2:K352)=0,"",SUMIF(N$2:N352,"CASA",K$2:K352)),""))</f>
        <v/>
      </c>
      <c r="N352" s="17" t="str">
        <f>IF(J352="","",IF(J352=0.2,"CASA",IF(Dati!G352="","",Dati!G352)))</f>
        <v/>
      </c>
    </row>
    <row r="353" spans="1:14" ht="15" customHeight="1" x14ac:dyDescent="0.2">
      <c r="A353" s="23" t="str">
        <f>IF(Dati!A353="","",Dati!A353)</f>
        <v/>
      </c>
      <c r="B353" s="17" t="str">
        <f>IF(Dati!B353="","",Dati!B353)</f>
        <v/>
      </c>
      <c r="C353" s="17" t="str">
        <f>IF(B353="","",IF(ISNUMBER(B352),IF(B353-B352&lt;0,B353,IF(B353-B352=0,"",B353-B352)),B353))</f>
        <v/>
      </c>
      <c r="D353" s="18" t="str">
        <f>IF(Dati!C353="","",IF(Dati!C353&gt;1,Dati!C353/100,Dati!C353))</f>
        <v/>
      </c>
      <c r="E353" s="18" t="str">
        <f>IF(Dati!D353="","",IF(Dati!D353&gt;1,Dati!D353/100,Dati!D353))</f>
        <v/>
      </c>
      <c r="F353" s="18" t="str">
        <f>IF(OR(D353="",E353=""),"",IF(OR(D353&gt;1,E353&gt;1),(E353-D353)/100,E353-D353))</f>
        <v/>
      </c>
      <c r="G353" s="17" t="str">
        <f>IF(F353="","",IF(64*F353=0,"",64*F353))</f>
        <v/>
      </c>
      <c r="H353" s="19" t="str">
        <f>IF(Dati!E353="","",Dati!E353)</f>
        <v/>
      </c>
      <c r="I353" s="19" t="str">
        <f>IFERROR(IF(OR(C353="",C353=0),"",H353/C353*100),"")</f>
        <v/>
      </c>
      <c r="J353" s="20" t="str">
        <f>IF(Dati!F353="","",Dati!F353)</f>
        <v/>
      </c>
      <c r="K353" s="19" t="str">
        <f>IF(OR(H353="",J353=""),"",IF(H353*J353=0,"",H353*J353))</f>
        <v/>
      </c>
      <c r="L353" s="19" t="str">
        <f>IF(A353="","",IFERROR(IF(SUMPRODUCT((ISNUMBER(A$2:A353))*(A$2:A353&gt;1000)*(MONTH(IF(ISNUMBER(A$2:A353),A$2:A353,1))=MONTH(A353))*(YEAR(IF(ISNUMBER(A$2:A353),A$2:A353,1))=YEAR(A353))*IF(ISNUMBER(K$2:K353),K$2:K353,0))=0,"",SUMPRODUCT((ISNUMBER(A$2:A353))*(A$2:A353&gt;1000)*(MONTH(IF(ISNUMBER(A$2:A353),A$2:A353,1))=MONTH(A353))*(YEAR(IF(ISNUMBER(A$2:A353),A$2:A353,1))=YEAR(A353))*IF(ISNUMBER(K$2:K353),K$2:K353,0))),""))</f>
        <v/>
      </c>
      <c r="M353" s="21" t="str">
        <f>IF(A353="","",IFERROR(IF(SUMIF(N$2:N353,"CASA",K$2:K353)=0,"",SUMIF(N$2:N353,"CASA",K$2:K353)),""))</f>
        <v/>
      </c>
      <c r="N353" s="17" t="str">
        <f>IF(J353="","",IF(J353=0.2,"CASA",IF(Dati!G353="","",Dati!G353)))</f>
        <v/>
      </c>
    </row>
    <row r="354" spans="1:14" ht="15" customHeight="1" x14ac:dyDescent="0.2">
      <c r="A354" s="23" t="str">
        <f>IF(Dati!A354="","",Dati!A354)</f>
        <v/>
      </c>
      <c r="B354" s="17" t="str">
        <f>IF(Dati!B354="","",Dati!B354)</f>
        <v/>
      </c>
      <c r="C354" s="17" t="str">
        <f>IF(B354="","",IF(ISNUMBER(B353),IF(B354-B353&lt;0,B354,IF(B354-B353=0,"",B354-B353)),B354))</f>
        <v/>
      </c>
      <c r="D354" s="18" t="str">
        <f>IF(Dati!C354="","",IF(Dati!C354&gt;1,Dati!C354/100,Dati!C354))</f>
        <v/>
      </c>
      <c r="E354" s="18" t="str">
        <f>IF(Dati!D354="","",IF(Dati!D354&gt;1,Dati!D354/100,Dati!D354))</f>
        <v/>
      </c>
      <c r="F354" s="18" t="str">
        <f>IF(OR(D354="",E354=""),"",IF(OR(D354&gt;1,E354&gt;1),(E354-D354)/100,E354-D354))</f>
        <v/>
      </c>
      <c r="G354" s="17" t="str">
        <f>IF(F354="","",IF(64*F354=0,"",64*F354))</f>
        <v/>
      </c>
      <c r="H354" s="19" t="str">
        <f>IF(Dati!E354="","",Dati!E354)</f>
        <v/>
      </c>
      <c r="I354" s="19" t="str">
        <f>IFERROR(IF(OR(C354="",C354=0),"",H354/C354*100),"")</f>
        <v/>
      </c>
      <c r="J354" s="20" t="str">
        <f>IF(Dati!F354="","",Dati!F354)</f>
        <v/>
      </c>
      <c r="K354" s="19" t="str">
        <f>IF(OR(H354="",J354=""),"",IF(H354*J354=0,"",H354*J354))</f>
        <v/>
      </c>
      <c r="L354" s="19" t="str">
        <f>IF(A354="","",IFERROR(IF(SUMPRODUCT((ISNUMBER(A$2:A354))*(A$2:A354&gt;1000)*(MONTH(IF(ISNUMBER(A$2:A354),A$2:A354,1))=MONTH(A354))*(YEAR(IF(ISNUMBER(A$2:A354),A$2:A354,1))=YEAR(A354))*IF(ISNUMBER(K$2:K354),K$2:K354,0))=0,"",SUMPRODUCT((ISNUMBER(A$2:A354))*(A$2:A354&gt;1000)*(MONTH(IF(ISNUMBER(A$2:A354),A$2:A354,1))=MONTH(A354))*(YEAR(IF(ISNUMBER(A$2:A354),A$2:A354,1))=YEAR(A354))*IF(ISNUMBER(K$2:K354),K$2:K354,0))),""))</f>
        <v/>
      </c>
      <c r="M354" s="21" t="str">
        <f>IF(A354="","",IFERROR(IF(SUMIF(N$2:N354,"CASA",K$2:K354)=0,"",SUMIF(N$2:N354,"CASA",K$2:K354)),""))</f>
        <v/>
      </c>
      <c r="N354" s="17" t="str">
        <f>IF(J354="","",IF(J354=0.2,"CASA",IF(Dati!G354="","",Dati!G354)))</f>
        <v/>
      </c>
    </row>
    <row r="355" spans="1:14" ht="15" customHeight="1" x14ac:dyDescent="0.2">
      <c r="A355" s="23" t="str">
        <f>IF(Dati!A355="","",Dati!A355)</f>
        <v/>
      </c>
      <c r="B355" s="17" t="str">
        <f>IF(Dati!B355="","",Dati!B355)</f>
        <v/>
      </c>
      <c r="C355" s="17" t="str">
        <f>IF(B355="","",IF(ISNUMBER(B354),IF(B355-B354&lt;0,B355,IF(B355-B354=0,"",B355-B354)),B355))</f>
        <v/>
      </c>
      <c r="D355" s="18" t="str">
        <f>IF(Dati!C355="","",IF(Dati!C355&gt;1,Dati!C355/100,Dati!C355))</f>
        <v/>
      </c>
      <c r="E355" s="18" t="str">
        <f>IF(Dati!D355="","",IF(Dati!D355&gt;1,Dati!D355/100,Dati!D355))</f>
        <v/>
      </c>
      <c r="F355" s="18" t="str">
        <f>IF(OR(D355="",E355=""),"",IF(OR(D355&gt;1,E355&gt;1),(E355-D355)/100,E355-D355))</f>
        <v/>
      </c>
      <c r="G355" s="17" t="str">
        <f>IF(F355="","",IF(64*F355=0,"",64*F355))</f>
        <v/>
      </c>
      <c r="H355" s="19" t="str">
        <f>IF(Dati!E355="","",Dati!E355)</f>
        <v/>
      </c>
      <c r="I355" s="19" t="str">
        <f>IFERROR(IF(OR(C355="",C355=0),"",H355/C355*100),"")</f>
        <v/>
      </c>
      <c r="J355" s="20" t="str">
        <f>IF(Dati!F355="","",Dati!F355)</f>
        <v/>
      </c>
      <c r="K355" s="19" t="str">
        <f>IF(OR(H355="",J355=""),"",IF(H355*J355=0,"",H355*J355))</f>
        <v/>
      </c>
      <c r="L355" s="19" t="str">
        <f>IF(A355="","",IFERROR(IF(SUMPRODUCT((ISNUMBER(A$2:A355))*(A$2:A355&gt;1000)*(MONTH(IF(ISNUMBER(A$2:A355),A$2:A355,1))=MONTH(A355))*(YEAR(IF(ISNUMBER(A$2:A355),A$2:A355,1))=YEAR(A355))*IF(ISNUMBER(K$2:K355),K$2:K355,0))=0,"",SUMPRODUCT((ISNUMBER(A$2:A355))*(A$2:A355&gt;1000)*(MONTH(IF(ISNUMBER(A$2:A355),A$2:A355,1))=MONTH(A355))*(YEAR(IF(ISNUMBER(A$2:A355),A$2:A355,1))=YEAR(A355))*IF(ISNUMBER(K$2:K355),K$2:K355,0))),""))</f>
        <v/>
      </c>
      <c r="M355" s="21" t="str">
        <f>IF(A355="","",IFERROR(IF(SUMIF(N$2:N355,"CASA",K$2:K355)=0,"",SUMIF(N$2:N355,"CASA",K$2:K355)),""))</f>
        <v/>
      </c>
      <c r="N355" s="17" t="str">
        <f>IF(J355="","",IF(J355=0.2,"CASA",IF(Dati!G355="","",Dati!G355)))</f>
        <v/>
      </c>
    </row>
    <row r="356" spans="1:14" ht="15" customHeight="1" x14ac:dyDescent="0.2">
      <c r="A356" s="23" t="str">
        <f>IF(Dati!A356="","",Dati!A356)</f>
        <v/>
      </c>
      <c r="B356" s="17" t="str">
        <f>IF(Dati!B356="","",Dati!B356)</f>
        <v/>
      </c>
      <c r="C356" s="17" t="str">
        <f>IF(B356="","",IF(ISNUMBER(B355),IF(B356-B355&lt;0,B356,IF(B356-B355=0,"",B356-B355)),B356))</f>
        <v/>
      </c>
      <c r="D356" s="18" t="str">
        <f>IF(Dati!C356="","",IF(Dati!C356&gt;1,Dati!C356/100,Dati!C356))</f>
        <v/>
      </c>
      <c r="E356" s="18" t="str">
        <f>IF(Dati!D356="","",IF(Dati!D356&gt;1,Dati!D356/100,Dati!D356))</f>
        <v/>
      </c>
      <c r="F356" s="18" t="str">
        <f>IF(OR(D356="",E356=""),"",IF(OR(D356&gt;1,E356&gt;1),(E356-D356)/100,E356-D356))</f>
        <v/>
      </c>
      <c r="G356" s="17" t="str">
        <f>IF(F356="","",IF(64*F356=0,"",64*F356))</f>
        <v/>
      </c>
      <c r="H356" s="19" t="str">
        <f>IF(Dati!E356="","",Dati!E356)</f>
        <v/>
      </c>
      <c r="I356" s="19" t="str">
        <f>IFERROR(IF(OR(C356="",C356=0),"",H356/C356*100),"")</f>
        <v/>
      </c>
      <c r="J356" s="20" t="str">
        <f>IF(Dati!F356="","",Dati!F356)</f>
        <v/>
      </c>
      <c r="K356" s="19" t="str">
        <f>IF(OR(H356="",J356=""),"",IF(H356*J356=0,"",H356*J356))</f>
        <v/>
      </c>
      <c r="L356" s="19" t="str">
        <f>IF(A356="","",IFERROR(IF(SUMPRODUCT((ISNUMBER(A$2:A356))*(A$2:A356&gt;1000)*(MONTH(IF(ISNUMBER(A$2:A356),A$2:A356,1))=MONTH(A356))*(YEAR(IF(ISNUMBER(A$2:A356),A$2:A356,1))=YEAR(A356))*IF(ISNUMBER(K$2:K356),K$2:K356,0))=0,"",SUMPRODUCT((ISNUMBER(A$2:A356))*(A$2:A356&gt;1000)*(MONTH(IF(ISNUMBER(A$2:A356),A$2:A356,1))=MONTH(A356))*(YEAR(IF(ISNUMBER(A$2:A356),A$2:A356,1))=YEAR(A356))*IF(ISNUMBER(K$2:K356),K$2:K356,0))),""))</f>
        <v/>
      </c>
      <c r="M356" s="21" t="str">
        <f>IF(A356="","",IFERROR(IF(SUMIF(N$2:N356,"CASA",K$2:K356)=0,"",SUMIF(N$2:N356,"CASA",K$2:K356)),""))</f>
        <v/>
      </c>
      <c r="N356" s="17" t="str">
        <f>IF(J356="","",IF(J356=0.2,"CASA",IF(Dati!G356="","",Dati!G356)))</f>
        <v/>
      </c>
    </row>
    <row r="357" spans="1:14" ht="15" customHeight="1" x14ac:dyDescent="0.2">
      <c r="A357" s="23" t="str">
        <f>IF(Dati!A357="","",Dati!A357)</f>
        <v/>
      </c>
      <c r="B357" s="17" t="str">
        <f>IF(Dati!B357="","",Dati!B357)</f>
        <v/>
      </c>
      <c r="C357" s="17" t="str">
        <f>IF(B357="","",IF(ISNUMBER(B356),IF(B357-B356&lt;0,B357,IF(B357-B356=0,"",B357-B356)),B357))</f>
        <v/>
      </c>
      <c r="D357" s="18" t="str">
        <f>IF(Dati!C357="","",IF(Dati!C357&gt;1,Dati!C357/100,Dati!C357))</f>
        <v/>
      </c>
      <c r="E357" s="18" t="str">
        <f>IF(Dati!D357="","",IF(Dati!D357&gt;1,Dati!D357/100,Dati!D357))</f>
        <v/>
      </c>
      <c r="F357" s="18" t="str">
        <f>IF(OR(D357="",E357=""),"",IF(OR(D357&gt;1,E357&gt;1),(E357-D357)/100,E357-D357))</f>
        <v/>
      </c>
      <c r="G357" s="17" t="str">
        <f>IF(F357="","",IF(64*F357=0,"",64*F357))</f>
        <v/>
      </c>
      <c r="H357" s="19" t="str">
        <f>IF(Dati!E357="","",Dati!E357)</f>
        <v/>
      </c>
      <c r="I357" s="19" t="str">
        <f>IFERROR(IF(OR(C357="",C357=0),"",H357/C357*100),"")</f>
        <v/>
      </c>
      <c r="J357" s="20" t="str">
        <f>IF(Dati!F357="","",Dati!F357)</f>
        <v/>
      </c>
      <c r="K357" s="19" t="str">
        <f>IF(OR(H357="",J357=""),"",IF(H357*J357=0,"",H357*J357))</f>
        <v/>
      </c>
      <c r="L357" s="19" t="str">
        <f>IF(A357="","",IFERROR(IF(SUMPRODUCT((ISNUMBER(A$2:A357))*(A$2:A357&gt;1000)*(MONTH(IF(ISNUMBER(A$2:A357),A$2:A357,1))=MONTH(A357))*(YEAR(IF(ISNUMBER(A$2:A357),A$2:A357,1))=YEAR(A357))*IF(ISNUMBER(K$2:K357),K$2:K357,0))=0,"",SUMPRODUCT((ISNUMBER(A$2:A357))*(A$2:A357&gt;1000)*(MONTH(IF(ISNUMBER(A$2:A357),A$2:A357,1))=MONTH(A357))*(YEAR(IF(ISNUMBER(A$2:A357),A$2:A357,1))=YEAR(A357))*IF(ISNUMBER(K$2:K357),K$2:K357,0))),""))</f>
        <v/>
      </c>
      <c r="M357" s="21" t="str">
        <f>IF(A357="","",IFERROR(IF(SUMIF(N$2:N357,"CASA",K$2:K357)=0,"",SUMIF(N$2:N357,"CASA",K$2:K357)),""))</f>
        <v/>
      </c>
      <c r="N357" s="17" t="str">
        <f>IF(J357="","",IF(J357=0.2,"CASA",IF(Dati!G357="","",Dati!G357)))</f>
        <v/>
      </c>
    </row>
    <row r="358" spans="1:14" ht="15" customHeight="1" x14ac:dyDescent="0.2">
      <c r="A358" s="23" t="str">
        <f>IF(Dati!A358="","",Dati!A358)</f>
        <v/>
      </c>
      <c r="B358" s="17" t="str">
        <f>IF(Dati!B358="","",Dati!B358)</f>
        <v/>
      </c>
      <c r="C358" s="17" t="str">
        <f>IF(B358="","",IF(ISNUMBER(B357),IF(B358-B357&lt;0,B358,IF(B358-B357=0,"",B358-B357)),B358))</f>
        <v/>
      </c>
      <c r="D358" s="18" t="str">
        <f>IF(Dati!C358="","",IF(Dati!C358&gt;1,Dati!C358/100,Dati!C358))</f>
        <v/>
      </c>
      <c r="E358" s="18" t="str">
        <f>IF(Dati!D358="","",IF(Dati!D358&gt;1,Dati!D358/100,Dati!D358))</f>
        <v/>
      </c>
      <c r="F358" s="18" t="str">
        <f>IF(OR(D358="",E358=""),"",IF(OR(D358&gt;1,E358&gt;1),(E358-D358)/100,E358-D358))</f>
        <v/>
      </c>
      <c r="G358" s="17" t="str">
        <f>IF(F358="","",IF(64*F358=0,"",64*F358))</f>
        <v/>
      </c>
      <c r="H358" s="19" t="str">
        <f>IF(Dati!E358="","",Dati!E358)</f>
        <v/>
      </c>
      <c r="I358" s="19" t="str">
        <f>IFERROR(IF(OR(C358="",C358=0),"",H358/C358*100),"")</f>
        <v/>
      </c>
      <c r="J358" s="20" t="str">
        <f>IF(Dati!F358="","",Dati!F358)</f>
        <v/>
      </c>
      <c r="K358" s="19" t="str">
        <f>IF(OR(H358="",J358=""),"",IF(H358*J358=0,"",H358*J358))</f>
        <v/>
      </c>
      <c r="L358" s="19" t="str">
        <f>IF(A358="","",IFERROR(IF(SUMPRODUCT((ISNUMBER(A$2:A358))*(A$2:A358&gt;1000)*(MONTH(IF(ISNUMBER(A$2:A358),A$2:A358,1))=MONTH(A358))*(YEAR(IF(ISNUMBER(A$2:A358),A$2:A358,1))=YEAR(A358))*IF(ISNUMBER(K$2:K358),K$2:K358,0))=0,"",SUMPRODUCT((ISNUMBER(A$2:A358))*(A$2:A358&gt;1000)*(MONTH(IF(ISNUMBER(A$2:A358),A$2:A358,1))=MONTH(A358))*(YEAR(IF(ISNUMBER(A$2:A358),A$2:A358,1))=YEAR(A358))*IF(ISNUMBER(K$2:K358),K$2:K358,0))),""))</f>
        <v/>
      </c>
      <c r="M358" s="21" t="str">
        <f>IF(A358="","",IFERROR(IF(SUMIF(N$2:N358,"CASA",K$2:K358)=0,"",SUMIF(N$2:N358,"CASA",K$2:K358)),""))</f>
        <v/>
      </c>
      <c r="N358" s="17" t="str">
        <f>IF(J358="","",IF(J358=0.2,"CASA",IF(Dati!G358="","",Dati!G358)))</f>
        <v/>
      </c>
    </row>
    <row r="359" spans="1:14" ht="15" customHeight="1" x14ac:dyDescent="0.2">
      <c r="A359" s="23" t="str">
        <f>IF(Dati!A359="","",Dati!A359)</f>
        <v/>
      </c>
      <c r="B359" s="17" t="str">
        <f>IF(Dati!B359="","",Dati!B359)</f>
        <v/>
      </c>
      <c r="C359" s="17" t="str">
        <f>IF(B359="","",IF(ISNUMBER(B358),IF(B359-B358&lt;0,B359,IF(B359-B358=0,"",B359-B358)),B359))</f>
        <v/>
      </c>
      <c r="D359" s="18" t="str">
        <f>IF(Dati!C359="","",IF(Dati!C359&gt;1,Dati!C359/100,Dati!C359))</f>
        <v/>
      </c>
      <c r="E359" s="18" t="str">
        <f>IF(Dati!D359="","",IF(Dati!D359&gt;1,Dati!D359/100,Dati!D359))</f>
        <v/>
      </c>
      <c r="F359" s="18" t="str">
        <f>IF(OR(D359="",E359=""),"",IF(OR(D359&gt;1,E359&gt;1),(E359-D359)/100,E359-D359))</f>
        <v/>
      </c>
      <c r="G359" s="17" t="str">
        <f>IF(F359="","",IF(64*F359=0,"",64*F359))</f>
        <v/>
      </c>
      <c r="H359" s="19" t="str">
        <f>IF(Dati!E359="","",Dati!E359)</f>
        <v/>
      </c>
      <c r="I359" s="19" t="str">
        <f>IFERROR(IF(OR(C359="",C359=0),"",H359/C359*100),"")</f>
        <v/>
      </c>
      <c r="J359" s="20" t="str">
        <f>IF(Dati!F359="","",Dati!F359)</f>
        <v/>
      </c>
      <c r="K359" s="19" t="str">
        <f>IF(OR(H359="",J359=""),"",IF(H359*J359=0,"",H359*J359))</f>
        <v/>
      </c>
      <c r="L359" s="19" t="str">
        <f>IF(A359="","",IFERROR(IF(SUMPRODUCT((ISNUMBER(A$2:A359))*(A$2:A359&gt;1000)*(MONTH(IF(ISNUMBER(A$2:A359),A$2:A359,1))=MONTH(A359))*(YEAR(IF(ISNUMBER(A$2:A359),A$2:A359,1))=YEAR(A359))*IF(ISNUMBER(K$2:K359),K$2:K359,0))=0,"",SUMPRODUCT((ISNUMBER(A$2:A359))*(A$2:A359&gt;1000)*(MONTH(IF(ISNUMBER(A$2:A359),A$2:A359,1))=MONTH(A359))*(YEAR(IF(ISNUMBER(A$2:A359),A$2:A359,1))=YEAR(A359))*IF(ISNUMBER(K$2:K359),K$2:K359,0))),""))</f>
        <v/>
      </c>
      <c r="M359" s="21" t="str">
        <f>IF(A359="","",IFERROR(IF(SUMIF(N$2:N359,"CASA",K$2:K359)=0,"",SUMIF(N$2:N359,"CASA",K$2:K359)),""))</f>
        <v/>
      </c>
      <c r="N359" s="17" t="str">
        <f>IF(J359="","",IF(J359=0.2,"CASA",IF(Dati!G359="","",Dati!G359)))</f>
        <v/>
      </c>
    </row>
    <row r="360" spans="1:14" ht="15" customHeight="1" x14ac:dyDescent="0.2">
      <c r="A360" s="23" t="str">
        <f>IF(Dati!A360="","",Dati!A360)</f>
        <v/>
      </c>
      <c r="B360" s="17" t="str">
        <f>IF(Dati!B360="","",Dati!B360)</f>
        <v/>
      </c>
      <c r="C360" s="17" t="str">
        <f>IF(B360="","",IF(ISNUMBER(B359),IF(B360-B359&lt;0,B360,IF(B360-B359=0,"",B360-B359)),B360))</f>
        <v/>
      </c>
      <c r="D360" s="18" t="str">
        <f>IF(Dati!C360="","",IF(Dati!C360&gt;1,Dati!C360/100,Dati!C360))</f>
        <v/>
      </c>
      <c r="E360" s="18" t="str">
        <f>IF(Dati!D360="","",IF(Dati!D360&gt;1,Dati!D360/100,Dati!D360))</f>
        <v/>
      </c>
      <c r="F360" s="18" t="str">
        <f>IF(OR(D360="",E360=""),"",IF(OR(D360&gt;1,E360&gt;1),(E360-D360)/100,E360-D360))</f>
        <v/>
      </c>
      <c r="G360" s="17" t="str">
        <f>IF(F360="","",IF(64*F360=0,"",64*F360))</f>
        <v/>
      </c>
      <c r="H360" s="19" t="str">
        <f>IF(Dati!E360="","",Dati!E360)</f>
        <v/>
      </c>
      <c r="I360" s="19" t="str">
        <f>IFERROR(IF(OR(C360="",C360=0),"",H360/C360*100),"")</f>
        <v/>
      </c>
      <c r="J360" s="20" t="str">
        <f>IF(Dati!F360="","",Dati!F360)</f>
        <v/>
      </c>
      <c r="K360" s="19" t="str">
        <f>IF(OR(H360="",J360=""),"",IF(H360*J360=0,"",H360*J360))</f>
        <v/>
      </c>
      <c r="L360" s="19" t="str">
        <f>IF(A360="","",IFERROR(IF(SUMPRODUCT((ISNUMBER(A$2:A360))*(A$2:A360&gt;1000)*(MONTH(IF(ISNUMBER(A$2:A360),A$2:A360,1))=MONTH(A360))*(YEAR(IF(ISNUMBER(A$2:A360),A$2:A360,1))=YEAR(A360))*IF(ISNUMBER(K$2:K360),K$2:K360,0))=0,"",SUMPRODUCT((ISNUMBER(A$2:A360))*(A$2:A360&gt;1000)*(MONTH(IF(ISNUMBER(A$2:A360),A$2:A360,1))=MONTH(A360))*(YEAR(IF(ISNUMBER(A$2:A360),A$2:A360,1))=YEAR(A360))*IF(ISNUMBER(K$2:K360),K$2:K360,0))),""))</f>
        <v/>
      </c>
      <c r="M360" s="21" t="str">
        <f>IF(A360="","",IFERROR(IF(SUMIF(N$2:N360,"CASA",K$2:K360)=0,"",SUMIF(N$2:N360,"CASA",K$2:K360)),""))</f>
        <v/>
      </c>
      <c r="N360" s="17" t="str">
        <f>IF(J360="","",IF(J360=0.2,"CASA",IF(Dati!G360="","",Dati!G360)))</f>
        <v/>
      </c>
    </row>
    <row r="361" spans="1:14" ht="15" customHeight="1" x14ac:dyDescent="0.2">
      <c r="A361" s="23" t="str">
        <f>IF(Dati!A361="","",Dati!A361)</f>
        <v/>
      </c>
      <c r="B361" s="17" t="str">
        <f>IF(Dati!B361="","",Dati!B361)</f>
        <v/>
      </c>
      <c r="C361" s="17" t="str">
        <f>IF(B361="","",IF(ISNUMBER(B360),IF(B361-B360&lt;0,B361,IF(B361-B360=0,"",B361-B360)),B361))</f>
        <v/>
      </c>
      <c r="D361" s="18" t="str">
        <f>IF(Dati!C361="","",IF(Dati!C361&gt;1,Dati!C361/100,Dati!C361))</f>
        <v/>
      </c>
      <c r="E361" s="18" t="str">
        <f>IF(Dati!D361="","",IF(Dati!D361&gt;1,Dati!D361/100,Dati!D361))</f>
        <v/>
      </c>
      <c r="F361" s="18" t="str">
        <f>IF(OR(D361="",E361=""),"",IF(OR(D361&gt;1,E361&gt;1),(E361-D361)/100,E361-D361))</f>
        <v/>
      </c>
      <c r="G361" s="17" t="str">
        <f>IF(F361="","",IF(64*F361=0,"",64*F361))</f>
        <v/>
      </c>
      <c r="H361" s="19" t="str">
        <f>IF(Dati!E361="","",Dati!E361)</f>
        <v/>
      </c>
      <c r="I361" s="19" t="str">
        <f>IFERROR(IF(OR(C361="",C361=0),"",H361/C361*100),"")</f>
        <v/>
      </c>
      <c r="J361" s="20" t="str">
        <f>IF(Dati!F361="","",Dati!F361)</f>
        <v/>
      </c>
      <c r="K361" s="19" t="str">
        <f>IF(OR(H361="",J361=""),"",IF(H361*J361=0,"",H361*J361))</f>
        <v/>
      </c>
      <c r="L361" s="19" t="str">
        <f>IF(A361="","",IFERROR(IF(SUMPRODUCT((ISNUMBER(A$2:A361))*(A$2:A361&gt;1000)*(MONTH(IF(ISNUMBER(A$2:A361),A$2:A361,1))=MONTH(A361))*(YEAR(IF(ISNUMBER(A$2:A361),A$2:A361,1))=YEAR(A361))*IF(ISNUMBER(K$2:K361),K$2:K361,0))=0,"",SUMPRODUCT((ISNUMBER(A$2:A361))*(A$2:A361&gt;1000)*(MONTH(IF(ISNUMBER(A$2:A361),A$2:A361,1))=MONTH(A361))*(YEAR(IF(ISNUMBER(A$2:A361),A$2:A361,1))=YEAR(A361))*IF(ISNUMBER(K$2:K361),K$2:K361,0))),""))</f>
        <v/>
      </c>
      <c r="M361" s="21" t="str">
        <f>IF(A361="","",IFERROR(IF(SUMIF(N$2:N361,"CASA",K$2:K361)=0,"",SUMIF(N$2:N361,"CASA",K$2:K361)),""))</f>
        <v/>
      </c>
      <c r="N361" s="17" t="str">
        <f>IF(J361="","",IF(J361=0.2,"CASA",IF(Dati!G361="","",Dati!G361)))</f>
        <v/>
      </c>
    </row>
    <row r="362" spans="1:14" ht="15" customHeight="1" x14ac:dyDescent="0.2">
      <c r="A362" s="23" t="str">
        <f>IF(Dati!A362="","",Dati!A362)</f>
        <v/>
      </c>
      <c r="B362" s="17" t="str">
        <f>IF(Dati!B362="","",Dati!B362)</f>
        <v/>
      </c>
      <c r="C362" s="17" t="str">
        <f>IF(B362="","",IF(ISNUMBER(B361),IF(B362-B361&lt;0,B362,IF(B362-B361=0,"",B362-B361)),B362))</f>
        <v/>
      </c>
      <c r="D362" s="18" t="str">
        <f>IF(Dati!C362="","",IF(Dati!C362&gt;1,Dati!C362/100,Dati!C362))</f>
        <v/>
      </c>
      <c r="E362" s="18" t="str">
        <f>IF(Dati!D362="","",IF(Dati!D362&gt;1,Dati!D362/100,Dati!D362))</f>
        <v/>
      </c>
      <c r="F362" s="18" t="str">
        <f>IF(OR(D362="",E362=""),"",IF(OR(D362&gt;1,E362&gt;1),(E362-D362)/100,E362-D362))</f>
        <v/>
      </c>
      <c r="G362" s="17" t="str">
        <f>IF(F362="","",IF(64*F362=0,"",64*F362))</f>
        <v/>
      </c>
      <c r="H362" s="19" t="str">
        <f>IF(Dati!E362="","",Dati!E362)</f>
        <v/>
      </c>
      <c r="I362" s="19" t="str">
        <f>IFERROR(IF(OR(C362="",C362=0),"",H362/C362*100),"")</f>
        <v/>
      </c>
      <c r="J362" s="20" t="str">
        <f>IF(Dati!F362="","",Dati!F362)</f>
        <v/>
      </c>
      <c r="K362" s="19" t="str">
        <f>IF(OR(H362="",J362=""),"",IF(H362*J362=0,"",H362*J362))</f>
        <v/>
      </c>
      <c r="L362" s="19" t="str">
        <f>IF(A362="","",IFERROR(IF(SUMPRODUCT((ISNUMBER(A$2:A362))*(A$2:A362&gt;1000)*(MONTH(IF(ISNUMBER(A$2:A362),A$2:A362,1))=MONTH(A362))*(YEAR(IF(ISNUMBER(A$2:A362),A$2:A362,1))=YEAR(A362))*IF(ISNUMBER(K$2:K362),K$2:K362,0))=0,"",SUMPRODUCT((ISNUMBER(A$2:A362))*(A$2:A362&gt;1000)*(MONTH(IF(ISNUMBER(A$2:A362),A$2:A362,1))=MONTH(A362))*(YEAR(IF(ISNUMBER(A$2:A362),A$2:A362,1))=YEAR(A362))*IF(ISNUMBER(K$2:K362),K$2:K362,0))),""))</f>
        <v/>
      </c>
      <c r="M362" s="21" t="str">
        <f>IF(A362="","",IFERROR(IF(SUMIF(N$2:N362,"CASA",K$2:K362)=0,"",SUMIF(N$2:N362,"CASA",K$2:K362)),""))</f>
        <v/>
      </c>
      <c r="N362" s="17" t="str">
        <f>IF(J362="","",IF(J362=0.2,"CASA",IF(Dati!G362="","",Dati!G362)))</f>
        <v/>
      </c>
    </row>
    <row r="363" spans="1:14" ht="15" customHeight="1" x14ac:dyDescent="0.2">
      <c r="A363" s="23" t="str">
        <f>IF(Dati!A363="","",Dati!A363)</f>
        <v/>
      </c>
      <c r="B363" s="17" t="str">
        <f>IF(Dati!B363="","",Dati!B363)</f>
        <v/>
      </c>
      <c r="C363" s="17" t="str">
        <f>IF(B363="","",IF(ISNUMBER(B362),IF(B363-B362&lt;0,B363,IF(B363-B362=0,"",B363-B362)),B363))</f>
        <v/>
      </c>
      <c r="D363" s="18" t="str">
        <f>IF(Dati!C363="","",IF(Dati!C363&gt;1,Dati!C363/100,Dati!C363))</f>
        <v/>
      </c>
      <c r="E363" s="18" t="str">
        <f>IF(Dati!D363="","",IF(Dati!D363&gt;1,Dati!D363/100,Dati!D363))</f>
        <v/>
      </c>
      <c r="F363" s="18" t="str">
        <f>IF(OR(D363="",E363=""),"",IF(OR(D363&gt;1,E363&gt;1),(E363-D363)/100,E363-D363))</f>
        <v/>
      </c>
      <c r="G363" s="17" t="str">
        <f>IF(F363="","",IF(64*F363=0,"",64*F363))</f>
        <v/>
      </c>
      <c r="H363" s="19" t="str">
        <f>IF(Dati!E363="","",Dati!E363)</f>
        <v/>
      </c>
      <c r="I363" s="19" t="str">
        <f>IFERROR(IF(OR(C363="",C363=0),"",H363/C363*100),"")</f>
        <v/>
      </c>
      <c r="J363" s="20" t="str">
        <f>IF(Dati!F363="","",Dati!F363)</f>
        <v/>
      </c>
      <c r="K363" s="19" t="str">
        <f>IF(OR(H363="",J363=""),"",IF(H363*J363=0,"",H363*J363))</f>
        <v/>
      </c>
      <c r="L363" s="19" t="str">
        <f>IF(A363="","",IFERROR(IF(SUMPRODUCT((ISNUMBER(A$2:A363))*(A$2:A363&gt;1000)*(MONTH(IF(ISNUMBER(A$2:A363),A$2:A363,1))=MONTH(A363))*(YEAR(IF(ISNUMBER(A$2:A363),A$2:A363,1))=YEAR(A363))*IF(ISNUMBER(K$2:K363),K$2:K363,0))=0,"",SUMPRODUCT((ISNUMBER(A$2:A363))*(A$2:A363&gt;1000)*(MONTH(IF(ISNUMBER(A$2:A363),A$2:A363,1))=MONTH(A363))*(YEAR(IF(ISNUMBER(A$2:A363),A$2:A363,1))=YEAR(A363))*IF(ISNUMBER(K$2:K363),K$2:K363,0))),""))</f>
        <v/>
      </c>
      <c r="M363" s="21" t="str">
        <f>IF(A363="","",IFERROR(IF(SUMIF(N$2:N363,"CASA",K$2:K363)=0,"",SUMIF(N$2:N363,"CASA",K$2:K363)),""))</f>
        <v/>
      </c>
      <c r="N363" s="17" t="str">
        <f>IF(J363="","",IF(J363=0.2,"CASA",IF(Dati!G363="","",Dati!G363)))</f>
        <v/>
      </c>
    </row>
    <row r="364" spans="1:14" ht="15" customHeight="1" x14ac:dyDescent="0.2">
      <c r="A364" s="23" t="str">
        <f>IF(Dati!A364="","",Dati!A364)</f>
        <v/>
      </c>
      <c r="B364" s="17" t="str">
        <f>IF(Dati!B364="","",Dati!B364)</f>
        <v/>
      </c>
      <c r="C364" s="17" t="str">
        <f>IF(B364="","",IF(ISNUMBER(B363),IF(B364-B363&lt;0,B364,IF(B364-B363=0,"",B364-B363)),B364))</f>
        <v/>
      </c>
      <c r="D364" s="18" t="str">
        <f>IF(Dati!C364="","",IF(Dati!C364&gt;1,Dati!C364/100,Dati!C364))</f>
        <v/>
      </c>
      <c r="E364" s="18" t="str">
        <f>IF(Dati!D364="","",IF(Dati!D364&gt;1,Dati!D364/100,Dati!D364))</f>
        <v/>
      </c>
      <c r="F364" s="18" t="str">
        <f>IF(OR(D364="",E364=""),"",IF(OR(D364&gt;1,E364&gt;1),(E364-D364)/100,E364-D364))</f>
        <v/>
      </c>
      <c r="G364" s="17" t="str">
        <f>IF(F364="","",IF(64*F364=0,"",64*F364))</f>
        <v/>
      </c>
      <c r="H364" s="19" t="str">
        <f>IF(Dati!E364="","",Dati!E364)</f>
        <v/>
      </c>
      <c r="I364" s="19" t="str">
        <f>IFERROR(IF(OR(C364="",C364=0),"",H364/C364*100),"")</f>
        <v/>
      </c>
      <c r="J364" s="20" t="str">
        <f>IF(Dati!F364="","",Dati!F364)</f>
        <v/>
      </c>
      <c r="K364" s="19" t="str">
        <f>IF(OR(H364="",J364=""),"",IF(H364*J364=0,"",H364*J364))</f>
        <v/>
      </c>
      <c r="L364" s="19" t="str">
        <f>IF(A364="","",IFERROR(IF(SUMPRODUCT((ISNUMBER(A$2:A364))*(A$2:A364&gt;1000)*(MONTH(IF(ISNUMBER(A$2:A364),A$2:A364,1))=MONTH(A364))*(YEAR(IF(ISNUMBER(A$2:A364),A$2:A364,1))=YEAR(A364))*IF(ISNUMBER(K$2:K364),K$2:K364,0))=0,"",SUMPRODUCT((ISNUMBER(A$2:A364))*(A$2:A364&gt;1000)*(MONTH(IF(ISNUMBER(A$2:A364),A$2:A364,1))=MONTH(A364))*(YEAR(IF(ISNUMBER(A$2:A364),A$2:A364,1))=YEAR(A364))*IF(ISNUMBER(K$2:K364),K$2:K364,0))),""))</f>
        <v/>
      </c>
      <c r="M364" s="21" t="str">
        <f>IF(A364="","",IFERROR(IF(SUMIF(N$2:N364,"CASA",K$2:K364)=0,"",SUMIF(N$2:N364,"CASA",K$2:K364)),""))</f>
        <v/>
      </c>
      <c r="N364" s="17" t="str">
        <f>IF(J364="","",IF(J364=0.2,"CASA",IF(Dati!G364="","",Dati!G364)))</f>
        <v/>
      </c>
    </row>
    <row r="365" spans="1:14" ht="15" customHeight="1" x14ac:dyDescent="0.2">
      <c r="A365" s="23" t="str">
        <f>IF(Dati!A365="","",Dati!A365)</f>
        <v/>
      </c>
      <c r="B365" s="17" t="str">
        <f>IF(Dati!B365="","",Dati!B365)</f>
        <v/>
      </c>
      <c r="C365" s="17" t="str">
        <f>IF(B365="","",IF(ISNUMBER(B364),IF(B365-B364&lt;0,B365,IF(B365-B364=0,"",B365-B364)),B365))</f>
        <v/>
      </c>
      <c r="D365" s="18" t="str">
        <f>IF(Dati!C365="","",IF(Dati!C365&gt;1,Dati!C365/100,Dati!C365))</f>
        <v/>
      </c>
      <c r="E365" s="18" t="str">
        <f>IF(Dati!D365="","",IF(Dati!D365&gt;1,Dati!D365/100,Dati!D365))</f>
        <v/>
      </c>
      <c r="F365" s="18" t="str">
        <f>IF(OR(D365="",E365=""),"",IF(OR(D365&gt;1,E365&gt;1),(E365-D365)/100,E365-D365))</f>
        <v/>
      </c>
      <c r="G365" s="17" t="str">
        <f>IF(F365="","",IF(64*F365=0,"",64*F365))</f>
        <v/>
      </c>
      <c r="H365" s="19" t="str">
        <f>IF(Dati!E365="","",Dati!E365)</f>
        <v/>
      </c>
      <c r="I365" s="19" t="str">
        <f>IFERROR(IF(OR(C365="",C365=0),"",H365/C365*100),"")</f>
        <v/>
      </c>
      <c r="J365" s="20" t="str">
        <f>IF(Dati!F365="","",Dati!F365)</f>
        <v/>
      </c>
      <c r="K365" s="19" t="str">
        <f>IF(OR(H365="",J365=""),"",IF(H365*J365=0,"",H365*J365))</f>
        <v/>
      </c>
      <c r="L365" s="19" t="str">
        <f>IF(A365="","",IFERROR(IF(SUMPRODUCT((ISNUMBER(A$2:A365))*(A$2:A365&gt;1000)*(MONTH(IF(ISNUMBER(A$2:A365),A$2:A365,1))=MONTH(A365))*(YEAR(IF(ISNUMBER(A$2:A365),A$2:A365,1))=YEAR(A365))*IF(ISNUMBER(K$2:K365),K$2:K365,0))=0,"",SUMPRODUCT((ISNUMBER(A$2:A365))*(A$2:A365&gt;1000)*(MONTH(IF(ISNUMBER(A$2:A365),A$2:A365,1))=MONTH(A365))*(YEAR(IF(ISNUMBER(A$2:A365),A$2:A365,1))=YEAR(A365))*IF(ISNUMBER(K$2:K365),K$2:K365,0))),""))</f>
        <v/>
      </c>
      <c r="M365" s="21" t="str">
        <f>IF(A365="","",IFERROR(IF(SUMIF(N$2:N365,"CASA",K$2:K365)=0,"",SUMIF(N$2:N365,"CASA",K$2:K365)),""))</f>
        <v/>
      </c>
      <c r="N365" s="17" t="str">
        <f>IF(J365="","",IF(J365=0.2,"CASA",IF(Dati!G365="","",Dati!G365)))</f>
        <v/>
      </c>
    </row>
    <row r="366" spans="1:14" ht="15" customHeight="1" x14ac:dyDescent="0.2">
      <c r="A366" s="23" t="str">
        <f>IF(Dati!A366="","",Dati!A366)</f>
        <v/>
      </c>
      <c r="B366" s="17" t="str">
        <f>IF(Dati!B366="","",Dati!B366)</f>
        <v/>
      </c>
      <c r="C366" s="17" t="str">
        <f>IF(B366="","",IF(ISNUMBER(B365),IF(B366-B365&lt;0,B366,IF(B366-B365=0,"",B366-B365)),B366))</f>
        <v/>
      </c>
      <c r="D366" s="18" t="str">
        <f>IF(Dati!C366="","",IF(Dati!C366&gt;1,Dati!C366/100,Dati!C366))</f>
        <v/>
      </c>
      <c r="E366" s="18" t="str">
        <f>IF(Dati!D366="","",IF(Dati!D366&gt;1,Dati!D366/100,Dati!D366))</f>
        <v/>
      </c>
      <c r="F366" s="18" t="str">
        <f>IF(OR(D366="",E366=""),"",IF(OR(D366&gt;1,E366&gt;1),(E366-D366)/100,E366-D366))</f>
        <v/>
      </c>
      <c r="G366" s="17" t="str">
        <f>IF(F366="","",IF(64*F366=0,"",64*F366))</f>
        <v/>
      </c>
      <c r="H366" s="19" t="str">
        <f>IF(Dati!E366="","",Dati!E366)</f>
        <v/>
      </c>
      <c r="I366" s="19" t="str">
        <f>IFERROR(IF(OR(C366="",C366=0),"",H366/C366*100),"")</f>
        <v/>
      </c>
      <c r="J366" s="20" t="str">
        <f>IF(Dati!F366="","",Dati!F366)</f>
        <v/>
      </c>
      <c r="K366" s="19" t="str">
        <f>IF(OR(H366="",J366=""),"",IF(H366*J366=0,"",H366*J366))</f>
        <v/>
      </c>
      <c r="L366" s="19" t="str">
        <f>IF(A366="","",IFERROR(IF(SUMPRODUCT((ISNUMBER(A$2:A366))*(A$2:A366&gt;1000)*(MONTH(IF(ISNUMBER(A$2:A366),A$2:A366,1))=MONTH(A366))*(YEAR(IF(ISNUMBER(A$2:A366),A$2:A366,1))=YEAR(A366))*IF(ISNUMBER(K$2:K366),K$2:K366,0))=0,"",SUMPRODUCT((ISNUMBER(A$2:A366))*(A$2:A366&gt;1000)*(MONTH(IF(ISNUMBER(A$2:A366),A$2:A366,1))=MONTH(A366))*(YEAR(IF(ISNUMBER(A$2:A366),A$2:A366,1))=YEAR(A366))*IF(ISNUMBER(K$2:K366),K$2:K366,0))),""))</f>
        <v/>
      </c>
      <c r="M366" s="21" t="str">
        <f>IF(A366="","",IFERROR(IF(SUMIF(N$2:N366,"CASA",K$2:K366)=0,"",SUMIF(N$2:N366,"CASA",K$2:K366)),""))</f>
        <v/>
      </c>
      <c r="N366" s="17" t="str">
        <f>IF(J366="","",IF(J366=0.2,"CASA",IF(Dati!G366="","",Dati!G366)))</f>
        <v/>
      </c>
    </row>
    <row r="367" spans="1:14" ht="15" customHeight="1" x14ac:dyDescent="0.2">
      <c r="A367" s="23" t="str">
        <f>IF(Dati!A367="","",Dati!A367)</f>
        <v/>
      </c>
      <c r="B367" s="17" t="str">
        <f>IF(Dati!B367="","",Dati!B367)</f>
        <v/>
      </c>
      <c r="C367" s="17" t="str">
        <f>IF(B367="","",IF(ISNUMBER(B366),IF(B367-B366&lt;0,B367,IF(B367-B366=0,"",B367-B366)),B367))</f>
        <v/>
      </c>
      <c r="D367" s="18" t="str">
        <f>IF(Dati!C367="","",IF(Dati!C367&gt;1,Dati!C367/100,Dati!C367))</f>
        <v/>
      </c>
      <c r="E367" s="18" t="str">
        <f>IF(Dati!D367="","",IF(Dati!D367&gt;1,Dati!D367/100,Dati!D367))</f>
        <v/>
      </c>
      <c r="F367" s="18" t="str">
        <f>IF(OR(D367="",E367=""),"",IF(OR(D367&gt;1,E367&gt;1),(E367-D367)/100,E367-D367))</f>
        <v/>
      </c>
      <c r="G367" s="17" t="str">
        <f>IF(F367="","",IF(64*F367=0,"",64*F367))</f>
        <v/>
      </c>
      <c r="H367" s="19" t="str">
        <f>IF(Dati!E367="","",Dati!E367)</f>
        <v/>
      </c>
      <c r="I367" s="19" t="str">
        <f>IFERROR(IF(OR(C367="",C367=0),"",H367/C367*100),"")</f>
        <v/>
      </c>
      <c r="J367" s="20" t="str">
        <f>IF(Dati!F367="","",Dati!F367)</f>
        <v/>
      </c>
      <c r="K367" s="19" t="str">
        <f>IF(OR(H367="",J367=""),"",IF(H367*J367=0,"",H367*J367))</f>
        <v/>
      </c>
      <c r="L367" s="19" t="str">
        <f>IF(A367="","",IFERROR(IF(SUMPRODUCT((ISNUMBER(A$2:A367))*(A$2:A367&gt;1000)*(MONTH(IF(ISNUMBER(A$2:A367),A$2:A367,1))=MONTH(A367))*(YEAR(IF(ISNUMBER(A$2:A367),A$2:A367,1))=YEAR(A367))*IF(ISNUMBER(K$2:K367),K$2:K367,0))=0,"",SUMPRODUCT((ISNUMBER(A$2:A367))*(A$2:A367&gt;1000)*(MONTH(IF(ISNUMBER(A$2:A367),A$2:A367,1))=MONTH(A367))*(YEAR(IF(ISNUMBER(A$2:A367),A$2:A367,1))=YEAR(A367))*IF(ISNUMBER(K$2:K367),K$2:K367,0))),""))</f>
        <v/>
      </c>
      <c r="M367" s="21" t="str">
        <f>IF(A367="","",IFERROR(IF(SUMIF(N$2:N367,"CASA",K$2:K367)=0,"",SUMIF(N$2:N367,"CASA",K$2:K367)),""))</f>
        <v/>
      </c>
      <c r="N367" s="17" t="str">
        <f>IF(J367="","",IF(J367=0.2,"CASA",IF(Dati!G367="","",Dati!G367)))</f>
        <v/>
      </c>
    </row>
    <row r="368" spans="1:14" ht="15" customHeight="1" x14ac:dyDescent="0.2">
      <c r="A368" s="23" t="str">
        <f>IF(Dati!A368="","",Dati!A368)</f>
        <v/>
      </c>
      <c r="B368" s="17" t="str">
        <f>IF(Dati!B368="","",Dati!B368)</f>
        <v/>
      </c>
      <c r="C368" s="17" t="str">
        <f>IF(B368="","",IF(ISNUMBER(B367),IF(B368-B367&lt;0,B368,IF(B368-B367=0,"",B368-B367)),B368))</f>
        <v/>
      </c>
      <c r="D368" s="18" t="str">
        <f>IF(Dati!C368="","",IF(Dati!C368&gt;1,Dati!C368/100,Dati!C368))</f>
        <v/>
      </c>
      <c r="E368" s="18" t="str">
        <f>IF(Dati!D368="","",IF(Dati!D368&gt;1,Dati!D368/100,Dati!D368))</f>
        <v/>
      </c>
      <c r="F368" s="18" t="str">
        <f>IF(OR(D368="",E368=""),"",IF(OR(D368&gt;1,E368&gt;1),(E368-D368)/100,E368-D368))</f>
        <v/>
      </c>
      <c r="G368" s="17" t="str">
        <f>IF(F368="","",IF(64*F368=0,"",64*F368))</f>
        <v/>
      </c>
      <c r="H368" s="19" t="str">
        <f>IF(Dati!E368="","",Dati!E368)</f>
        <v/>
      </c>
      <c r="I368" s="19" t="str">
        <f>IFERROR(IF(OR(C368="",C368=0),"",H368/C368*100),"")</f>
        <v/>
      </c>
      <c r="J368" s="20" t="str">
        <f>IF(Dati!F368="","",Dati!F368)</f>
        <v/>
      </c>
      <c r="K368" s="19" t="str">
        <f>IF(OR(H368="",J368=""),"",IF(H368*J368=0,"",H368*J368))</f>
        <v/>
      </c>
      <c r="L368" s="19" t="str">
        <f>IF(A368="","",IFERROR(IF(SUMPRODUCT((ISNUMBER(A$2:A368))*(A$2:A368&gt;1000)*(MONTH(IF(ISNUMBER(A$2:A368),A$2:A368,1))=MONTH(A368))*(YEAR(IF(ISNUMBER(A$2:A368),A$2:A368,1))=YEAR(A368))*IF(ISNUMBER(K$2:K368),K$2:K368,0))=0,"",SUMPRODUCT((ISNUMBER(A$2:A368))*(A$2:A368&gt;1000)*(MONTH(IF(ISNUMBER(A$2:A368),A$2:A368,1))=MONTH(A368))*(YEAR(IF(ISNUMBER(A$2:A368),A$2:A368,1))=YEAR(A368))*IF(ISNUMBER(K$2:K368),K$2:K368,0))),""))</f>
        <v/>
      </c>
      <c r="M368" s="21" t="str">
        <f>IF(A368="","",IFERROR(IF(SUMIF(N$2:N368,"CASA",K$2:K368)=0,"",SUMIF(N$2:N368,"CASA",K$2:K368)),""))</f>
        <v/>
      </c>
      <c r="N368" s="17" t="str">
        <f>IF(J368="","",IF(J368=0.2,"CASA",IF(Dati!G368="","",Dati!G368)))</f>
        <v/>
      </c>
    </row>
    <row r="369" spans="1:14" ht="15" customHeight="1" x14ac:dyDescent="0.2">
      <c r="A369" s="23" t="str">
        <f>IF(Dati!A369="","",Dati!A369)</f>
        <v/>
      </c>
      <c r="B369" s="17" t="str">
        <f>IF(Dati!B369="","",Dati!B369)</f>
        <v/>
      </c>
      <c r="C369" s="17" t="str">
        <f>IF(B369="","",IF(ISNUMBER(B368),IF(B369-B368&lt;0,B369,IF(B369-B368=0,"",B369-B368)),B369))</f>
        <v/>
      </c>
      <c r="D369" s="18" t="str">
        <f>IF(Dati!C369="","",IF(Dati!C369&gt;1,Dati!C369/100,Dati!C369))</f>
        <v/>
      </c>
      <c r="E369" s="18" t="str">
        <f>IF(Dati!D369="","",IF(Dati!D369&gt;1,Dati!D369/100,Dati!D369))</f>
        <v/>
      </c>
      <c r="F369" s="18" t="str">
        <f>IF(OR(D369="",E369=""),"",IF(OR(D369&gt;1,E369&gt;1),(E369-D369)/100,E369-D369))</f>
        <v/>
      </c>
      <c r="G369" s="17" t="str">
        <f>IF(F369="","",IF(64*F369=0,"",64*F369))</f>
        <v/>
      </c>
      <c r="H369" s="19" t="str">
        <f>IF(Dati!E369="","",Dati!E369)</f>
        <v/>
      </c>
      <c r="I369" s="19" t="str">
        <f>IFERROR(IF(OR(C369="",C369=0),"",H369/C369*100),"")</f>
        <v/>
      </c>
      <c r="J369" s="20" t="str">
        <f>IF(Dati!F369="","",Dati!F369)</f>
        <v/>
      </c>
      <c r="K369" s="19" t="str">
        <f>IF(OR(H369="",J369=""),"",IF(H369*J369=0,"",H369*J369))</f>
        <v/>
      </c>
      <c r="L369" s="19" t="str">
        <f>IF(A369="","",IFERROR(IF(SUMPRODUCT((ISNUMBER(A$2:A369))*(A$2:A369&gt;1000)*(MONTH(IF(ISNUMBER(A$2:A369),A$2:A369,1))=MONTH(A369))*(YEAR(IF(ISNUMBER(A$2:A369),A$2:A369,1))=YEAR(A369))*IF(ISNUMBER(K$2:K369),K$2:K369,0))=0,"",SUMPRODUCT((ISNUMBER(A$2:A369))*(A$2:A369&gt;1000)*(MONTH(IF(ISNUMBER(A$2:A369),A$2:A369,1))=MONTH(A369))*(YEAR(IF(ISNUMBER(A$2:A369),A$2:A369,1))=YEAR(A369))*IF(ISNUMBER(K$2:K369),K$2:K369,0))),""))</f>
        <v/>
      </c>
      <c r="M369" s="21" t="str">
        <f>IF(A369="","",IFERROR(IF(SUMIF(N$2:N369,"CASA",K$2:K369)=0,"",SUMIF(N$2:N369,"CASA",K$2:K369)),""))</f>
        <v/>
      </c>
      <c r="N369" s="17" t="str">
        <f>IF(J369="","",IF(J369=0.2,"CASA",IF(Dati!G369="","",Dati!G369)))</f>
        <v/>
      </c>
    </row>
    <row r="370" spans="1:14" ht="15" customHeight="1" x14ac:dyDescent="0.2">
      <c r="A370" s="23" t="str">
        <f>IF(Dati!A370="","",Dati!A370)</f>
        <v/>
      </c>
      <c r="B370" s="17" t="str">
        <f>IF(Dati!B370="","",Dati!B370)</f>
        <v/>
      </c>
      <c r="C370" s="17" t="str">
        <f>IF(B370="","",IF(ISNUMBER(B369),IF(B370-B369&lt;0,B370,IF(B370-B369=0,"",B370-B369)),B370))</f>
        <v/>
      </c>
      <c r="D370" s="18" t="str">
        <f>IF(Dati!C370="","",IF(Dati!C370&gt;1,Dati!C370/100,Dati!C370))</f>
        <v/>
      </c>
      <c r="E370" s="18" t="str">
        <f>IF(Dati!D370="","",IF(Dati!D370&gt;1,Dati!D370/100,Dati!D370))</f>
        <v/>
      </c>
      <c r="F370" s="18" t="str">
        <f>IF(OR(D370="",E370=""),"",IF(OR(D370&gt;1,E370&gt;1),(E370-D370)/100,E370-D370))</f>
        <v/>
      </c>
      <c r="G370" s="17" t="str">
        <f>IF(F370="","",IF(64*F370=0,"",64*F370))</f>
        <v/>
      </c>
      <c r="H370" s="19" t="str">
        <f>IF(Dati!E370="","",Dati!E370)</f>
        <v/>
      </c>
      <c r="I370" s="19" t="str">
        <f>IFERROR(IF(OR(C370="",C370=0),"",H370/C370*100),"")</f>
        <v/>
      </c>
      <c r="J370" s="20" t="str">
        <f>IF(Dati!F370="","",Dati!F370)</f>
        <v/>
      </c>
      <c r="K370" s="19" t="str">
        <f>IF(OR(H370="",J370=""),"",IF(H370*J370=0,"",H370*J370))</f>
        <v/>
      </c>
      <c r="L370" s="19" t="str">
        <f>IF(A370="","",IFERROR(IF(SUMPRODUCT((ISNUMBER(A$2:A370))*(A$2:A370&gt;1000)*(MONTH(IF(ISNUMBER(A$2:A370),A$2:A370,1))=MONTH(A370))*(YEAR(IF(ISNUMBER(A$2:A370),A$2:A370,1))=YEAR(A370))*IF(ISNUMBER(K$2:K370),K$2:K370,0))=0,"",SUMPRODUCT((ISNUMBER(A$2:A370))*(A$2:A370&gt;1000)*(MONTH(IF(ISNUMBER(A$2:A370),A$2:A370,1))=MONTH(A370))*(YEAR(IF(ISNUMBER(A$2:A370),A$2:A370,1))=YEAR(A370))*IF(ISNUMBER(K$2:K370),K$2:K370,0))),""))</f>
        <v/>
      </c>
      <c r="M370" s="21" t="str">
        <f>IF(A370="","",IFERROR(IF(SUMIF(N$2:N370,"CASA",K$2:K370)=0,"",SUMIF(N$2:N370,"CASA",K$2:K370)),""))</f>
        <v/>
      </c>
      <c r="N370" s="17" t="str">
        <f>IF(J370="","",IF(J370=0.2,"CASA",IF(Dati!G370="","",Dati!G370)))</f>
        <v/>
      </c>
    </row>
    <row r="371" spans="1:14" ht="15" customHeight="1" x14ac:dyDescent="0.2">
      <c r="A371" s="23" t="str">
        <f>IF(Dati!A371="","",Dati!A371)</f>
        <v/>
      </c>
      <c r="B371" s="17" t="str">
        <f>IF(Dati!B371="","",Dati!B371)</f>
        <v/>
      </c>
      <c r="C371" s="17" t="str">
        <f>IF(B371="","",IF(ISNUMBER(B370),IF(B371-B370&lt;0,B371,IF(B371-B370=0,"",B371-B370)),B371))</f>
        <v/>
      </c>
      <c r="D371" s="18" t="str">
        <f>IF(Dati!C371="","",IF(Dati!C371&gt;1,Dati!C371/100,Dati!C371))</f>
        <v/>
      </c>
      <c r="E371" s="18" t="str">
        <f>IF(Dati!D371="","",IF(Dati!D371&gt;1,Dati!D371/100,Dati!D371))</f>
        <v/>
      </c>
      <c r="F371" s="18" t="str">
        <f>IF(OR(D371="",E371=""),"",IF(OR(D371&gt;1,E371&gt;1),(E371-D371)/100,E371-D371))</f>
        <v/>
      </c>
      <c r="G371" s="17" t="str">
        <f>IF(F371="","",IF(64*F371=0,"",64*F371))</f>
        <v/>
      </c>
      <c r="H371" s="19" t="str">
        <f>IF(Dati!E371="","",Dati!E371)</f>
        <v/>
      </c>
      <c r="I371" s="19" t="str">
        <f>IFERROR(IF(OR(C371="",C371=0),"",H371/C371*100),"")</f>
        <v/>
      </c>
      <c r="J371" s="20" t="str">
        <f>IF(Dati!F371="","",Dati!F371)</f>
        <v/>
      </c>
      <c r="K371" s="19" t="str">
        <f>IF(OR(H371="",J371=""),"",IF(H371*J371=0,"",H371*J371))</f>
        <v/>
      </c>
      <c r="L371" s="19" t="str">
        <f>IF(A371="","",IFERROR(IF(SUMPRODUCT((ISNUMBER(A$2:A371))*(A$2:A371&gt;1000)*(MONTH(IF(ISNUMBER(A$2:A371),A$2:A371,1))=MONTH(A371))*(YEAR(IF(ISNUMBER(A$2:A371),A$2:A371,1))=YEAR(A371))*IF(ISNUMBER(K$2:K371),K$2:K371,0))=0,"",SUMPRODUCT((ISNUMBER(A$2:A371))*(A$2:A371&gt;1000)*(MONTH(IF(ISNUMBER(A$2:A371),A$2:A371,1))=MONTH(A371))*(YEAR(IF(ISNUMBER(A$2:A371),A$2:A371,1))=YEAR(A371))*IF(ISNUMBER(K$2:K371),K$2:K371,0))),""))</f>
        <v/>
      </c>
      <c r="M371" s="21" t="str">
        <f>IF(A371="","",IFERROR(IF(SUMIF(N$2:N371,"CASA",K$2:K371)=0,"",SUMIF(N$2:N371,"CASA",K$2:K371)),""))</f>
        <v/>
      </c>
      <c r="N371" s="17" t="str">
        <f>IF(J371="","",IF(J371=0.2,"CASA",IF(Dati!G371="","",Dati!G371)))</f>
        <v/>
      </c>
    </row>
    <row r="372" spans="1:14" ht="15" customHeight="1" x14ac:dyDescent="0.2">
      <c r="A372" s="23" t="str">
        <f>IF(Dati!A372="","",Dati!A372)</f>
        <v/>
      </c>
      <c r="B372" s="17" t="str">
        <f>IF(Dati!B372="","",Dati!B372)</f>
        <v/>
      </c>
      <c r="C372" s="17" t="str">
        <f>IF(B372="","",IF(ISNUMBER(B371),IF(B372-B371&lt;0,B372,IF(B372-B371=0,"",B372-B371)),B372))</f>
        <v/>
      </c>
      <c r="D372" s="18" t="str">
        <f>IF(Dati!C372="","",IF(Dati!C372&gt;1,Dati!C372/100,Dati!C372))</f>
        <v/>
      </c>
      <c r="E372" s="18" t="str">
        <f>IF(Dati!D372="","",IF(Dati!D372&gt;1,Dati!D372/100,Dati!D372))</f>
        <v/>
      </c>
      <c r="F372" s="18" t="str">
        <f>IF(OR(D372="",E372=""),"",IF(OR(D372&gt;1,E372&gt;1),(E372-D372)/100,E372-D372))</f>
        <v/>
      </c>
      <c r="G372" s="17" t="str">
        <f>IF(F372="","",IF(64*F372=0,"",64*F372))</f>
        <v/>
      </c>
      <c r="H372" s="19" t="str">
        <f>IF(Dati!E372="","",Dati!E372)</f>
        <v/>
      </c>
      <c r="I372" s="19" t="str">
        <f>IFERROR(IF(OR(C372="",C372=0),"",H372/C372*100),"")</f>
        <v/>
      </c>
      <c r="J372" s="20" t="str">
        <f>IF(Dati!F372="","",Dati!F372)</f>
        <v/>
      </c>
      <c r="K372" s="19" t="str">
        <f>IF(OR(H372="",J372=""),"",IF(H372*J372=0,"",H372*J372))</f>
        <v/>
      </c>
      <c r="L372" s="19" t="str">
        <f>IF(A372="","",IFERROR(IF(SUMPRODUCT((ISNUMBER(A$2:A372))*(A$2:A372&gt;1000)*(MONTH(IF(ISNUMBER(A$2:A372),A$2:A372,1))=MONTH(A372))*(YEAR(IF(ISNUMBER(A$2:A372),A$2:A372,1))=YEAR(A372))*IF(ISNUMBER(K$2:K372),K$2:K372,0))=0,"",SUMPRODUCT((ISNUMBER(A$2:A372))*(A$2:A372&gt;1000)*(MONTH(IF(ISNUMBER(A$2:A372),A$2:A372,1))=MONTH(A372))*(YEAR(IF(ISNUMBER(A$2:A372),A$2:A372,1))=YEAR(A372))*IF(ISNUMBER(K$2:K372),K$2:K372,0))),""))</f>
        <v/>
      </c>
      <c r="M372" s="21" t="str">
        <f>IF(A372="","",IFERROR(IF(SUMIF(N$2:N372,"CASA",K$2:K372)=0,"",SUMIF(N$2:N372,"CASA",K$2:K372)),""))</f>
        <v/>
      </c>
      <c r="N372" s="17" t="str">
        <f>IF(J372="","",IF(J372=0.2,"CASA",IF(Dati!G372="","",Dati!G372)))</f>
        <v/>
      </c>
    </row>
    <row r="373" spans="1:14" ht="15" customHeight="1" x14ac:dyDescent="0.2">
      <c r="A373" s="23" t="str">
        <f>IF(Dati!A373="","",Dati!A373)</f>
        <v/>
      </c>
      <c r="B373" s="17" t="str">
        <f>IF(Dati!B373="","",Dati!B373)</f>
        <v/>
      </c>
      <c r="C373" s="17" t="str">
        <f>IF(B373="","",IF(ISNUMBER(B372),IF(B373-B372&lt;0,B373,IF(B373-B372=0,"",B373-B372)),B373))</f>
        <v/>
      </c>
      <c r="D373" s="18" t="str">
        <f>IF(Dati!C373="","",IF(Dati!C373&gt;1,Dati!C373/100,Dati!C373))</f>
        <v/>
      </c>
      <c r="E373" s="18" t="str">
        <f>IF(Dati!D373="","",IF(Dati!D373&gt;1,Dati!D373/100,Dati!D373))</f>
        <v/>
      </c>
      <c r="F373" s="18" t="str">
        <f>IF(OR(D373="",E373=""),"",IF(OR(D373&gt;1,E373&gt;1),(E373-D373)/100,E373-D373))</f>
        <v/>
      </c>
      <c r="G373" s="17" t="str">
        <f>IF(F373="","",IF(64*F373=0,"",64*F373))</f>
        <v/>
      </c>
      <c r="H373" s="19" t="str">
        <f>IF(Dati!E373="","",Dati!E373)</f>
        <v/>
      </c>
      <c r="I373" s="19" t="str">
        <f>IFERROR(IF(OR(C373="",C373=0),"",H373/C373*100),"")</f>
        <v/>
      </c>
      <c r="J373" s="20" t="str">
        <f>IF(Dati!F373="","",Dati!F373)</f>
        <v/>
      </c>
      <c r="K373" s="19" t="str">
        <f>IF(OR(H373="",J373=""),"",IF(H373*J373=0,"",H373*J373))</f>
        <v/>
      </c>
      <c r="L373" s="19" t="str">
        <f>IF(A373="","",IFERROR(IF(SUMPRODUCT((ISNUMBER(A$2:A373))*(A$2:A373&gt;1000)*(MONTH(IF(ISNUMBER(A$2:A373),A$2:A373,1))=MONTH(A373))*(YEAR(IF(ISNUMBER(A$2:A373),A$2:A373,1))=YEAR(A373))*IF(ISNUMBER(K$2:K373),K$2:K373,0))=0,"",SUMPRODUCT((ISNUMBER(A$2:A373))*(A$2:A373&gt;1000)*(MONTH(IF(ISNUMBER(A$2:A373),A$2:A373,1))=MONTH(A373))*(YEAR(IF(ISNUMBER(A$2:A373),A$2:A373,1))=YEAR(A373))*IF(ISNUMBER(K$2:K373),K$2:K373,0))),""))</f>
        <v/>
      </c>
      <c r="M373" s="21" t="str">
        <f>IF(A373="","",IFERROR(IF(SUMIF(N$2:N373,"CASA",K$2:K373)=0,"",SUMIF(N$2:N373,"CASA",K$2:K373)),""))</f>
        <v/>
      </c>
      <c r="N373" s="17" t="str">
        <f>IF(J373="","",IF(J373=0.2,"CASA",IF(Dati!G373="","",Dati!G373)))</f>
        <v/>
      </c>
    </row>
    <row r="374" spans="1:14" ht="15" customHeight="1" x14ac:dyDescent="0.2">
      <c r="A374" s="23" t="str">
        <f>IF(Dati!A374="","",Dati!A374)</f>
        <v/>
      </c>
      <c r="B374" s="17" t="str">
        <f>IF(Dati!B374="","",Dati!B374)</f>
        <v/>
      </c>
      <c r="C374" s="17" t="str">
        <f>IF(B374="","",IF(ISNUMBER(B373),IF(B374-B373&lt;0,B374,IF(B374-B373=0,"",B374-B373)),B374))</f>
        <v/>
      </c>
      <c r="D374" s="18" t="str">
        <f>IF(Dati!C374="","",IF(Dati!C374&gt;1,Dati!C374/100,Dati!C374))</f>
        <v/>
      </c>
      <c r="E374" s="18" t="str">
        <f>IF(Dati!D374="","",IF(Dati!D374&gt;1,Dati!D374/100,Dati!D374))</f>
        <v/>
      </c>
      <c r="F374" s="18" t="str">
        <f>IF(OR(D374="",E374=""),"",IF(OR(D374&gt;1,E374&gt;1),(E374-D374)/100,E374-D374))</f>
        <v/>
      </c>
      <c r="G374" s="17" t="str">
        <f>IF(F374="","",IF(64*F374=0,"",64*F374))</f>
        <v/>
      </c>
      <c r="H374" s="19" t="str">
        <f>IF(Dati!E374="","",Dati!E374)</f>
        <v/>
      </c>
      <c r="I374" s="19" t="str">
        <f>IFERROR(IF(OR(C374="",C374=0),"",H374/C374*100),"")</f>
        <v/>
      </c>
      <c r="J374" s="20" t="str">
        <f>IF(Dati!F374="","",Dati!F374)</f>
        <v/>
      </c>
      <c r="K374" s="19" t="str">
        <f>IF(OR(H374="",J374=""),"",IF(H374*J374=0,"",H374*J374))</f>
        <v/>
      </c>
      <c r="L374" s="19" t="str">
        <f>IF(A374="","",IFERROR(IF(SUMPRODUCT((ISNUMBER(A$2:A374))*(A$2:A374&gt;1000)*(MONTH(IF(ISNUMBER(A$2:A374),A$2:A374,1))=MONTH(A374))*(YEAR(IF(ISNUMBER(A$2:A374),A$2:A374,1))=YEAR(A374))*IF(ISNUMBER(K$2:K374),K$2:K374,0))=0,"",SUMPRODUCT((ISNUMBER(A$2:A374))*(A$2:A374&gt;1000)*(MONTH(IF(ISNUMBER(A$2:A374),A$2:A374,1))=MONTH(A374))*(YEAR(IF(ISNUMBER(A$2:A374),A$2:A374,1))=YEAR(A374))*IF(ISNUMBER(K$2:K374),K$2:K374,0))),""))</f>
        <v/>
      </c>
      <c r="M374" s="21" t="str">
        <f>IF(A374="","",IFERROR(IF(SUMIF(N$2:N374,"CASA",K$2:K374)=0,"",SUMIF(N$2:N374,"CASA",K$2:K374)),""))</f>
        <v/>
      </c>
      <c r="N374" s="17" t="str">
        <f>IF(J374="","",IF(J374=0.2,"CASA",IF(Dati!G374="","",Dati!G374)))</f>
        <v/>
      </c>
    </row>
    <row r="375" spans="1:14" ht="15" customHeight="1" x14ac:dyDescent="0.2">
      <c r="A375" s="23" t="str">
        <f>IF(Dati!A375="","",Dati!A375)</f>
        <v/>
      </c>
      <c r="B375" s="17" t="str">
        <f>IF(Dati!B375="","",Dati!B375)</f>
        <v/>
      </c>
      <c r="C375" s="17" t="str">
        <f>IF(B375="","",IF(ISNUMBER(B374),IF(B375-B374&lt;0,B375,IF(B375-B374=0,"",B375-B374)),B375))</f>
        <v/>
      </c>
      <c r="D375" s="18" t="str">
        <f>IF(Dati!C375="","",IF(Dati!C375&gt;1,Dati!C375/100,Dati!C375))</f>
        <v/>
      </c>
      <c r="E375" s="18" t="str">
        <f>IF(Dati!D375="","",IF(Dati!D375&gt;1,Dati!D375/100,Dati!D375))</f>
        <v/>
      </c>
      <c r="F375" s="18" t="str">
        <f>IF(OR(D375="",E375=""),"",IF(OR(D375&gt;1,E375&gt;1),(E375-D375)/100,E375-D375))</f>
        <v/>
      </c>
      <c r="G375" s="17" t="str">
        <f>IF(F375="","",IF(64*F375=0,"",64*F375))</f>
        <v/>
      </c>
      <c r="H375" s="19" t="str">
        <f>IF(Dati!E375="","",Dati!E375)</f>
        <v/>
      </c>
      <c r="I375" s="19" t="str">
        <f>IFERROR(IF(OR(C375="",C375=0),"",H375/C375*100),"")</f>
        <v/>
      </c>
      <c r="J375" s="20" t="str">
        <f>IF(Dati!F375="","",Dati!F375)</f>
        <v/>
      </c>
      <c r="K375" s="19" t="str">
        <f>IF(OR(H375="",J375=""),"",IF(H375*J375=0,"",H375*J375))</f>
        <v/>
      </c>
      <c r="L375" s="19" t="str">
        <f>IF(A375="","",IFERROR(IF(SUMPRODUCT((ISNUMBER(A$2:A375))*(A$2:A375&gt;1000)*(MONTH(IF(ISNUMBER(A$2:A375),A$2:A375,1))=MONTH(A375))*(YEAR(IF(ISNUMBER(A$2:A375),A$2:A375,1))=YEAR(A375))*IF(ISNUMBER(K$2:K375),K$2:K375,0))=0,"",SUMPRODUCT((ISNUMBER(A$2:A375))*(A$2:A375&gt;1000)*(MONTH(IF(ISNUMBER(A$2:A375),A$2:A375,1))=MONTH(A375))*(YEAR(IF(ISNUMBER(A$2:A375),A$2:A375,1))=YEAR(A375))*IF(ISNUMBER(K$2:K375),K$2:K375,0))),""))</f>
        <v/>
      </c>
      <c r="M375" s="21" t="str">
        <f>IF(A375="","",IFERROR(IF(SUMIF(N$2:N375,"CASA",K$2:K375)=0,"",SUMIF(N$2:N375,"CASA",K$2:K375)),""))</f>
        <v/>
      </c>
      <c r="N375" s="17" t="str">
        <f>IF(J375="","",IF(J375=0.2,"CASA",IF(Dati!G375="","",Dati!G375)))</f>
        <v/>
      </c>
    </row>
    <row r="376" spans="1:14" ht="15" customHeight="1" x14ac:dyDescent="0.2">
      <c r="A376" s="23" t="str">
        <f>IF(Dati!A376="","",Dati!A376)</f>
        <v/>
      </c>
      <c r="B376" s="17" t="str">
        <f>IF(Dati!B376="","",Dati!B376)</f>
        <v/>
      </c>
      <c r="C376" s="17" t="str">
        <f>IF(B376="","",IF(ISNUMBER(B375),IF(B376-B375&lt;0,B376,IF(B376-B375=0,"",B376-B375)),B376))</f>
        <v/>
      </c>
      <c r="D376" s="18" t="str">
        <f>IF(Dati!C376="","",IF(Dati!C376&gt;1,Dati!C376/100,Dati!C376))</f>
        <v/>
      </c>
      <c r="E376" s="18" t="str">
        <f>IF(Dati!D376="","",IF(Dati!D376&gt;1,Dati!D376/100,Dati!D376))</f>
        <v/>
      </c>
      <c r="F376" s="18" t="str">
        <f>IF(OR(D376="",E376=""),"",IF(OR(D376&gt;1,E376&gt;1),(E376-D376)/100,E376-D376))</f>
        <v/>
      </c>
      <c r="G376" s="17" t="str">
        <f>IF(F376="","",IF(64*F376=0,"",64*F376))</f>
        <v/>
      </c>
      <c r="H376" s="19" t="str">
        <f>IF(Dati!E376="","",Dati!E376)</f>
        <v/>
      </c>
      <c r="I376" s="19" t="str">
        <f>IFERROR(IF(OR(C376="",C376=0),"",H376/C376*100),"")</f>
        <v/>
      </c>
      <c r="J376" s="20" t="str">
        <f>IF(Dati!F376="","",Dati!F376)</f>
        <v/>
      </c>
      <c r="K376" s="19" t="str">
        <f>IF(OR(H376="",J376=""),"",IF(H376*J376=0,"",H376*J376))</f>
        <v/>
      </c>
      <c r="L376" s="19" t="str">
        <f>IF(A376="","",IFERROR(IF(SUMPRODUCT((ISNUMBER(A$2:A376))*(A$2:A376&gt;1000)*(MONTH(IF(ISNUMBER(A$2:A376),A$2:A376,1))=MONTH(A376))*(YEAR(IF(ISNUMBER(A$2:A376),A$2:A376,1))=YEAR(A376))*IF(ISNUMBER(K$2:K376),K$2:K376,0))=0,"",SUMPRODUCT((ISNUMBER(A$2:A376))*(A$2:A376&gt;1000)*(MONTH(IF(ISNUMBER(A$2:A376),A$2:A376,1))=MONTH(A376))*(YEAR(IF(ISNUMBER(A$2:A376),A$2:A376,1))=YEAR(A376))*IF(ISNUMBER(K$2:K376),K$2:K376,0))),""))</f>
        <v/>
      </c>
      <c r="M376" s="21" t="str">
        <f>IF(A376="","",IFERROR(IF(SUMIF(N$2:N376,"CASA",K$2:K376)=0,"",SUMIF(N$2:N376,"CASA",K$2:K376)),""))</f>
        <v/>
      </c>
      <c r="N376" s="17" t="str">
        <f>IF(J376="","",IF(J376=0.2,"CASA",IF(Dati!G376="","",Dati!G376)))</f>
        <v/>
      </c>
    </row>
    <row r="377" spans="1:14" ht="15" customHeight="1" x14ac:dyDescent="0.2">
      <c r="A377" s="23" t="str">
        <f>IF(Dati!A377="","",Dati!A377)</f>
        <v/>
      </c>
      <c r="B377" s="17" t="str">
        <f>IF(Dati!B377="","",Dati!B377)</f>
        <v/>
      </c>
      <c r="C377" s="17" t="str">
        <f>IF(B377="","",IF(ISNUMBER(B376),IF(B377-B376&lt;0,B377,IF(B377-B376=0,"",B377-B376)),B377))</f>
        <v/>
      </c>
      <c r="D377" s="18" t="str">
        <f>IF(Dati!C377="","",IF(Dati!C377&gt;1,Dati!C377/100,Dati!C377))</f>
        <v/>
      </c>
      <c r="E377" s="18" t="str">
        <f>IF(Dati!D377="","",IF(Dati!D377&gt;1,Dati!D377/100,Dati!D377))</f>
        <v/>
      </c>
      <c r="F377" s="18" t="str">
        <f>IF(OR(D377="",E377=""),"",IF(OR(D377&gt;1,E377&gt;1),(E377-D377)/100,E377-D377))</f>
        <v/>
      </c>
      <c r="G377" s="17" t="str">
        <f>IF(F377="","",IF(64*F377=0,"",64*F377))</f>
        <v/>
      </c>
      <c r="H377" s="19" t="str">
        <f>IF(Dati!E377="","",Dati!E377)</f>
        <v/>
      </c>
      <c r="I377" s="19" t="str">
        <f>IFERROR(IF(OR(C377="",C377=0),"",H377/C377*100),"")</f>
        <v/>
      </c>
      <c r="J377" s="20" t="str">
        <f>IF(Dati!F377="","",Dati!F377)</f>
        <v/>
      </c>
      <c r="K377" s="19" t="str">
        <f>IF(OR(H377="",J377=""),"",IF(H377*J377=0,"",H377*J377))</f>
        <v/>
      </c>
      <c r="L377" s="19" t="str">
        <f>IF(A377="","",IFERROR(IF(SUMPRODUCT((ISNUMBER(A$2:A377))*(A$2:A377&gt;1000)*(MONTH(IF(ISNUMBER(A$2:A377),A$2:A377,1))=MONTH(A377))*(YEAR(IF(ISNUMBER(A$2:A377),A$2:A377,1))=YEAR(A377))*IF(ISNUMBER(K$2:K377),K$2:K377,0))=0,"",SUMPRODUCT((ISNUMBER(A$2:A377))*(A$2:A377&gt;1000)*(MONTH(IF(ISNUMBER(A$2:A377),A$2:A377,1))=MONTH(A377))*(YEAR(IF(ISNUMBER(A$2:A377),A$2:A377,1))=YEAR(A377))*IF(ISNUMBER(K$2:K377),K$2:K377,0))),""))</f>
        <v/>
      </c>
      <c r="M377" s="21" t="str">
        <f>IF(A377="","",IFERROR(IF(SUMIF(N$2:N377,"CASA",K$2:K377)=0,"",SUMIF(N$2:N377,"CASA",K$2:K377)),""))</f>
        <v/>
      </c>
      <c r="N377" s="17" t="str">
        <f>IF(J377="","",IF(J377=0.2,"CASA",IF(Dati!G377="","",Dati!G377)))</f>
        <v/>
      </c>
    </row>
    <row r="378" spans="1:14" ht="15" customHeight="1" x14ac:dyDescent="0.2">
      <c r="A378" s="23" t="str">
        <f>IF(Dati!A378="","",Dati!A378)</f>
        <v/>
      </c>
      <c r="B378" s="17" t="str">
        <f>IF(Dati!B378="","",Dati!B378)</f>
        <v/>
      </c>
      <c r="C378" s="17" t="str">
        <f>IF(B378="","",IF(ISNUMBER(B377),IF(B378-B377&lt;0,B378,IF(B378-B377=0,"",B378-B377)),B378))</f>
        <v/>
      </c>
      <c r="D378" s="18" t="str">
        <f>IF(Dati!C378="","",IF(Dati!C378&gt;1,Dati!C378/100,Dati!C378))</f>
        <v/>
      </c>
      <c r="E378" s="18" t="str">
        <f>IF(Dati!D378="","",IF(Dati!D378&gt;1,Dati!D378/100,Dati!D378))</f>
        <v/>
      </c>
      <c r="F378" s="18" t="str">
        <f>IF(OR(D378="",E378=""),"",IF(OR(D378&gt;1,E378&gt;1),(E378-D378)/100,E378-D378))</f>
        <v/>
      </c>
      <c r="G378" s="17" t="str">
        <f>IF(F378="","",IF(64*F378=0,"",64*F378))</f>
        <v/>
      </c>
      <c r="H378" s="19" t="str">
        <f>IF(Dati!E378="","",Dati!E378)</f>
        <v/>
      </c>
      <c r="I378" s="19" t="str">
        <f>IFERROR(IF(OR(C378="",C378=0),"",H378/C378*100),"")</f>
        <v/>
      </c>
      <c r="J378" s="20" t="str">
        <f>IF(Dati!F378="","",Dati!F378)</f>
        <v/>
      </c>
      <c r="K378" s="19" t="str">
        <f>IF(OR(H378="",J378=""),"",IF(H378*J378=0,"",H378*J378))</f>
        <v/>
      </c>
      <c r="L378" s="19" t="str">
        <f>IF(A378="","",IFERROR(IF(SUMPRODUCT((ISNUMBER(A$2:A378))*(A$2:A378&gt;1000)*(MONTH(IF(ISNUMBER(A$2:A378),A$2:A378,1))=MONTH(A378))*(YEAR(IF(ISNUMBER(A$2:A378),A$2:A378,1))=YEAR(A378))*IF(ISNUMBER(K$2:K378),K$2:K378,0))=0,"",SUMPRODUCT((ISNUMBER(A$2:A378))*(A$2:A378&gt;1000)*(MONTH(IF(ISNUMBER(A$2:A378),A$2:A378,1))=MONTH(A378))*(YEAR(IF(ISNUMBER(A$2:A378),A$2:A378,1))=YEAR(A378))*IF(ISNUMBER(K$2:K378),K$2:K378,0))),""))</f>
        <v/>
      </c>
      <c r="M378" s="21" t="str">
        <f>IF(A378="","",IFERROR(IF(SUMIF(N$2:N378,"CASA",K$2:K378)=0,"",SUMIF(N$2:N378,"CASA",K$2:K378)),""))</f>
        <v/>
      </c>
      <c r="N378" s="17" t="str">
        <f>IF(J378="","",IF(J378=0.2,"CASA",IF(Dati!G378="","",Dati!G378)))</f>
        <v/>
      </c>
    </row>
    <row r="379" spans="1:14" ht="15" customHeight="1" x14ac:dyDescent="0.2">
      <c r="A379" s="23" t="str">
        <f>IF(Dati!A379="","",Dati!A379)</f>
        <v/>
      </c>
      <c r="B379" s="17" t="str">
        <f>IF(Dati!B379="","",Dati!B379)</f>
        <v/>
      </c>
      <c r="C379" s="17" t="str">
        <f>IF(B379="","",IF(ISNUMBER(B378),IF(B379-B378&lt;0,B379,IF(B379-B378=0,"",B379-B378)),B379))</f>
        <v/>
      </c>
      <c r="D379" s="18" t="str">
        <f>IF(Dati!C379="","",IF(Dati!C379&gt;1,Dati!C379/100,Dati!C379))</f>
        <v/>
      </c>
      <c r="E379" s="18" t="str">
        <f>IF(Dati!D379="","",IF(Dati!D379&gt;1,Dati!D379/100,Dati!D379))</f>
        <v/>
      </c>
      <c r="F379" s="18" t="str">
        <f>IF(OR(D379="",E379=""),"",IF(OR(D379&gt;1,E379&gt;1),(E379-D379)/100,E379-D379))</f>
        <v/>
      </c>
      <c r="G379" s="17" t="str">
        <f>IF(F379="","",IF(64*F379=0,"",64*F379))</f>
        <v/>
      </c>
      <c r="H379" s="19" t="str">
        <f>IF(Dati!E379="","",Dati!E379)</f>
        <v/>
      </c>
      <c r="I379" s="19" t="str">
        <f>IFERROR(IF(OR(C379="",C379=0),"",H379/C379*100),"")</f>
        <v/>
      </c>
      <c r="J379" s="20" t="str">
        <f>IF(Dati!F379="","",Dati!F379)</f>
        <v/>
      </c>
      <c r="K379" s="19" t="str">
        <f>IF(OR(H379="",J379=""),"",IF(H379*J379=0,"",H379*J379))</f>
        <v/>
      </c>
      <c r="L379" s="19" t="str">
        <f>IF(A379="","",IFERROR(IF(SUMPRODUCT((ISNUMBER(A$2:A379))*(A$2:A379&gt;1000)*(MONTH(IF(ISNUMBER(A$2:A379),A$2:A379,1))=MONTH(A379))*(YEAR(IF(ISNUMBER(A$2:A379),A$2:A379,1))=YEAR(A379))*IF(ISNUMBER(K$2:K379),K$2:K379,0))=0,"",SUMPRODUCT((ISNUMBER(A$2:A379))*(A$2:A379&gt;1000)*(MONTH(IF(ISNUMBER(A$2:A379),A$2:A379,1))=MONTH(A379))*(YEAR(IF(ISNUMBER(A$2:A379),A$2:A379,1))=YEAR(A379))*IF(ISNUMBER(K$2:K379),K$2:K379,0))),""))</f>
        <v/>
      </c>
      <c r="M379" s="21" t="str">
        <f>IF(A379="","",IFERROR(IF(SUMIF(N$2:N379,"CASA",K$2:K379)=0,"",SUMIF(N$2:N379,"CASA",K$2:K379)),""))</f>
        <v/>
      </c>
      <c r="N379" s="17" t="str">
        <f>IF(J379="","",IF(J379=0.2,"CASA",IF(Dati!G379="","",Dati!G379)))</f>
        <v/>
      </c>
    </row>
    <row r="380" spans="1:14" ht="15" customHeight="1" x14ac:dyDescent="0.2">
      <c r="A380" s="23" t="str">
        <f>IF(Dati!A380="","",Dati!A380)</f>
        <v/>
      </c>
      <c r="B380" s="17" t="str">
        <f>IF(Dati!B380="","",Dati!B380)</f>
        <v/>
      </c>
      <c r="C380" s="17" t="str">
        <f>IF(B380="","",IF(ISNUMBER(B379),IF(B380-B379&lt;0,B380,IF(B380-B379=0,"",B380-B379)),B380))</f>
        <v/>
      </c>
      <c r="D380" s="18" t="str">
        <f>IF(Dati!C380="","",IF(Dati!C380&gt;1,Dati!C380/100,Dati!C380))</f>
        <v/>
      </c>
      <c r="E380" s="18" t="str">
        <f>IF(Dati!D380="","",IF(Dati!D380&gt;1,Dati!D380/100,Dati!D380))</f>
        <v/>
      </c>
      <c r="F380" s="18" t="str">
        <f>IF(OR(D380="",E380=""),"",IF(OR(D380&gt;1,E380&gt;1),(E380-D380)/100,E380-D380))</f>
        <v/>
      </c>
      <c r="G380" s="17" t="str">
        <f>IF(F380="","",IF(64*F380=0,"",64*F380))</f>
        <v/>
      </c>
      <c r="H380" s="19" t="str">
        <f>IF(Dati!E380="","",Dati!E380)</f>
        <v/>
      </c>
      <c r="I380" s="19" t="str">
        <f>IFERROR(IF(OR(C380="",C380=0),"",H380/C380*100),"")</f>
        <v/>
      </c>
      <c r="J380" s="20" t="str">
        <f>IF(Dati!F380="","",Dati!F380)</f>
        <v/>
      </c>
      <c r="K380" s="19" t="str">
        <f>IF(OR(H380="",J380=""),"",IF(H380*J380=0,"",H380*J380))</f>
        <v/>
      </c>
      <c r="L380" s="19" t="str">
        <f>IF(A380="","",IFERROR(IF(SUMPRODUCT((ISNUMBER(A$2:A380))*(A$2:A380&gt;1000)*(MONTH(IF(ISNUMBER(A$2:A380),A$2:A380,1))=MONTH(A380))*(YEAR(IF(ISNUMBER(A$2:A380),A$2:A380,1))=YEAR(A380))*IF(ISNUMBER(K$2:K380),K$2:K380,0))=0,"",SUMPRODUCT((ISNUMBER(A$2:A380))*(A$2:A380&gt;1000)*(MONTH(IF(ISNUMBER(A$2:A380),A$2:A380,1))=MONTH(A380))*(YEAR(IF(ISNUMBER(A$2:A380),A$2:A380,1))=YEAR(A380))*IF(ISNUMBER(K$2:K380),K$2:K380,0))),""))</f>
        <v/>
      </c>
      <c r="M380" s="21" t="str">
        <f>IF(A380="","",IFERROR(IF(SUMIF(N$2:N380,"CASA",K$2:K380)=0,"",SUMIF(N$2:N380,"CASA",K$2:K380)),""))</f>
        <v/>
      </c>
      <c r="N380" s="17" t="str">
        <f>IF(J380="","",IF(J380=0.2,"CASA",IF(Dati!G380="","",Dati!G380)))</f>
        <v/>
      </c>
    </row>
    <row r="381" spans="1:14" ht="15" customHeight="1" x14ac:dyDescent="0.2">
      <c r="A381" s="23" t="str">
        <f>IF(Dati!A381="","",Dati!A381)</f>
        <v/>
      </c>
      <c r="B381" s="17" t="str">
        <f>IF(Dati!B381="","",Dati!B381)</f>
        <v/>
      </c>
      <c r="C381" s="17" t="str">
        <f>IF(B381="","",IF(ISNUMBER(B380),IF(B381-B380&lt;0,B381,IF(B381-B380=0,"",B381-B380)),B381))</f>
        <v/>
      </c>
      <c r="D381" s="18" t="str">
        <f>IF(Dati!C381="","",IF(Dati!C381&gt;1,Dati!C381/100,Dati!C381))</f>
        <v/>
      </c>
      <c r="E381" s="18" t="str">
        <f>IF(Dati!D381="","",IF(Dati!D381&gt;1,Dati!D381/100,Dati!D381))</f>
        <v/>
      </c>
      <c r="F381" s="18" t="str">
        <f>IF(OR(D381="",E381=""),"",IF(OR(D381&gt;1,E381&gt;1),(E381-D381)/100,E381-D381))</f>
        <v/>
      </c>
      <c r="G381" s="17" t="str">
        <f>IF(F381="","",IF(64*F381=0,"",64*F381))</f>
        <v/>
      </c>
      <c r="H381" s="19" t="str">
        <f>IF(Dati!E381="","",Dati!E381)</f>
        <v/>
      </c>
      <c r="I381" s="19" t="str">
        <f>IFERROR(IF(OR(C381="",C381=0),"",H381/C381*100),"")</f>
        <v/>
      </c>
      <c r="J381" s="20" t="str">
        <f>IF(Dati!F381="","",Dati!F381)</f>
        <v/>
      </c>
      <c r="K381" s="19" t="str">
        <f>IF(OR(H381="",J381=""),"",IF(H381*J381=0,"",H381*J381))</f>
        <v/>
      </c>
      <c r="L381" s="19" t="str">
        <f>IF(A381="","",IFERROR(IF(SUMPRODUCT((ISNUMBER(A$2:A381))*(A$2:A381&gt;1000)*(MONTH(IF(ISNUMBER(A$2:A381),A$2:A381,1))=MONTH(A381))*(YEAR(IF(ISNUMBER(A$2:A381),A$2:A381,1))=YEAR(A381))*IF(ISNUMBER(K$2:K381),K$2:K381,0))=0,"",SUMPRODUCT((ISNUMBER(A$2:A381))*(A$2:A381&gt;1000)*(MONTH(IF(ISNUMBER(A$2:A381),A$2:A381,1))=MONTH(A381))*(YEAR(IF(ISNUMBER(A$2:A381),A$2:A381,1))=YEAR(A381))*IF(ISNUMBER(K$2:K381),K$2:K381,0))),""))</f>
        <v/>
      </c>
      <c r="M381" s="21" t="str">
        <f>IF(A381="","",IFERROR(IF(SUMIF(N$2:N381,"CASA",K$2:K381)=0,"",SUMIF(N$2:N381,"CASA",K$2:K381)),""))</f>
        <v/>
      </c>
      <c r="N381" s="17" t="str">
        <f>IF(J381="","",IF(J381=0.2,"CASA",IF(Dati!G381="","",Dati!G381)))</f>
        <v/>
      </c>
    </row>
    <row r="382" spans="1:14" ht="15" customHeight="1" x14ac:dyDescent="0.2">
      <c r="A382" s="23" t="str">
        <f>IF(Dati!A382="","",Dati!A382)</f>
        <v/>
      </c>
      <c r="B382" s="17" t="str">
        <f>IF(Dati!B382="","",Dati!B382)</f>
        <v/>
      </c>
      <c r="C382" s="17" t="str">
        <f>IF(B382="","",IF(ISNUMBER(B381),IF(B382-B381&lt;0,B382,IF(B382-B381=0,"",B382-B381)),B382))</f>
        <v/>
      </c>
      <c r="D382" s="18" t="str">
        <f>IF(Dati!C382="","",IF(Dati!C382&gt;1,Dati!C382/100,Dati!C382))</f>
        <v/>
      </c>
      <c r="E382" s="18" t="str">
        <f>IF(Dati!D382="","",IF(Dati!D382&gt;1,Dati!D382/100,Dati!D382))</f>
        <v/>
      </c>
      <c r="F382" s="18" t="str">
        <f>IF(OR(D382="",E382=""),"",IF(OR(D382&gt;1,E382&gt;1),(E382-D382)/100,E382-D382))</f>
        <v/>
      </c>
      <c r="G382" s="17" t="str">
        <f>IF(F382="","",IF(64*F382=0,"",64*F382))</f>
        <v/>
      </c>
      <c r="H382" s="19" t="str">
        <f>IF(Dati!E382="","",Dati!E382)</f>
        <v/>
      </c>
      <c r="I382" s="19" t="str">
        <f>IFERROR(IF(OR(C382="",C382=0),"",H382/C382*100),"")</f>
        <v/>
      </c>
      <c r="J382" s="20" t="str">
        <f>IF(Dati!F382="","",Dati!F382)</f>
        <v/>
      </c>
      <c r="K382" s="19" t="str">
        <f>IF(OR(H382="",J382=""),"",IF(H382*J382=0,"",H382*J382))</f>
        <v/>
      </c>
      <c r="L382" s="19" t="str">
        <f>IF(A382="","",IFERROR(IF(SUMPRODUCT((ISNUMBER(A$2:A382))*(A$2:A382&gt;1000)*(MONTH(IF(ISNUMBER(A$2:A382),A$2:A382,1))=MONTH(A382))*(YEAR(IF(ISNUMBER(A$2:A382),A$2:A382,1))=YEAR(A382))*IF(ISNUMBER(K$2:K382),K$2:K382,0))=0,"",SUMPRODUCT((ISNUMBER(A$2:A382))*(A$2:A382&gt;1000)*(MONTH(IF(ISNUMBER(A$2:A382),A$2:A382,1))=MONTH(A382))*(YEAR(IF(ISNUMBER(A$2:A382),A$2:A382,1))=YEAR(A382))*IF(ISNUMBER(K$2:K382),K$2:K382,0))),""))</f>
        <v/>
      </c>
      <c r="M382" s="21" t="str">
        <f>IF(A382="","",IFERROR(IF(SUMIF(N$2:N382,"CASA",K$2:K382)=0,"",SUMIF(N$2:N382,"CASA",K$2:K382)),""))</f>
        <v/>
      </c>
      <c r="N382" s="17" t="str">
        <f>IF(J382="","",IF(J382=0.2,"CASA",IF(Dati!G382="","",Dati!G382)))</f>
        <v/>
      </c>
    </row>
    <row r="383" spans="1:14" ht="15" customHeight="1" x14ac:dyDescent="0.2">
      <c r="A383" s="23" t="str">
        <f>IF(Dati!A383="","",Dati!A383)</f>
        <v/>
      </c>
      <c r="B383" s="17" t="str">
        <f>IF(Dati!B383="","",Dati!B383)</f>
        <v/>
      </c>
      <c r="C383" s="17" t="str">
        <f>IF(B383="","",IF(ISNUMBER(B382),IF(B383-B382&lt;0,B383,IF(B383-B382=0,"",B383-B382)),B383))</f>
        <v/>
      </c>
      <c r="D383" s="18" t="str">
        <f>IF(Dati!C383="","",IF(Dati!C383&gt;1,Dati!C383/100,Dati!C383))</f>
        <v/>
      </c>
      <c r="E383" s="18" t="str">
        <f>IF(Dati!D383="","",IF(Dati!D383&gt;1,Dati!D383/100,Dati!D383))</f>
        <v/>
      </c>
      <c r="F383" s="18" t="str">
        <f>IF(OR(D383="",E383=""),"",IF(OR(D383&gt;1,E383&gt;1),(E383-D383)/100,E383-D383))</f>
        <v/>
      </c>
      <c r="G383" s="17" t="str">
        <f>IF(F383="","",IF(64*F383=0,"",64*F383))</f>
        <v/>
      </c>
      <c r="H383" s="19" t="str">
        <f>IF(Dati!E383="","",Dati!E383)</f>
        <v/>
      </c>
      <c r="I383" s="19" t="str">
        <f>IFERROR(IF(OR(C383="",C383=0),"",H383/C383*100),"")</f>
        <v/>
      </c>
      <c r="J383" s="20" t="str">
        <f>IF(Dati!F383="","",Dati!F383)</f>
        <v/>
      </c>
      <c r="K383" s="19" t="str">
        <f>IF(OR(H383="",J383=""),"",IF(H383*J383=0,"",H383*J383))</f>
        <v/>
      </c>
      <c r="L383" s="19" t="str">
        <f>IF(A383="","",IFERROR(IF(SUMPRODUCT((ISNUMBER(A$2:A383))*(A$2:A383&gt;1000)*(MONTH(IF(ISNUMBER(A$2:A383),A$2:A383,1))=MONTH(A383))*(YEAR(IF(ISNUMBER(A$2:A383),A$2:A383,1))=YEAR(A383))*IF(ISNUMBER(K$2:K383),K$2:K383,0))=0,"",SUMPRODUCT((ISNUMBER(A$2:A383))*(A$2:A383&gt;1000)*(MONTH(IF(ISNUMBER(A$2:A383),A$2:A383,1))=MONTH(A383))*(YEAR(IF(ISNUMBER(A$2:A383),A$2:A383,1))=YEAR(A383))*IF(ISNUMBER(K$2:K383),K$2:K383,0))),""))</f>
        <v/>
      </c>
      <c r="M383" s="21" t="str">
        <f>IF(A383="","",IFERROR(IF(SUMIF(N$2:N383,"CASA",K$2:K383)=0,"",SUMIF(N$2:N383,"CASA",K$2:K383)),""))</f>
        <v/>
      </c>
      <c r="N383" s="17" t="str">
        <f>IF(J383="","",IF(J383=0.2,"CASA",IF(Dati!G383="","",Dati!G383)))</f>
        <v/>
      </c>
    </row>
    <row r="384" spans="1:14" ht="15" customHeight="1" x14ac:dyDescent="0.2">
      <c r="A384" s="23" t="str">
        <f>IF(Dati!A384="","",Dati!A384)</f>
        <v/>
      </c>
      <c r="B384" s="17" t="str">
        <f>IF(Dati!B384="","",Dati!B384)</f>
        <v/>
      </c>
      <c r="C384" s="17" t="str">
        <f>IF(B384="","",IF(ISNUMBER(B383),IF(B384-B383&lt;0,B384,IF(B384-B383=0,"",B384-B383)),B384))</f>
        <v/>
      </c>
      <c r="D384" s="18" t="str">
        <f>IF(Dati!C384="","",IF(Dati!C384&gt;1,Dati!C384/100,Dati!C384))</f>
        <v/>
      </c>
      <c r="E384" s="18" t="str">
        <f>IF(Dati!D384="","",IF(Dati!D384&gt;1,Dati!D384/100,Dati!D384))</f>
        <v/>
      </c>
      <c r="F384" s="18" t="str">
        <f>IF(OR(D384="",E384=""),"",IF(OR(D384&gt;1,E384&gt;1),(E384-D384)/100,E384-D384))</f>
        <v/>
      </c>
      <c r="G384" s="17" t="str">
        <f>IF(F384="","",IF(64*F384=0,"",64*F384))</f>
        <v/>
      </c>
      <c r="H384" s="19" t="str">
        <f>IF(Dati!E384="","",Dati!E384)</f>
        <v/>
      </c>
      <c r="I384" s="19" t="str">
        <f>IFERROR(IF(OR(C384="",C384=0),"",H384/C384*100),"")</f>
        <v/>
      </c>
      <c r="J384" s="20" t="str">
        <f>IF(Dati!F384="","",Dati!F384)</f>
        <v/>
      </c>
      <c r="K384" s="19" t="str">
        <f>IF(OR(H384="",J384=""),"",IF(H384*J384=0,"",H384*J384))</f>
        <v/>
      </c>
      <c r="L384" s="19" t="str">
        <f>IF(A384="","",IFERROR(IF(SUMPRODUCT((ISNUMBER(A$2:A384))*(A$2:A384&gt;1000)*(MONTH(IF(ISNUMBER(A$2:A384),A$2:A384,1))=MONTH(A384))*(YEAR(IF(ISNUMBER(A$2:A384),A$2:A384,1))=YEAR(A384))*IF(ISNUMBER(K$2:K384),K$2:K384,0))=0,"",SUMPRODUCT((ISNUMBER(A$2:A384))*(A$2:A384&gt;1000)*(MONTH(IF(ISNUMBER(A$2:A384),A$2:A384,1))=MONTH(A384))*(YEAR(IF(ISNUMBER(A$2:A384),A$2:A384,1))=YEAR(A384))*IF(ISNUMBER(K$2:K384),K$2:K384,0))),""))</f>
        <v/>
      </c>
      <c r="M384" s="21" t="str">
        <f>IF(A384="","",IFERROR(IF(SUMIF(N$2:N384,"CASA",K$2:K384)=0,"",SUMIF(N$2:N384,"CASA",K$2:K384)),""))</f>
        <v/>
      </c>
      <c r="N384" s="17" t="str">
        <f>IF(J384="","",IF(J384=0.2,"CASA",IF(Dati!G384="","",Dati!G384)))</f>
        <v/>
      </c>
    </row>
    <row r="385" spans="1:14" ht="15" customHeight="1" x14ac:dyDescent="0.2">
      <c r="A385" s="23" t="str">
        <f>IF(Dati!A385="","",Dati!A385)</f>
        <v/>
      </c>
      <c r="B385" s="17" t="str">
        <f>IF(Dati!B385="","",Dati!B385)</f>
        <v/>
      </c>
      <c r="C385" s="17" t="str">
        <f>IF(B385="","",IF(ISNUMBER(B384),IF(B385-B384&lt;0,B385,IF(B385-B384=0,"",B385-B384)),B385))</f>
        <v/>
      </c>
      <c r="D385" s="18" t="str">
        <f>IF(Dati!C385="","",IF(Dati!C385&gt;1,Dati!C385/100,Dati!C385))</f>
        <v/>
      </c>
      <c r="E385" s="18" t="str">
        <f>IF(Dati!D385="","",IF(Dati!D385&gt;1,Dati!D385/100,Dati!D385))</f>
        <v/>
      </c>
      <c r="F385" s="18" t="str">
        <f>IF(OR(D385="",E385=""),"",IF(OR(D385&gt;1,E385&gt;1),(E385-D385)/100,E385-D385))</f>
        <v/>
      </c>
      <c r="G385" s="17" t="str">
        <f>IF(F385="","",IF(64*F385=0,"",64*F385))</f>
        <v/>
      </c>
      <c r="H385" s="19" t="str">
        <f>IF(Dati!E385="","",Dati!E385)</f>
        <v/>
      </c>
      <c r="I385" s="19" t="str">
        <f>IFERROR(IF(OR(C385="",C385=0),"",H385/C385*100),"")</f>
        <v/>
      </c>
      <c r="J385" s="20" t="str">
        <f>IF(Dati!F385="","",Dati!F385)</f>
        <v/>
      </c>
      <c r="K385" s="19" t="str">
        <f>IF(OR(H385="",J385=""),"",IF(H385*J385=0,"",H385*J385))</f>
        <v/>
      </c>
      <c r="L385" s="19" t="str">
        <f>IF(A385="","",IFERROR(IF(SUMPRODUCT((ISNUMBER(A$2:A385))*(A$2:A385&gt;1000)*(MONTH(IF(ISNUMBER(A$2:A385),A$2:A385,1))=MONTH(A385))*(YEAR(IF(ISNUMBER(A$2:A385),A$2:A385,1))=YEAR(A385))*IF(ISNUMBER(K$2:K385),K$2:K385,0))=0,"",SUMPRODUCT((ISNUMBER(A$2:A385))*(A$2:A385&gt;1000)*(MONTH(IF(ISNUMBER(A$2:A385),A$2:A385,1))=MONTH(A385))*(YEAR(IF(ISNUMBER(A$2:A385),A$2:A385,1))=YEAR(A385))*IF(ISNUMBER(K$2:K385),K$2:K385,0))),""))</f>
        <v/>
      </c>
      <c r="M385" s="21" t="str">
        <f>IF(A385="","",IFERROR(IF(SUMIF(N$2:N385,"CASA",K$2:K385)=0,"",SUMIF(N$2:N385,"CASA",K$2:K385)),""))</f>
        <v/>
      </c>
      <c r="N385" s="17" t="str">
        <f>IF(J385="","",IF(J385=0.2,"CASA",IF(Dati!G385="","",Dati!G385)))</f>
        <v/>
      </c>
    </row>
    <row r="386" spans="1:14" ht="15" customHeight="1" x14ac:dyDescent="0.2">
      <c r="A386" s="23" t="str">
        <f>IF(Dati!A386="","",Dati!A386)</f>
        <v/>
      </c>
      <c r="B386" s="17" t="str">
        <f>IF(Dati!B386="","",Dati!B386)</f>
        <v/>
      </c>
      <c r="C386" s="17" t="str">
        <f>IF(B386="","",IF(ISNUMBER(B385),IF(B386-B385&lt;0,B386,IF(B386-B385=0,"",B386-B385)),B386))</f>
        <v/>
      </c>
      <c r="D386" s="18" t="str">
        <f>IF(Dati!C386="","",IF(Dati!C386&gt;1,Dati!C386/100,Dati!C386))</f>
        <v/>
      </c>
      <c r="E386" s="18" t="str">
        <f>IF(Dati!D386="","",IF(Dati!D386&gt;1,Dati!D386/100,Dati!D386))</f>
        <v/>
      </c>
      <c r="F386" s="18" t="str">
        <f>IF(OR(D386="",E386=""),"",IF(OR(D386&gt;1,E386&gt;1),(E386-D386)/100,E386-D386))</f>
        <v/>
      </c>
      <c r="G386" s="17" t="str">
        <f>IF(F386="","",IF(64*F386=0,"",64*F386))</f>
        <v/>
      </c>
      <c r="H386" s="19" t="str">
        <f>IF(Dati!E386="","",Dati!E386)</f>
        <v/>
      </c>
      <c r="I386" s="19" t="str">
        <f>IFERROR(IF(OR(C386="",C386=0),"",H386/C386*100),"")</f>
        <v/>
      </c>
      <c r="J386" s="20" t="str">
        <f>IF(Dati!F386="","",Dati!F386)</f>
        <v/>
      </c>
      <c r="K386" s="19" t="str">
        <f>IF(OR(H386="",J386=""),"",IF(H386*J386=0,"",H386*J386))</f>
        <v/>
      </c>
      <c r="L386" s="19" t="str">
        <f>IF(A386="","",IFERROR(IF(SUMPRODUCT((ISNUMBER(A$2:A386))*(A$2:A386&gt;1000)*(MONTH(IF(ISNUMBER(A$2:A386),A$2:A386,1))=MONTH(A386))*(YEAR(IF(ISNUMBER(A$2:A386),A$2:A386,1))=YEAR(A386))*IF(ISNUMBER(K$2:K386),K$2:K386,0))=0,"",SUMPRODUCT((ISNUMBER(A$2:A386))*(A$2:A386&gt;1000)*(MONTH(IF(ISNUMBER(A$2:A386),A$2:A386,1))=MONTH(A386))*(YEAR(IF(ISNUMBER(A$2:A386),A$2:A386,1))=YEAR(A386))*IF(ISNUMBER(K$2:K386),K$2:K386,0))),""))</f>
        <v/>
      </c>
      <c r="M386" s="21" t="str">
        <f>IF(A386="","",IFERROR(IF(SUMIF(N$2:N386,"CASA",K$2:K386)=0,"",SUMIF(N$2:N386,"CASA",K$2:K386)),""))</f>
        <v/>
      </c>
      <c r="N386" s="17" t="str">
        <f>IF(J386="","",IF(J386=0.2,"CASA",IF(Dati!G386="","",Dati!G386)))</f>
        <v/>
      </c>
    </row>
    <row r="387" spans="1:14" ht="15" customHeight="1" x14ac:dyDescent="0.2">
      <c r="A387" s="23" t="str">
        <f>IF(Dati!A387="","",Dati!A387)</f>
        <v/>
      </c>
      <c r="B387" s="17" t="str">
        <f>IF(Dati!B387="","",Dati!B387)</f>
        <v/>
      </c>
      <c r="C387" s="17" t="str">
        <f>IF(B387="","",IF(ISNUMBER(B386),IF(B387-B386&lt;0,B387,IF(B387-B386=0,"",B387-B386)),B387))</f>
        <v/>
      </c>
      <c r="D387" s="18" t="str">
        <f>IF(Dati!C387="","",IF(Dati!C387&gt;1,Dati!C387/100,Dati!C387))</f>
        <v/>
      </c>
      <c r="E387" s="18" t="str">
        <f>IF(Dati!D387="","",IF(Dati!D387&gt;1,Dati!D387/100,Dati!D387))</f>
        <v/>
      </c>
      <c r="F387" s="18" t="str">
        <f>IF(OR(D387="",E387=""),"",IF(OR(D387&gt;1,E387&gt;1),(E387-D387)/100,E387-D387))</f>
        <v/>
      </c>
      <c r="G387" s="17" t="str">
        <f>IF(F387="","",IF(64*F387=0,"",64*F387))</f>
        <v/>
      </c>
      <c r="H387" s="19" t="str">
        <f>IF(Dati!E387="","",Dati!E387)</f>
        <v/>
      </c>
      <c r="I387" s="19" t="str">
        <f>IFERROR(IF(OR(C387="",C387=0),"",H387/C387*100),"")</f>
        <v/>
      </c>
      <c r="J387" s="20" t="str">
        <f>IF(Dati!F387="","",Dati!F387)</f>
        <v/>
      </c>
      <c r="K387" s="19" t="str">
        <f>IF(OR(H387="",J387=""),"",IF(H387*J387=0,"",H387*J387))</f>
        <v/>
      </c>
      <c r="L387" s="19" t="str">
        <f>IF(A387="","",IFERROR(IF(SUMPRODUCT((ISNUMBER(A$2:A387))*(A$2:A387&gt;1000)*(MONTH(IF(ISNUMBER(A$2:A387),A$2:A387,1))=MONTH(A387))*(YEAR(IF(ISNUMBER(A$2:A387),A$2:A387,1))=YEAR(A387))*IF(ISNUMBER(K$2:K387),K$2:K387,0))=0,"",SUMPRODUCT((ISNUMBER(A$2:A387))*(A$2:A387&gt;1000)*(MONTH(IF(ISNUMBER(A$2:A387),A$2:A387,1))=MONTH(A387))*(YEAR(IF(ISNUMBER(A$2:A387),A$2:A387,1))=YEAR(A387))*IF(ISNUMBER(K$2:K387),K$2:K387,0))),""))</f>
        <v/>
      </c>
      <c r="M387" s="21" t="str">
        <f>IF(A387="","",IFERROR(IF(SUMIF(N$2:N387,"CASA",K$2:K387)=0,"",SUMIF(N$2:N387,"CASA",K$2:K387)),""))</f>
        <v/>
      </c>
      <c r="N387" s="17" t="str">
        <f>IF(J387="","",IF(J387=0.2,"CASA",IF(Dati!G387="","",Dati!G387)))</f>
        <v/>
      </c>
    </row>
    <row r="388" spans="1:14" ht="15" customHeight="1" x14ac:dyDescent="0.2">
      <c r="A388" s="23" t="str">
        <f>IF(Dati!A388="","",Dati!A388)</f>
        <v/>
      </c>
      <c r="B388" s="17" t="str">
        <f>IF(Dati!B388="","",Dati!B388)</f>
        <v/>
      </c>
      <c r="C388" s="17" t="str">
        <f>IF(B388="","",IF(ISNUMBER(B387),IF(B388-B387&lt;0,B388,IF(B388-B387=0,"",B388-B387)),B388))</f>
        <v/>
      </c>
      <c r="D388" s="18" t="str">
        <f>IF(Dati!C388="","",IF(Dati!C388&gt;1,Dati!C388/100,Dati!C388))</f>
        <v/>
      </c>
      <c r="E388" s="18" t="str">
        <f>IF(Dati!D388="","",IF(Dati!D388&gt;1,Dati!D388/100,Dati!D388))</f>
        <v/>
      </c>
      <c r="F388" s="18" t="str">
        <f>IF(OR(D388="",E388=""),"",IF(OR(D388&gt;1,E388&gt;1),(E388-D388)/100,E388-D388))</f>
        <v/>
      </c>
      <c r="G388" s="17" t="str">
        <f>IF(F388="","",IF(64*F388=0,"",64*F388))</f>
        <v/>
      </c>
      <c r="H388" s="19" t="str">
        <f>IF(Dati!E388="","",Dati!E388)</f>
        <v/>
      </c>
      <c r="I388" s="19" t="str">
        <f>IFERROR(IF(OR(C388="",C388=0),"",H388/C388*100),"")</f>
        <v/>
      </c>
      <c r="J388" s="20" t="str">
        <f>IF(Dati!F388="","",Dati!F388)</f>
        <v/>
      </c>
      <c r="K388" s="19" t="str">
        <f>IF(OR(H388="",J388=""),"",IF(H388*J388=0,"",H388*J388))</f>
        <v/>
      </c>
      <c r="L388" s="19" t="str">
        <f>IF(A388="","",IFERROR(IF(SUMPRODUCT((ISNUMBER(A$2:A388))*(A$2:A388&gt;1000)*(MONTH(IF(ISNUMBER(A$2:A388),A$2:A388,1))=MONTH(A388))*(YEAR(IF(ISNUMBER(A$2:A388),A$2:A388,1))=YEAR(A388))*IF(ISNUMBER(K$2:K388),K$2:K388,0))=0,"",SUMPRODUCT((ISNUMBER(A$2:A388))*(A$2:A388&gt;1000)*(MONTH(IF(ISNUMBER(A$2:A388),A$2:A388,1))=MONTH(A388))*(YEAR(IF(ISNUMBER(A$2:A388),A$2:A388,1))=YEAR(A388))*IF(ISNUMBER(K$2:K388),K$2:K388,0))),""))</f>
        <v/>
      </c>
      <c r="M388" s="21" t="str">
        <f>IF(A388="","",IFERROR(IF(SUMIF(N$2:N388,"CASA",K$2:K388)=0,"",SUMIF(N$2:N388,"CASA",K$2:K388)),""))</f>
        <v/>
      </c>
      <c r="N388" s="17" t="str">
        <f>IF(J388="","",IF(J388=0.2,"CASA",IF(Dati!G388="","",Dati!G388)))</f>
        <v/>
      </c>
    </row>
    <row r="389" spans="1:14" ht="15" customHeight="1" x14ac:dyDescent="0.2">
      <c r="A389" s="23" t="str">
        <f>IF(Dati!A389="","",Dati!A389)</f>
        <v/>
      </c>
      <c r="B389" s="17" t="str">
        <f>IF(Dati!B389="","",Dati!B389)</f>
        <v/>
      </c>
      <c r="C389" s="17" t="str">
        <f>IF(B389="","",IF(ISNUMBER(B388),IF(B389-B388&lt;0,B389,IF(B389-B388=0,"",B389-B388)),B389))</f>
        <v/>
      </c>
      <c r="D389" s="18" t="str">
        <f>IF(Dati!C389="","",IF(Dati!C389&gt;1,Dati!C389/100,Dati!C389))</f>
        <v/>
      </c>
      <c r="E389" s="18" t="str">
        <f>IF(Dati!D389="","",IF(Dati!D389&gt;1,Dati!D389/100,Dati!D389))</f>
        <v/>
      </c>
      <c r="F389" s="18" t="str">
        <f>IF(OR(D389="",E389=""),"",IF(OR(D389&gt;1,E389&gt;1),(E389-D389)/100,E389-D389))</f>
        <v/>
      </c>
      <c r="G389" s="17" t="str">
        <f>IF(F389="","",IF(64*F389=0,"",64*F389))</f>
        <v/>
      </c>
      <c r="H389" s="19" t="str">
        <f>IF(Dati!E389="","",Dati!E389)</f>
        <v/>
      </c>
      <c r="I389" s="19" t="str">
        <f>IFERROR(IF(OR(C389="",C389=0),"",H389/C389*100),"")</f>
        <v/>
      </c>
      <c r="J389" s="20" t="str">
        <f>IF(Dati!F389="","",Dati!F389)</f>
        <v/>
      </c>
      <c r="K389" s="19" t="str">
        <f>IF(OR(H389="",J389=""),"",IF(H389*J389=0,"",H389*J389))</f>
        <v/>
      </c>
      <c r="L389" s="19" t="str">
        <f>IF(A389="","",IFERROR(IF(SUMPRODUCT((ISNUMBER(A$2:A389))*(A$2:A389&gt;1000)*(MONTH(IF(ISNUMBER(A$2:A389),A$2:A389,1))=MONTH(A389))*(YEAR(IF(ISNUMBER(A$2:A389),A$2:A389,1))=YEAR(A389))*IF(ISNUMBER(K$2:K389),K$2:K389,0))=0,"",SUMPRODUCT((ISNUMBER(A$2:A389))*(A$2:A389&gt;1000)*(MONTH(IF(ISNUMBER(A$2:A389),A$2:A389,1))=MONTH(A389))*(YEAR(IF(ISNUMBER(A$2:A389),A$2:A389,1))=YEAR(A389))*IF(ISNUMBER(K$2:K389),K$2:K389,0))),""))</f>
        <v/>
      </c>
      <c r="M389" s="21" t="str">
        <f>IF(A389="","",IFERROR(IF(SUMIF(N$2:N389,"CASA",K$2:K389)=0,"",SUMIF(N$2:N389,"CASA",K$2:K389)),""))</f>
        <v/>
      </c>
      <c r="N389" s="17" t="str">
        <f>IF(J389="","",IF(J389=0.2,"CASA",IF(Dati!G389="","",Dati!G389)))</f>
        <v/>
      </c>
    </row>
    <row r="390" spans="1:14" ht="15" customHeight="1" x14ac:dyDescent="0.2">
      <c r="A390" s="23" t="str">
        <f>IF(Dati!A390="","",Dati!A390)</f>
        <v/>
      </c>
      <c r="B390" s="17" t="str">
        <f>IF(Dati!B390="","",Dati!B390)</f>
        <v/>
      </c>
      <c r="C390" s="17" t="str">
        <f>IF(B390="","",IF(ISNUMBER(B389),IF(B390-B389&lt;0,B390,IF(B390-B389=0,"",B390-B389)),B390))</f>
        <v/>
      </c>
      <c r="D390" s="18" t="str">
        <f>IF(Dati!C390="","",IF(Dati!C390&gt;1,Dati!C390/100,Dati!C390))</f>
        <v/>
      </c>
      <c r="E390" s="18" t="str">
        <f>IF(Dati!D390="","",IF(Dati!D390&gt;1,Dati!D390/100,Dati!D390))</f>
        <v/>
      </c>
      <c r="F390" s="18" t="str">
        <f>IF(OR(D390="",E390=""),"",IF(OR(D390&gt;1,E390&gt;1),(E390-D390)/100,E390-D390))</f>
        <v/>
      </c>
      <c r="G390" s="17" t="str">
        <f>IF(F390="","",IF(64*F390=0,"",64*F390))</f>
        <v/>
      </c>
      <c r="H390" s="19" t="str">
        <f>IF(Dati!E390="","",Dati!E390)</f>
        <v/>
      </c>
      <c r="I390" s="19" t="str">
        <f>IFERROR(IF(OR(C390="",C390=0),"",H390/C390*100),"")</f>
        <v/>
      </c>
      <c r="J390" s="20" t="str">
        <f>IF(Dati!F390="","",Dati!F390)</f>
        <v/>
      </c>
      <c r="K390" s="19" t="str">
        <f>IF(OR(H390="",J390=""),"",IF(H390*J390=0,"",H390*J390))</f>
        <v/>
      </c>
      <c r="L390" s="19" t="str">
        <f>IF(A390="","",IFERROR(IF(SUMPRODUCT((ISNUMBER(A$2:A390))*(A$2:A390&gt;1000)*(MONTH(IF(ISNUMBER(A$2:A390),A$2:A390,1))=MONTH(A390))*(YEAR(IF(ISNUMBER(A$2:A390),A$2:A390,1))=YEAR(A390))*IF(ISNUMBER(K$2:K390),K$2:K390,0))=0,"",SUMPRODUCT((ISNUMBER(A$2:A390))*(A$2:A390&gt;1000)*(MONTH(IF(ISNUMBER(A$2:A390),A$2:A390,1))=MONTH(A390))*(YEAR(IF(ISNUMBER(A$2:A390),A$2:A390,1))=YEAR(A390))*IF(ISNUMBER(K$2:K390),K$2:K390,0))),""))</f>
        <v/>
      </c>
      <c r="M390" s="21" t="str">
        <f>IF(A390="","",IFERROR(IF(SUMIF(N$2:N390,"CASA",K$2:K390)=0,"",SUMIF(N$2:N390,"CASA",K$2:K390)),""))</f>
        <v/>
      </c>
      <c r="N390" s="17" t="str">
        <f>IF(J390="","",IF(J390=0.2,"CASA",IF(Dati!G390="","",Dati!G390)))</f>
        <v/>
      </c>
    </row>
    <row r="391" spans="1:14" ht="15" customHeight="1" x14ac:dyDescent="0.2">
      <c r="A391" s="23" t="str">
        <f>IF(Dati!A391="","",Dati!A391)</f>
        <v/>
      </c>
      <c r="B391" s="17" t="str">
        <f>IF(Dati!B391="","",Dati!B391)</f>
        <v/>
      </c>
      <c r="C391" s="17" t="str">
        <f>IF(B391="","",IF(ISNUMBER(B390),IF(B391-B390&lt;0,B391,IF(B391-B390=0,"",B391-B390)),B391))</f>
        <v/>
      </c>
      <c r="D391" s="18" t="str">
        <f>IF(Dati!C391="","",IF(Dati!C391&gt;1,Dati!C391/100,Dati!C391))</f>
        <v/>
      </c>
      <c r="E391" s="18" t="str">
        <f>IF(Dati!D391="","",IF(Dati!D391&gt;1,Dati!D391/100,Dati!D391))</f>
        <v/>
      </c>
      <c r="F391" s="18" t="str">
        <f>IF(OR(D391="",E391=""),"",IF(OR(D391&gt;1,E391&gt;1),(E391-D391)/100,E391-D391))</f>
        <v/>
      </c>
      <c r="G391" s="17" t="str">
        <f>IF(F391="","",IF(64*F391=0,"",64*F391))</f>
        <v/>
      </c>
      <c r="H391" s="19" t="str">
        <f>IF(Dati!E391="","",Dati!E391)</f>
        <v/>
      </c>
      <c r="I391" s="19" t="str">
        <f>IFERROR(IF(OR(C391="",C391=0),"",H391/C391*100),"")</f>
        <v/>
      </c>
      <c r="J391" s="20" t="str">
        <f>IF(Dati!F391="","",Dati!F391)</f>
        <v/>
      </c>
      <c r="K391" s="19" t="str">
        <f>IF(OR(H391="",J391=""),"",IF(H391*J391=0,"",H391*J391))</f>
        <v/>
      </c>
      <c r="L391" s="19" t="str">
        <f>IF(A391="","",IFERROR(IF(SUMPRODUCT((ISNUMBER(A$2:A391))*(A$2:A391&gt;1000)*(MONTH(IF(ISNUMBER(A$2:A391),A$2:A391,1))=MONTH(A391))*(YEAR(IF(ISNUMBER(A$2:A391),A$2:A391,1))=YEAR(A391))*IF(ISNUMBER(K$2:K391),K$2:K391,0))=0,"",SUMPRODUCT((ISNUMBER(A$2:A391))*(A$2:A391&gt;1000)*(MONTH(IF(ISNUMBER(A$2:A391),A$2:A391,1))=MONTH(A391))*(YEAR(IF(ISNUMBER(A$2:A391),A$2:A391,1))=YEAR(A391))*IF(ISNUMBER(K$2:K391),K$2:K391,0))),""))</f>
        <v/>
      </c>
      <c r="M391" s="21" t="str">
        <f>IF(A391="","",IFERROR(IF(SUMIF(N$2:N391,"CASA",K$2:K391)=0,"",SUMIF(N$2:N391,"CASA",K$2:K391)),""))</f>
        <v/>
      </c>
      <c r="N391" s="17" t="str">
        <f>IF(J391="","",IF(J391=0.2,"CASA",IF(Dati!G391="","",Dati!G391)))</f>
        <v/>
      </c>
    </row>
    <row r="392" spans="1:14" ht="15" customHeight="1" x14ac:dyDescent="0.2">
      <c r="A392" s="23" t="str">
        <f>IF(Dati!A392="","",Dati!A392)</f>
        <v/>
      </c>
      <c r="B392" s="17" t="str">
        <f>IF(Dati!B392="","",Dati!B392)</f>
        <v/>
      </c>
      <c r="C392" s="17" t="str">
        <f>IF(B392="","",IF(ISNUMBER(B391),IF(B392-B391&lt;0,B392,IF(B392-B391=0,"",B392-B391)),B392))</f>
        <v/>
      </c>
      <c r="D392" s="18" t="str">
        <f>IF(Dati!C392="","",IF(Dati!C392&gt;1,Dati!C392/100,Dati!C392))</f>
        <v/>
      </c>
      <c r="E392" s="18" t="str">
        <f>IF(Dati!D392="","",IF(Dati!D392&gt;1,Dati!D392/100,Dati!D392))</f>
        <v/>
      </c>
      <c r="F392" s="18" t="str">
        <f>IF(OR(D392="",E392=""),"",IF(OR(D392&gt;1,E392&gt;1),(E392-D392)/100,E392-D392))</f>
        <v/>
      </c>
      <c r="G392" s="17" t="str">
        <f>IF(F392="","",IF(64*F392=0,"",64*F392))</f>
        <v/>
      </c>
      <c r="H392" s="19" t="str">
        <f>IF(Dati!E392="","",Dati!E392)</f>
        <v/>
      </c>
      <c r="I392" s="19" t="str">
        <f>IFERROR(IF(OR(C392="",C392=0),"",H392/C392*100),"")</f>
        <v/>
      </c>
      <c r="J392" s="20" t="str">
        <f>IF(Dati!F392="","",Dati!F392)</f>
        <v/>
      </c>
      <c r="K392" s="19" t="str">
        <f>IF(OR(H392="",J392=""),"",IF(H392*J392=0,"",H392*J392))</f>
        <v/>
      </c>
      <c r="L392" s="19" t="str">
        <f>IF(A392="","",IFERROR(IF(SUMPRODUCT((ISNUMBER(A$2:A392))*(A$2:A392&gt;1000)*(MONTH(IF(ISNUMBER(A$2:A392),A$2:A392,1))=MONTH(A392))*(YEAR(IF(ISNUMBER(A$2:A392),A$2:A392,1))=YEAR(A392))*IF(ISNUMBER(K$2:K392),K$2:K392,0))=0,"",SUMPRODUCT((ISNUMBER(A$2:A392))*(A$2:A392&gt;1000)*(MONTH(IF(ISNUMBER(A$2:A392),A$2:A392,1))=MONTH(A392))*(YEAR(IF(ISNUMBER(A$2:A392),A$2:A392,1))=YEAR(A392))*IF(ISNUMBER(K$2:K392),K$2:K392,0))),""))</f>
        <v/>
      </c>
      <c r="M392" s="21" t="str">
        <f>IF(A392="","",IFERROR(IF(SUMIF(N$2:N392,"CASA",K$2:K392)=0,"",SUMIF(N$2:N392,"CASA",K$2:K392)),""))</f>
        <v/>
      </c>
      <c r="N392" s="17" t="str">
        <f>IF(J392="","",IF(J392=0.2,"CASA",IF(Dati!G392="","",Dati!G392)))</f>
        <v/>
      </c>
    </row>
    <row r="393" spans="1:14" ht="15" customHeight="1" x14ac:dyDescent="0.2">
      <c r="A393" s="23" t="str">
        <f>IF(Dati!A393="","",Dati!A393)</f>
        <v/>
      </c>
      <c r="B393" s="17" t="str">
        <f>IF(Dati!B393="","",Dati!B393)</f>
        <v/>
      </c>
      <c r="C393" s="17" t="str">
        <f>IF(B393="","",IF(ISNUMBER(B392),IF(B393-B392&lt;0,B393,IF(B393-B392=0,"",B393-B392)),B393))</f>
        <v/>
      </c>
      <c r="D393" s="18" t="str">
        <f>IF(Dati!C393="","",IF(Dati!C393&gt;1,Dati!C393/100,Dati!C393))</f>
        <v/>
      </c>
      <c r="E393" s="18" t="str">
        <f>IF(Dati!D393="","",IF(Dati!D393&gt;1,Dati!D393/100,Dati!D393))</f>
        <v/>
      </c>
      <c r="F393" s="18" t="str">
        <f>IF(OR(D393="",E393=""),"",IF(OR(D393&gt;1,E393&gt;1),(E393-D393)/100,E393-D393))</f>
        <v/>
      </c>
      <c r="G393" s="17" t="str">
        <f>IF(F393="","",IF(64*F393=0,"",64*F393))</f>
        <v/>
      </c>
      <c r="H393" s="19" t="str">
        <f>IF(Dati!E393="","",Dati!E393)</f>
        <v/>
      </c>
      <c r="I393" s="19" t="str">
        <f>IFERROR(IF(OR(C393="",C393=0),"",H393/C393*100),"")</f>
        <v/>
      </c>
      <c r="J393" s="20" t="str">
        <f>IF(Dati!F393="","",Dati!F393)</f>
        <v/>
      </c>
      <c r="K393" s="19" t="str">
        <f>IF(OR(H393="",J393=""),"",IF(H393*J393=0,"",H393*J393))</f>
        <v/>
      </c>
      <c r="L393" s="19" t="str">
        <f>IF(A393="","",IFERROR(IF(SUMPRODUCT((ISNUMBER(A$2:A393))*(A$2:A393&gt;1000)*(MONTH(IF(ISNUMBER(A$2:A393),A$2:A393,1))=MONTH(A393))*(YEAR(IF(ISNUMBER(A$2:A393),A$2:A393,1))=YEAR(A393))*IF(ISNUMBER(K$2:K393),K$2:K393,0))=0,"",SUMPRODUCT((ISNUMBER(A$2:A393))*(A$2:A393&gt;1000)*(MONTH(IF(ISNUMBER(A$2:A393),A$2:A393,1))=MONTH(A393))*(YEAR(IF(ISNUMBER(A$2:A393),A$2:A393,1))=YEAR(A393))*IF(ISNUMBER(K$2:K393),K$2:K393,0))),""))</f>
        <v/>
      </c>
      <c r="M393" s="21" t="str">
        <f>IF(A393="","",IFERROR(IF(SUMIF(N$2:N393,"CASA",K$2:K393)=0,"",SUMIF(N$2:N393,"CASA",K$2:K393)),""))</f>
        <v/>
      </c>
      <c r="N393" s="17" t="str">
        <f>IF(J393="","",IF(J393=0.2,"CASA",IF(Dati!G393="","",Dati!G393)))</f>
        <v/>
      </c>
    </row>
    <row r="394" spans="1:14" ht="15" customHeight="1" x14ac:dyDescent="0.2">
      <c r="A394" s="23" t="str">
        <f>IF(Dati!A394="","",Dati!A394)</f>
        <v/>
      </c>
      <c r="B394" s="17" t="str">
        <f>IF(Dati!B394="","",Dati!B394)</f>
        <v/>
      </c>
      <c r="C394" s="17" t="str">
        <f>IF(B394="","",IF(ISNUMBER(B393),IF(B394-B393&lt;0,B394,IF(B394-B393=0,"",B394-B393)),B394))</f>
        <v/>
      </c>
      <c r="D394" s="18" t="str">
        <f>IF(Dati!C394="","",IF(Dati!C394&gt;1,Dati!C394/100,Dati!C394))</f>
        <v/>
      </c>
      <c r="E394" s="18" t="str">
        <f>IF(Dati!D394="","",IF(Dati!D394&gt;1,Dati!D394/100,Dati!D394))</f>
        <v/>
      </c>
      <c r="F394" s="18" t="str">
        <f>IF(OR(D394="",E394=""),"",IF(OR(D394&gt;1,E394&gt;1),(E394-D394)/100,E394-D394))</f>
        <v/>
      </c>
      <c r="G394" s="17" t="str">
        <f>IF(F394="","",IF(64*F394=0,"",64*F394))</f>
        <v/>
      </c>
      <c r="H394" s="19" t="str">
        <f>IF(Dati!E394="","",Dati!E394)</f>
        <v/>
      </c>
      <c r="I394" s="19" t="str">
        <f>IFERROR(IF(OR(C394="",C394=0),"",H394/C394*100),"")</f>
        <v/>
      </c>
      <c r="J394" s="20" t="str">
        <f>IF(Dati!F394="","",Dati!F394)</f>
        <v/>
      </c>
      <c r="K394" s="19" t="str">
        <f>IF(OR(H394="",J394=""),"",IF(H394*J394=0,"",H394*J394))</f>
        <v/>
      </c>
      <c r="L394" s="19" t="str">
        <f>IF(A394="","",IFERROR(IF(SUMPRODUCT((ISNUMBER(A$2:A394))*(A$2:A394&gt;1000)*(MONTH(IF(ISNUMBER(A$2:A394),A$2:A394,1))=MONTH(A394))*(YEAR(IF(ISNUMBER(A$2:A394),A$2:A394,1))=YEAR(A394))*IF(ISNUMBER(K$2:K394),K$2:K394,0))=0,"",SUMPRODUCT((ISNUMBER(A$2:A394))*(A$2:A394&gt;1000)*(MONTH(IF(ISNUMBER(A$2:A394),A$2:A394,1))=MONTH(A394))*(YEAR(IF(ISNUMBER(A$2:A394),A$2:A394,1))=YEAR(A394))*IF(ISNUMBER(K$2:K394),K$2:K394,0))),""))</f>
        <v/>
      </c>
      <c r="M394" s="21" t="str">
        <f>IF(A394="","",IFERROR(IF(SUMIF(N$2:N394,"CASA",K$2:K394)=0,"",SUMIF(N$2:N394,"CASA",K$2:K394)),""))</f>
        <v/>
      </c>
      <c r="N394" s="17" t="str">
        <f>IF(J394="","",IF(J394=0.2,"CASA",IF(Dati!G394="","",Dati!G394)))</f>
        <v/>
      </c>
    </row>
    <row r="395" spans="1:14" ht="15" customHeight="1" x14ac:dyDescent="0.2">
      <c r="A395" s="23" t="str">
        <f>IF(Dati!A395="","",Dati!A395)</f>
        <v/>
      </c>
      <c r="B395" s="17" t="str">
        <f>IF(Dati!B395="","",Dati!B395)</f>
        <v/>
      </c>
      <c r="C395" s="17" t="str">
        <f>IF(B395="","",IF(ISNUMBER(B394),IF(B395-B394&lt;0,B395,IF(B395-B394=0,"",B395-B394)),B395))</f>
        <v/>
      </c>
      <c r="D395" s="18" t="str">
        <f>IF(Dati!C395="","",IF(Dati!C395&gt;1,Dati!C395/100,Dati!C395))</f>
        <v/>
      </c>
      <c r="E395" s="18" t="str">
        <f>IF(Dati!D395="","",IF(Dati!D395&gt;1,Dati!D395/100,Dati!D395))</f>
        <v/>
      </c>
      <c r="F395" s="18" t="str">
        <f>IF(OR(D395="",E395=""),"",IF(OR(D395&gt;1,E395&gt;1),(E395-D395)/100,E395-D395))</f>
        <v/>
      </c>
      <c r="G395" s="17" t="str">
        <f>IF(F395="","",IF(64*F395=0,"",64*F395))</f>
        <v/>
      </c>
      <c r="H395" s="19" t="str">
        <f>IF(Dati!E395="","",Dati!E395)</f>
        <v/>
      </c>
      <c r="I395" s="19" t="str">
        <f>IFERROR(IF(OR(C395="",C395=0),"",H395/C395*100),"")</f>
        <v/>
      </c>
      <c r="J395" s="20" t="str">
        <f>IF(Dati!F395="","",Dati!F395)</f>
        <v/>
      </c>
      <c r="K395" s="19" t="str">
        <f>IF(OR(H395="",J395=""),"",IF(H395*J395=0,"",H395*J395))</f>
        <v/>
      </c>
      <c r="L395" s="19" t="str">
        <f>IF(A395="","",IFERROR(IF(SUMPRODUCT((ISNUMBER(A$2:A395))*(A$2:A395&gt;1000)*(MONTH(IF(ISNUMBER(A$2:A395),A$2:A395,1))=MONTH(A395))*(YEAR(IF(ISNUMBER(A$2:A395),A$2:A395,1))=YEAR(A395))*IF(ISNUMBER(K$2:K395),K$2:K395,0))=0,"",SUMPRODUCT((ISNUMBER(A$2:A395))*(A$2:A395&gt;1000)*(MONTH(IF(ISNUMBER(A$2:A395),A$2:A395,1))=MONTH(A395))*(YEAR(IF(ISNUMBER(A$2:A395),A$2:A395,1))=YEAR(A395))*IF(ISNUMBER(K$2:K395),K$2:K395,0))),""))</f>
        <v/>
      </c>
      <c r="M395" s="21" t="str">
        <f>IF(A395="","",IFERROR(IF(SUMIF(N$2:N395,"CASA",K$2:K395)=0,"",SUMIF(N$2:N395,"CASA",K$2:K395)),""))</f>
        <v/>
      </c>
      <c r="N395" s="17" t="str">
        <f>IF(J395="","",IF(J395=0.2,"CASA",IF(Dati!G395="","",Dati!G395)))</f>
        <v/>
      </c>
    </row>
    <row r="396" spans="1:14" ht="15" customHeight="1" x14ac:dyDescent="0.2">
      <c r="A396" s="23" t="str">
        <f>IF(Dati!A396="","",Dati!A396)</f>
        <v/>
      </c>
      <c r="B396" s="17" t="str">
        <f>IF(Dati!B396="","",Dati!B396)</f>
        <v/>
      </c>
      <c r="C396" s="17" t="str">
        <f>IF(B396="","",IF(ISNUMBER(B395),IF(B396-B395&lt;0,B396,IF(B396-B395=0,"",B396-B395)),B396))</f>
        <v/>
      </c>
      <c r="D396" s="18" t="str">
        <f>IF(Dati!C396="","",IF(Dati!C396&gt;1,Dati!C396/100,Dati!C396))</f>
        <v/>
      </c>
      <c r="E396" s="18" t="str">
        <f>IF(Dati!D396="","",IF(Dati!D396&gt;1,Dati!D396/100,Dati!D396))</f>
        <v/>
      </c>
      <c r="F396" s="18" t="str">
        <f>IF(OR(D396="",E396=""),"",IF(OR(D396&gt;1,E396&gt;1),(E396-D396)/100,E396-D396))</f>
        <v/>
      </c>
      <c r="G396" s="17" t="str">
        <f>IF(F396="","",IF(64*F396=0,"",64*F396))</f>
        <v/>
      </c>
      <c r="H396" s="19" t="str">
        <f>IF(Dati!E396="","",Dati!E396)</f>
        <v/>
      </c>
      <c r="I396" s="19" t="str">
        <f>IFERROR(IF(OR(C396="",C396=0),"",H396/C396*100),"")</f>
        <v/>
      </c>
      <c r="J396" s="20" t="str">
        <f>IF(Dati!F396="","",Dati!F396)</f>
        <v/>
      </c>
      <c r="K396" s="19" t="str">
        <f>IF(OR(H396="",J396=""),"",IF(H396*J396=0,"",H396*J396))</f>
        <v/>
      </c>
      <c r="L396" s="19" t="str">
        <f>IF(A396="","",IFERROR(IF(SUMPRODUCT((ISNUMBER(A$2:A396))*(A$2:A396&gt;1000)*(MONTH(IF(ISNUMBER(A$2:A396),A$2:A396,1))=MONTH(A396))*(YEAR(IF(ISNUMBER(A$2:A396),A$2:A396,1))=YEAR(A396))*IF(ISNUMBER(K$2:K396),K$2:K396,0))=0,"",SUMPRODUCT((ISNUMBER(A$2:A396))*(A$2:A396&gt;1000)*(MONTH(IF(ISNUMBER(A$2:A396),A$2:A396,1))=MONTH(A396))*(YEAR(IF(ISNUMBER(A$2:A396),A$2:A396,1))=YEAR(A396))*IF(ISNUMBER(K$2:K396),K$2:K396,0))),""))</f>
        <v/>
      </c>
      <c r="M396" s="21" t="str">
        <f>IF(A396="","",IFERROR(IF(SUMIF(N$2:N396,"CASA",K$2:K396)=0,"",SUMIF(N$2:N396,"CASA",K$2:K396)),""))</f>
        <v/>
      </c>
      <c r="N396" s="17" t="str">
        <f>IF(J396="","",IF(J396=0.2,"CASA",IF(Dati!G396="","",Dati!G396)))</f>
        <v/>
      </c>
    </row>
    <row r="397" spans="1:14" ht="15" customHeight="1" x14ac:dyDescent="0.2">
      <c r="A397" s="23" t="str">
        <f>IF(Dati!A397="","",Dati!A397)</f>
        <v/>
      </c>
      <c r="B397" s="17" t="str">
        <f>IF(Dati!B397="","",Dati!B397)</f>
        <v/>
      </c>
      <c r="C397" s="17" t="str">
        <f>IF(B397="","",IF(ISNUMBER(B396),IF(B397-B396&lt;0,B397,IF(B397-B396=0,"",B397-B396)),B397))</f>
        <v/>
      </c>
      <c r="D397" s="18" t="str">
        <f>IF(Dati!C397="","",IF(Dati!C397&gt;1,Dati!C397/100,Dati!C397))</f>
        <v/>
      </c>
      <c r="E397" s="18" t="str">
        <f>IF(Dati!D397="","",IF(Dati!D397&gt;1,Dati!D397/100,Dati!D397))</f>
        <v/>
      </c>
      <c r="F397" s="18" t="str">
        <f>IF(OR(D397="",E397=""),"",IF(OR(D397&gt;1,E397&gt;1),(E397-D397)/100,E397-D397))</f>
        <v/>
      </c>
      <c r="G397" s="17" t="str">
        <f>IF(F397="","",IF(64*F397=0,"",64*F397))</f>
        <v/>
      </c>
      <c r="H397" s="19" t="str">
        <f>IF(Dati!E397="","",Dati!E397)</f>
        <v/>
      </c>
      <c r="I397" s="19" t="str">
        <f>IFERROR(IF(OR(C397="",C397=0),"",H397/C397*100),"")</f>
        <v/>
      </c>
      <c r="J397" s="20" t="str">
        <f>IF(Dati!F397="","",Dati!F397)</f>
        <v/>
      </c>
      <c r="K397" s="19" t="str">
        <f>IF(OR(H397="",J397=""),"",IF(H397*J397=0,"",H397*J397))</f>
        <v/>
      </c>
      <c r="L397" s="19" t="str">
        <f>IF(A397="","",IFERROR(IF(SUMPRODUCT((ISNUMBER(A$2:A397))*(A$2:A397&gt;1000)*(MONTH(IF(ISNUMBER(A$2:A397),A$2:A397,1))=MONTH(A397))*(YEAR(IF(ISNUMBER(A$2:A397),A$2:A397,1))=YEAR(A397))*IF(ISNUMBER(K$2:K397),K$2:K397,0))=0,"",SUMPRODUCT((ISNUMBER(A$2:A397))*(A$2:A397&gt;1000)*(MONTH(IF(ISNUMBER(A$2:A397),A$2:A397,1))=MONTH(A397))*(YEAR(IF(ISNUMBER(A$2:A397),A$2:A397,1))=YEAR(A397))*IF(ISNUMBER(K$2:K397),K$2:K397,0))),""))</f>
        <v/>
      </c>
      <c r="M397" s="21" t="str">
        <f>IF(A397="","",IFERROR(IF(SUMIF(N$2:N397,"CASA",K$2:K397)=0,"",SUMIF(N$2:N397,"CASA",K$2:K397)),""))</f>
        <v/>
      </c>
      <c r="N397" s="17" t="str">
        <f>IF(J397="","",IF(J397=0.2,"CASA",IF(Dati!G397="","",Dati!G397)))</f>
        <v/>
      </c>
    </row>
    <row r="398" spans="1:14" ht="15" customHeight="1" x14ac:dyDescent="0.2">
      <c r="A398" s="23" t="str">
        <f>IF(Dati!A398="","",Dati!A398)</f>
        <v/>
      </c>
      <c r="B398" s="17" t="str">
        <f>IF(Dati!B398="","",Dati!B398)</f>
        <v/>
      </c>
      <c r="C398" s="17" t="str">
        <f>IF(B398="","",IF(ISNUMBER(B397),IF(B398-B397&lt;0,B398,IF(B398-B397=0,"",B398-B397)),B398))</f>
        <v/>
      </c>
      <c r="D398" s="18" t="str">
        <f>IF(Dati!C398="","",IF(Dati!C398&gt;1,Dati!C398/100,Dati!C398))</f>
        <v/>
      </c>
      <c r="E398" s="18" t="str">
        <f>IF(Dati!D398="","",IF(Dati!D398&gt;1,Dati!D398/100,Dati!D398))</f>
        <v/>
      </c>
      <c r="F398" s="18" t="str">
        <f>IF(OR(D398="",E398=""),"",IF(OR(D398&gt;1,E398&gt;1),(E398-D398)/100,E398-D398))</f>
        <v/>
      </c>
      <c r="G398" s="17" t="str">
        <f>IF(F398="","",IF(64*F398=0,"",64*F398))</f>
        <v/>
      </c>
      <c r="H398" s="19" t="str">
        <f>IF(Dati!E398="","",Dati!E398)</f>
        <v/>
      </c>
      <c r="I398" s="19" t="str">
        <f>IFERROR(IF(OR(C398="",C398=0),"",H398/C398*100),"")</f>
        <v/>
      </c>
      <c r="J398" s="20" t="str">
        <f>IF(Dati!F398="","",Dati!F398)</f>
        <v/>
      </c>
      <c r="K398" s="19" t="str">
        <f>IF(OR(H398="",J398=""),"",IF(H398*J398=0,"",H398*J398))</f>
        <v/>
      </c>
      <c r="L398" s="19" t="str">
        <f>IF(A398="","",IFERROR(IF(SUMPRODUCT((ISNUMBER(A$2:A398))*(A$2:A398&gt;1000)*(MONTH(IF(ISNUMBER(A$2:A398),A$2:A398,1))=MONTH(A398))*(YEAR(IF(ISNUMBER(A$2:A398),A$2:A398,1))=YEAR(A398))*IF(ISNUMBER(K$2:K398),K$2:K398,0))=0,"",SUMPRODUCT((ISNUMBER(A$2:A398))*(A$2:A398&gt;1000)*(MONTH(IF(ISNUMBER(A$2:A398),A$2:A398,1))=MONTH(A398))*(YEAR(IF(ISNUMBER(A$2:A398),A$2:A398,1))=YEAR(A398))*IF(ISNUMBER(K$2:K398),K$2:K398,0))),""))</f>
        <v/>
      </c>
      <c r="M398" s="21" t="str">
        <f>IF(A398="","",IFERROR(IF(SUMIF(N$2:N398,"CASA",K$2:K398)=0,"",SUMIF(N$2:N398,"CASA",K$2:K398)),""))</f>
        <v/>
      </c>
      <c r="N398" s="17" t="str">
        <f>IF(J398="","",IF(J398=0.2,"CASA",IF(Dati!G398="","",Dati!G398)))</f>
        <v/>
      </c>
    </row>
    <row r="399" spans="1:14" ht="15" customHeight="1" x14ac:dyDescent="0.2">
      <c r="A399" s="23" t="str">
        <f>IF(Dati!A399="","",Dati!A399)</f>
        <v/>
      </c>
      <c r="B399" s="17" t="str">
        <f>IF(Dati!B399="","",Dati!B399)</f>
        <v/>
      </c>
      <c r="C399" s="17" t="str">
        <f>IF(B399="","",IF(ISNUMBER(B398),IF(B399-B398&lt;0,B399,IF(B399-B398=0,"",B399-B398)),B399))</f>
        <v/>
      </c>
      <c r="D399" s="18" t="str">
        <f>IF(Dati!C399="","",IF(Dati!C399&gt;1,Dati!C399/100,Dati!C399))</f>
        <v/>
      </c>
      <c r="E399" s="18" t="str">
        <f>IF(Dati!D399="","",IF(Dati!D399&gt;1,Dati!D399/100,Dati!D399))</f>
        <v/>
      </c>
      <c r="F399" s="18" t="str">
        <f>IF(OR(D399="",E399=""),"",IF(OR(D399&gt;1,E399&gt;1),(E399-D399)/100,E399-D399))</f>
        <v/>
      </c>
      <c r="G399" s="17" t="str">
        <f>IF(F399="","",IF(64*F399=0,"",64*F399))</f>
        <v/>
      </c>
      <c r="H399" s="19" t="str">
        <f>IF(Dati!E399="","",Dati!E399)</f>
        <v/>
      </c>
      <c r="I399" s="19" t="str">
        <f>IFERROR(IF(OR(C399="",C399=0),"",H399/C399*100),"")</f>
        <v/>
      </c>
      <c r="J399" s="20" t="str">
        <f>IF(Dati!F399="","",Dati!F399)</f>
        <v/>
      </c>
      <c r="K399" s="19" t="str">
        <f>IF(OR(H399="",J399=""),"",IF(H399*J399=0,"",H399*J399))</f>
        <v/>
      </c>
      <c r="L399" s="19" t="str">
        <f>IF(A399="","",IFERROR(IF(SUMPRODUCT((ISNUMBER(A$2:A399))*(A$2:A399&gt;1000)*(MONTH(IF(ISNUMBER(A$2:A399),A$2:A399,1))=MONTH(A399))*(YEAR(IF(ISNUMBER(A$2:A399),A$2:A399,1))=YEAR(A399))*IF(ISNUMBER(K$2:K399),K$2:K399,0))=0,"",SUMPRODUCT((ISNUMBER(A$2:A399))*(A$2:A399&gt;1000)*(MONTH(IF(ISNUMBER(A$2:A399),A$2:A399,1))=MONTH(A399))*(YEAR(IF(ISNUMBER(A$2:A399),A$2:A399,1))=YEAR(A399))*IF(ISNUMBER(K$2:K399),K$2:K399,0))),""))</f>
        <v/>
      </c>
      <c r="M399" s="21" t="str">
        <f>IF(A399="","",IFERROR(IF(SUMIF(N$2:N399,"CASA",K$2:K399)=0,"",SUMIF(N$2:N399,"CASA",K$2:K399)),""))</f>
        <v/>
      </c>
      <c r="N399" s="17" t="str">
        <f>IF(J399="","",IF(J399=0.2,"CASA",IF(Dati!G399="","",Dati!G399)))</f>
        <v/>
      </c>
    </row>
    <row r="400" spans="1:14" ht="15" customHeight="1" x14ac:dyDescent="0.2">
      <c r="A400" s="23" t="str">
        <f>IF(Dati!A400="","",Dati!A400)</f>
        <v/>
      </c>
      <c r="B400" s="17" t="str">
        <f>IF(Dati!B400="","",Dati!B400)</f>
        <v/>
      </c>
      <c r="C400" s="17" t="str">
        <f>IF(B400="","",IF(ISNUMBER(B399),IF(B400-B399&lt;0,B400,IF(B400-B399=0,"",B400-B399)),B400))</f>
        <v/>
      </c>
      <c r="D400" s="18" t="str">
        <f>IF(Dati!C400="","",IF(Dati!C400&gt;1,Dati!C400/100,Dati!C400))</f>
        <v/>
      </c>
      <c r="E400" s="18" t="str">
        <f>IF(Dati!D400="","",IF(Dati!D400&gt;1,Dati!D400/100,Dati!D400))</f>
        <v/>
      </c>
      <c r="F400" s="18" t="str">
        <f>IF(OR(D400="",E400=""),"",IF(OR(D400&gt;1,E400&gt;1),(E400-D400)/100,E400-D400))</f>
        <v/>
      </c>
      <c r="G400" s="17" t="str">
        <f>IF(F400="","",IF(64*F400=0,"",64*F400))</f>
        <v/>
      </c>
      <c r="H400" s="19" t="str">
        <f>IF(Dati!E400="","",Dati!E400)</f>
        <v/>
      </c>
      <c r="I400" s="19" t="str">
        <f>IFERROR(IF(OR(C400="",C400=0),"",H400/C400*100),"")</f>
        <v/>
      </c>
      <c r="J400" s="20" t="str">
        <f>IF(Dati!F400="","",Dati!F400)</f>
        <v/>
      </c>
      <c r="K400" s="19" t="str">
        <f>IF(OR(H400="",J400=""),"",IF(H400*J400=0,"",H400*J400))</f>
        <v/>
      </c>
      <c r="L400" s="19" t="str">
        <f>IF(A400="","",IFERROR(IF(SUMPRODUCT((ISNUMBER(A$2:A400))*(A$2:A400&gt;1000)*(MONTH(IF(ISNUMBER(A$2:A400),A$2:A400,1))=MONTH(A400))*(YEAR(IF(ISNUMBER(A$2:A400),A$2:A400,1))=YEAR(A400))*IF(ISNUMBER(K$2:K400),K$2:K400,0))=0,"",SUMPRODUCT((ISNUMBER(A$2:A400))*(A$2:A400&gt;1000)*(MONTH(IF(ISNUMBER(A$2:A400),A$2:A400,1))=MONTH(A400))*(YEAR(IF(ISNUMBER(A$2:A400),A$2:A400,1))=YEAR(A400))*IF(ISNUMBER(K$2:K400),K$2:K400,0))),""))</f>
        <v/>
      </c>
      <c r="M400" s="21" t="str">
        <f>IF(A400="","",IFERROR(IF(SUMIF(N$2:N400,"CASA",K$2:K400)=0,"",SUMIF(N$2:N400,"CASA",K$2:K400)),""))</f>
        <v/>
      </c>
      <c r="N400" s="17" t="str">
        <f>IF(J400="","",IF(J400=0.2,"CASA",IF(Dati!G400="","",Dati!G400)))</f>
        <v/>
      </c>
    </row>
    <row r="401" spans="1:14" ht="15" customHeight="1" x14ac:dyDescent="0.2">
      <c r="A401" s="23" t="str">
        <f>IF(Dati!A401="","",Dati!A401)</f>
        <v/>
      </c>
      <c r="B401" s="17" t="str">
        <f>IF(Dati!B401="","",Dati!B401)</f>
        <v/>
      </c>
      <c r="C401" s="17" t="str">
        <f>IF(B401="","",IF(ISNUMBER(B400),IF(B401-B400&lt;0,B401,IF(B401-B400=0,"",B401-B400)),B401))</f>
        <v/>
      </c>
      <c r="D401" s="18" t="str">
        <f>IF(Dati!C401="","",IF(Dati!C401&gt;1,Dati!C401/100,Dati!C401))</f>
        <v/>
      </c>
      <c r="E401" s="18" t="str">
        <f>IF(Dati!D401="","",IF(Dati!D401&gt;1,Dati!D401/100,Dati!D401))</f>
        <v/>
      </c>
      <c r="F401" s="18" t="str">
        <f>IF(OR(D401="",E401=""),"",IF(OR(D401&gt;1,E401&gt;1),(E401-D401)/100,E401-D401))</f>
        <v/>
      </c>
      <c r="G401" s="17" t="str">
        <f>IF(F401="","",IF(64*F401=0,"",64*F401))</f>
        <v/>
      </c>
      <c r="H401" s="19" t="str">
        <f>IF(Dati!E401="","",Dati!E401)</f>
        <v/>
      </c>
      <c r="I401" s="19" t="str">
        <f>IFERROR(IF(OR(C401="",C401=0),"",H401/C401*100),"")</f>
        <v/>
      </c>
      <c r="J401" s="20" t="str">
        <f>IF(Dati!F401="","",Dati!F401)</f>
        <v/>
      </c>
      <c r="K401" s="19" t="str">
        <f>IF(OR(H401="",J401=""),"",IF(H401*J401=0,"",H401*J401))</f>
        <v/>
      </c>
      <c r="L401" s="19" t="str">
        <f>IF(A401="","",IFERROR(IF(SUMPRODUCT((ISNUMBER(A$2:A401))*(A$2:A401&gt;1000)*(MONTH(IF(ISNUMBER(A$2:A401),A$2:A401,1))=MONTH(A401))*(YEAR(IF(ISNUMBER(A$2:A401),A$2:A401,1))=YEAR(A401))*IF(ISNUMBER(K$2:K401),K$2:K401,0))=0,"",SUMPRODUCT((ISNUMBER(A$2:A401))*(A$2:A401&gt;1000)*(MONTH(IF(ISNUMBER(A$2:A401),A$2:A401,1))=MONTH(A401))*(YEAR(IF(ISNUMBER(A$2:A401),A$2:A401,1))=YEAR(A401))*IF(ISNUMBER(K$2:K401),K$2:K401,0))),""))</f>
        <v/>
      </c>
      <c r="M401" s="21" t="str">
        <f>IF(A401="","",IFERROR(IF(SUMIF(N$2:N401,"CASA",K$2:K401)=0,"",SUMIF(N$2:N401,"CASA",K$2:K401)),""))</f>
        <v/>
      </c>
      <c r="N401" s="17" t="str">
        <f>IF(J401="","",IF(J401=0.2,"CASA",IF(Dati!G401="","",Dati!G401)))</f>
        <v/>
      </c>
    </row>
    <row r="402" spans="1:14" ht="15" customHeight="1" x14ac:dyDescent="0.2">
      <c r="A402" s="23" t="str">
        <f>IF(Dati!A402="","",Dati!A402)</f>
        <v/>
      </c>
      <c r="B402" s="17" t="str">
        <f>IF(Dati!B402="","",Dati!B402)</f>
        <v/>
      </c>
      <c r="C402" s="17" t="str">
        <f>IF(B402="","",IF(ISNUMBER(B401),IF(B402-B401&lt;0,B402,IF(B402-B401=0,"",B402-B401)),B402))</f>
        <v/>
      </c>
      <c r="D402" s="18" t="str">
        <f>IF(Dati!C402="","",IF(Dati!C402&gt;1,Dati!C402/100,Dati!C402))</f>
        <v/>
      </c>
      <c r="E402" s="18" t="str">
        <f>IF(Dati!D402="","",IF(Dati!D402&gt;1,Dati!D402/100,Dati!D402))</f>
        <v/>
      </c>
      <c r="F402" s="18" t="str">
        <f>IF(OR(D402="",E402=""),"",IF(OR(D402&gt;1,E402&gt;1),(E402-D402)/100,E402-D402))</f>
        <v/>
      </c>
      <c r="G402" s="17" t="str">
        <f>IF(F402="","",IF(64*F402=0,"",64*F402))</f>
        <v/>
      </c>
      <c r="H402" s="19" t="str">
        <f>IF(Dati!E402="","",Dati!E402)</f>
        <v/>
      </c>
      <c r="I402" s="19" t="str">
        <f>IFERROR(IF(OR(C402="",C402=0),"",H402/C402*100),"")</f>
        <v/>
      </c>
      <c r="J402" s="20" t="str">
        <f>IF(Dati!F402="","",Dati!F402)</f>
        <v/>
      </c>
      <c r="K402" s="19" t="str">
        <f>IF(OR(H402="",J402=""),"",IF(H402*J402=0,"",H402*J402))</f>
        <v/>
      </c>
      <c r="L402" s="19" t="str">
        <f>IF(A402="","",IFERROR(IF(SUMPRODUCT((ISNUMBER(A$2:A402))*(A$2:A402&gt;1000)*(MONTH(IF(ISNUMBER(A$2:A402),A$2:A402,1))=MONTH(A402))*(YEAR(IF(ISNUMBER(A$2:A402),A$2:A402,1))=YEAR(A402))*IF(ISNUMBER(K$2:K402),K$2:K402,0))=0,"",SUMPRODUCT((ISNUMBER(A$2:A402))*(A$2:A402&gt;1000)*(MONTH(IF(ISNUMBER(A$2:A402),A$2:A402,1))=MONTH(A402))*(YEAR(IF(ISNUMBER(A$2:A402),A$2:A402,1))=YEAR(A402))*IF(ISNUMBER(K$2:K402),K$2:K402,0))),""))</f>
        <v/>
      </c>
      <c r="M402" s="21" t="str">
        <f>IF(A402="","",IFERROR(IF(SUMIF(N$2:N402,"CASA",K$2:K402)=0,"",SUMIF(N$2:N402,"CASA",K$2:K402)),""))</f>
        <v/>
      </c>
      <c r="N402" s="17" t="str">
        <f>IF(J402="","",IF(J402=0.2,"CASA",IF(Dati!G402="","",Dati!G402)))</f>
        <v/>
      </c>
    </row>
    <row r="403" spans="1:14" ht="15" customHeight="1" x14ac:dyDescent="0.2">
      <c r="A403" s="23" t="str">
        <f>IF(Dati!A403="","",Dati!A403)</f>
        <v/>
      </c>
      <c r="B403" s="17" t="str">
        <f>IF(Dati!B403="","",Dati!B403)</f>
        <v/>
      </c>
      <c r="C403" s="17" t="str">
        <f>IF(B403="","",IF(ISNUMBER(B402),IF(B403-B402&lt;0,B403,IF(B403-B402=0,"",B403-B402)),B403))</f>
        <v/>
      </c>
      <c r="D403" s="18" t="str">
        <f>IF(Dati!C403="","",IF(Dati!C403&gt;1,Dati!C403/100,Dati!C403))</f>
        <v/>
      </c>
      <c r="E403" s="18" t="str">
        <f>IF(Dati!D403="","",IF(Dati!D403&gt;1,Dati!D403/100,Dati!D403))</f>
        <v/>
      </c>
      <c r="F403" s="18" t="str">
        <f>IF(OR(D403="",E403=""),"",IF(OR(D403&gt;1,E403&gt;1),(E403-D403)/100,E403-D403))</f>
        <v/>
      </c>
      <c r="G403" s="17" t="str">
        <f>IF(F403="","",IF(64*F403=0,"",64*F403))</f>
        <v/>
      </c>
      <c r="H403" s="19" t="str">
        <f>IF(Dati!E403="","",Dati!E403)</f>
        <v/>
      </c>
      <c r="I403" s="19" t="str">
        <f>IFERROR(IF(OR(C403="",C403=0),"",H403/C403*100),"")</f>
        <v/>
      </c>
      <c r="J403" s="20" t="str">
        <f>IF(Dati!F403="","",Dati!F403)</f>
        <v/>
      </c>
      <c r="K403" s="19" t="str">
        <f>IF(OR(H403="",J403=""),"",IF(H403*J403=0,"",H403*J403))</f>
        <v/>
      </c>
      <c r="L403" s="19" t="str">
        <f>IF(A403="","",IFERROR(IF(SUMPRODUCT((ISNUMBER(A$2:A403))*(A$2:A403&gt;1000)*(MONTH(IF(ISNUMBER(A$2:A403),A$2:A403,1))=MONTH(A403))*(YEAR(IF(ISNUMBER(A$2:A403),A$2:A403,1))=YEAR(A403))*IF(ISNUMBER(K$2:K403),K$2:K403,0))=0,"",SUMPRODUCT((ISNUMBER(A$2:A403))*(A$2:A403&gt;1000)*(MONTH(IF(ISNUMBER(A$2:A403),A$2:A403,1))=MONTH(A403))*(YEAR(IF(ISNUMBER(A$2:A403),A$2:A403,1))=YEAR(A403))*IF(ISNUMBER(K$2:K403),K$2:K403,0))),""))</f>
        <v/>
      </c>
      <c r="M403" s="21" t="str">
        <f>IF(A403="","",IFERROR(IF(SUMIF(N$2:N403,"CASA",K$2:K403)=0,"",SUMIF(N$2:N403,"CASA",K$2:K403)),""))</f>
        <v/>
      </c>
      <c r="N403" s="17" t="str">
        <f>IF(J403="","",IF(J403=0.2,"CASA",IF(Dati!G403="","",Dati!G403)))</f>
        <v/>
      </c>
    </row>
    <row r="404" spans="1:14" ht="15" customHeight="1" x14ac:dyDescent="0.2">
      <c r="A404" s="23" t="str">
        <f>IF(Dati!A404="","",Dati!A404)</f>
        <v/>
      </c>
      <c r="B404" s="17" t="str">
        <f>IF(Dati!B404="","",Dati!B404)</f>
        <v/>
      </c>
      <c r="C404" s="17" t="str">
        <f>IF(B404="","",IF(ISNUMBER(B403),IF(B404-B403&lt;0,B404,IF(B404-B403=0,"",B404-B403)),B404))</f>
        <v/>
      </c>
      <c r="D404" s="18" t="str">
        <f>IF(Dati!C404="","",IF(Dati!C404&gt;1,Dati!C404/100,Dati!C404))</f>
        <v/>
      </c>
      <c r="E404" s="18" t="str">
        <f>IF(Dati!D404="","",IF(Dati!D404&gt;1,Dati!D404/100,Dati!D404))</f>
        <v/>
      </c>
      <c r="F404" s="18" t="str">
        <f>IF(OR(D404="",E404=""),"",IF(OR(D404&gt;1,E404&gt;1),(E404-D404)/100,E404-D404))</f>
        <v/>
      </c>
      <c r="G404" s="17" t="str">
        <f>IF(F404="","",IF(64*F404=0,"",64*F404))</f>
        <v/>
      </c>
      <c r="H404" s="19" t="str">
        <f>IF(Dati!E404="","",Dati!E404)</f>
        <v/>
      </c>
      <c r="I404" s="19" t="str">
        <f>IFERROR(IF(OR(C404="",C404=0),"",H404/C404*100),"")</f>
        <v/>
      </c>
      <c r="J404" s="20" t="str">
        <f>IF(Dati!F404="","",Dati!F404)</f>
        <v/>
      </c>
      <c r="K404" s="19" t="str">
        <f>IF(OR(H404="",J404=""),"",IF(H404*J404=0,"",H404*J404))</f>
        <v/>
      </c>
      <c r="L404" s="19" t="str">
        <f>IF(A404="","",IFERROR(IF(SUMPRODUCT((ISNUMBER(A$2:A404))*(A$2:A404&gt;1000)*(MONTH(IF(ISNUMBER(A$2:A404),A$2:A404,1))=MONTH(A404))*(YEAR(IF(ISNUMBER(A$2:A404),A$2:A404,1))=YEAR(A404))*IF(ISNUMBER(K$2:K404),K$2:K404,0))=0,"",SUMPRODUCT((ISNUMBER(A$2:A404))*(A$2:A404&gt;1000)*(MONTH(IF(ISNUMBER(A$2:A404),A$2:A404,1))=MONTH(A404))*(YEAR(IF(ISNUMBER(A$2:A404),A$2:A404,1))=YEAR(A404))*IF(ISNUMBER(K$2:K404),K$2:K404,0))),""))</f>
        <v/>
      </c>
      <c r="M404" s="21" t="str">
        <f>IF(A404="","",IFERROR(IF(SUMIF(N$2:N404,"CASA",K$2:K404)=0,"",SUMIF(N$2:N404,"CASA",K$2:K404)),""))</f>
        <v/>
      </c>
      <c r="N404" s="17" t="str">
        <f>IF(J404="","",IF(J404=0.2,"CASA",IF(Dati!G404="","",Dati!G404)))</f>
        <v/>
      </c>
    </row>
    <row r="405" spans="1:14" ht="15" customHeight="1" x14ac:dyDescent="0.2">
      <c r="A405" s="23" t="str">
        <f>IF(Dati!A405="","",Dati!A405)</f>
        <v/>
      </c>
      <c r="B405" s="17" t="str">
        <f>IF(Dati!B405="","",Dati!B405)</f>
        <v/>
      </c>
      <c r="C405" s="17" t="str">
        <f>IF(B405="","",IF(ISNUMBER(B404),IF(B405-B404&lt;0,B405,IF(B405-B404=0,"",B405-B404)),B405))</f>
        <v/>
      </c>
      <c r="D405" s="18" t="str">
        <f>IF(Dati!C405="","",IF(Dati!C405&gt;1,Dati!C405/100,Dati!C405))</f>
        <v/>
      </c>
      <c r="E405" s="18" t="str">
        <f>IF(Dati!D405="","",IF(Dati!D405&gt;1,Dati!D405/100,Dati!D405))</f>
        <v/>
      </c>
      <c r="F405" s="18" t="str">
        <f>IF(OR(D405="",E405=""),"",IF(OR(D405&gt;1,E405&gt;1),(E405-D405)/100,E405-D405))</f>
        <v/>
      </c>
      <c r="G405" s="17" t="str">
        <f>IF(F405="","",IF(64*F405=0,"",64*F405))</f>
        <v/>
      </c>
      <c r="H405" s="19" t="str">
        <f>IF(Dati!E405="","",Dati!E405)</f>
        <v/>
      </c>
      <c r="I405" s="19" t="str">
        <f>IFERROR(IF(OR(C405="",C405=0),"",H405/C405*100),"")</f>
        <v/>
      </c>
      <c r="J405" s="20" t="str">
        <f>IF(Dati!F405="","",Dati!F405)</f>
        <v/>
      </c>
      <c r="K405" s="19" t="str">
        <f>IF(OR(H405="",J405=""),"",IF(H405*J405=0,"",H405*J405))</f>
        <v/>
      </c>
      <c r="L405" s="19" t="str">
        <f>IF(A405="","",IFERROR(IF(SUMPRODUCT((ISNUMBER(A$2:A405))*(A$2:A405&gt;1000)*(MONTH(IF(ISNUMBER(A$2:A405),A$2:A405,1))=MONTH(A405))*(YEAR(IF(ISNUMBER(A$2:A405),A$2:A405,1))=YEAR(A405))*IF(ISNUMBER(K$2:K405),K$2:K405,0))=0,"",SUMPRODUCT((ISNUMBER(A$2:A405))*(A$2:A405&gt;1000)*(MONTH(IF(ISNUMBER(A$2:A405),A$2:A405,1))=MONTH(A405))*(YEAR(IF(ISNUMBER(A$2:A405),A$2:A405,1))=YEAR(A405))*IF(ISNUMBER(K$2:K405),K$2:K405,0))),""))</f>
        <v/>
      </c>
      <c r="M405" s="21" t="str">
        <f>IF(A405="","",IFERROR(IF(SUMIF(N$2:N405,"CASA",K$2:K405)=0,"",SUMIF(N$2:N405,"CASA",K$2:K405)),""))</f>
        <v/>
      </c>
      <c r="N405" s="17" t="str">
        <f>IF(J405="","",IF(J405=0.2,"CASA",IF(Dati!G405="","",Dati!G405)))</f>
        <v/>
      </c>
    </row>
    <row r="406" spans="1:14" ht="15" customHeight="1" x14ac:dyDescent="0.2">
      <c r="A406" s="23" t="str">
        <f>IF(Dati!A406="","",Dati!A406)</f>
        <v/>
      </c>
      <c r="B406" s="17" t="str">
        <f>IF(Dati!B406="","",Dati!B406)</f>
        <v/>
      </c>
      <c r="C406" s="17" t="str">
        <f>IF(B406="","",IF(ISNUMBER(B405),IF(B406-B405&lt;0,B406,IF(B406-B405=0,"",B406-B405)),B406))</f>
        <v/>
      </c>
      <c r="D406" s="18" t="str">
        <f>IF(Dati!C406="","",IF(Dati!C406&gt;1,Dati!C406/100,Dati!C406))</f>
        <v/>
      </c>
      <c r="E406" s="18" t="str">
        <f>IF(Dati!D406="","",IF(Dati!D406&gt;1,Dati!D406/100,Dati!D406))</f>
        <v/>
      </c>
      <c r="F406" s="18" t="str">
        <f>IF(OR(D406="",E406=""),"",IF(OR(D406&gt;1,E406&gt;1),(E406-D406)/100,E406-D406))</f>
        <v/>
      </c>
      <c r="G406" s="17" t="str">
        <f>IF(F406="","",IF(64*F406=0,"",64*F406))</f>
        <v/>
      </c>
      <c r="H406" s="19" t="str">
        <f>IF(Dati!E406="","",Dati!E406)</f>
        <v/>
      </c>
      <c r="I406" s="19" t="str">
        <f>IFERROR(IF(OR(C406="",C406=0),"",H406/C406*100),"")</f>
        <v/>
      </c>
      <c r="J406" s="20" t="str">
        <f>IF(Dati!F406="","",Dati!F406)</f>
        <v/>
      </c>
      <c r="K406" s="19" t="str">
        <f>IF(OR(H406="",J406=""),"",IF(H406*J406=0,"",H406*J406))</f>
        <v/>
      </c>
      <c r="L406" s="19" t="str">
        <f>IF(A406="","",IFERROR(IF(SUMPRODUCT((ISNUMBER(A$2:A406))*(A$2:A406&gt;1000)*(MONTH(IF(ISNUMBER(A$2:A406),A$2:A406,1))=MONTH(A406))*(YEAR(IF(ISNUMBER(A$2:A406),A$2:A406,1))=YEAR(A406))*IF(ISNUMBER(K$2:K406),K$2:K406,0))=0,"",SUMPRODUCT((ISNUMBER(A$2:A406))*(A$2:A406&gt;1000)*(MONTH(IF(ISNUMBER(A$2:A406),A$2:A406,1))=MONTH(A406))*(YEAR(IF(ISNUMBER(A$2:A406),A$2:A406,1))=YEAR(A406))*IF(ISNUMBER(K$2:K406),K$2:K406,0))),""))</f>
        <v/>
      </c>
      <c r="M406" s="21" t="str">
        <f>IF(A406="","",IFERROR(IF(SUMIF(N$2:N406,"CASA",K$2:K406)=0,"",SUMIF(N$2:N406,"CASA",K$2:K406)),""))</f>
        <v/>
      </c>
      <c r="N406" s="17" t="str">
        <f>IF(J406="","",IF(J406=0.2,"CASA",IF(Dati!G406="","",Dati!G406)))</f>
        <v/>
      </c>
    </row>
    <row r="407" spans="1:14" ht="15" customHeight="1" x14ac:dyDescent="0.2">
      <c r="A407" s="23" t="str">
        <f>IF(Dati!A407="","",Dati!A407)</f>
        <v/>
      </c>
      <c r="B407" s="17" t="str">
        <f>IF(Dati!B407="","",Dati!B407)</f>
        <v/>
      </c>
      <c r="C407" s="17" t="str">
        <f>IF(B407="","",IF(ISNUMBER(B406),IF(B407-B406&lt;0,B407,IF(B407-B406=0,"",B407-B406)),B407))</f>
        <v/>
      </c>
      <c r="D407" s="18" t="str">
        <f>IF(Dati!C407="","",IF(Dati!C407&gt;1,Dati!C407/100,Dati!C407))</f>
        <v/>
      </c>
      <c r="E407" s="18" t="str">
        <f>IF(Dati!D407="","",IF(Dati!D407&gt;1,Dati!D407/100,Dati!D407))</f>
        <v/>
      </c>
      <c r="F407" s="18" t="str">
        <f>IF(OR(D407="",E407=""),"",IF(OR(D407&gt;1,E407&gt;1),(E407-D407)/100,E407-D407))</f>
        <v/>
      </c>
      <c r="G407" s="17" t="str">
        <f>IF(F407="","",IF(64*F407=0,"",64*F407))</f>
        <v/>
      </c>
      <c r="H407" s="19" t="str">
        <f>IF(Dati!E407="","",Dati!E407)</f>
        <v/>
      </c>
      <c r="I407" s="19" t="str">
        <f>IFERROR(IF(OR(C407="",C407=0),"",H407/C407*100),"")</f>
        <v/>
      </c>
      <c r="J407" s="20" t="str">
        <f>IF(Dati!F407="","",Dati!F407)</f>
        <v/>
      </c>
      <c r="K407" s="19" t="str">
        <f>IF(OR(H407="",J407=""),"",IF(H407*J407=0,"",H407*J407))</f>
        <v/>
      </c>
      <c r="L407" s="19" t="str">
        <f>IF(A407="","",IFERROR(IF(SUMPRODUCT((ISNUMBER(A$2:A407))*(A$2:A407&gt;1000)*(MONTH(IF(ISNUMBER(A$2:A407),A$2:A407,1))=MONTH(A407))*(YEAR(IF(ISNUMBER(A$2:A407),A$2:A407,1))=YEAR(A407))*IF(ISNUMBER(K$2:K407),K$2:K407,0))=0,"",SUMPRODUCT((ISNUMBER(A$2:A407))*(A$2:A407&gt;1000)*(MONTH(IF(ISNUMBER(A$2:A407),A$2:A407,1))=MONTH(A407))*(YEAR(IF(ISNUMBER(A$2:A407),A$2:A407,1))=YEAR(A407))*IF(ISNUMBER(K$2:K407),K$2:K407,0))),""))</f>
        <v/>
      </c>
      <c r="M407" s="21" t="str">
        <f>IF(A407="","",IFERROR(IF(SUMIF(N$2:N407,"CASA",K$2:K407)=0,"",SUMIF(N$2:N407,"CASA",K$2:K407)),""))</f>
        <v/>
      </c>
      <c r="N407" s="17" t="str">
        <f>IF(J407="","",IF(J407=0.2,"CASA",IF(Dati!G407="","",Dati!G407)))</f>
        <v/>
      </c>
    </row>
    <row r="408" spans="1:14" ht="15" customHeight="1" x14ac:dyDescent="0.2">
      <c r="A408" s="23" t="str">
        <f>IF(Dati!A408="","",Dati!A408)</f>
        <v/>
      </c>
      <c r="B408" s="17" t="str">
        <f>IF(Dati!B408="","",Dati!B408)</f>
        <v/>
      </c>
      <c r="C408" s="17" t="str">
        <f>IF(B408="","",IF(ISNUMBER(B407),IF(B408-B407&lt;0,B408,IF(B408-B407=0,"",B408-B407)),B408))</f>
        <v/>
      </c>
      <c r="D408" s="18" t="str">
        <f>IF(Dati!C408="","",IF(Dati!C408&gt;1,Dati!C408/100,Dati!C408))</f>
        <v/>
      </c>
      <c r="E408" s="18" t="str">
        <f>IF(Dati!D408="","",IF(Dati!D408&gt;1,Dati!D408/100,Dati!D408))</f>
        <v/>
      </c>
      <c r="F408" s="18" t="str">
        <f>IF(OR(D408="",E408=""),"",IF(OR(D408&gt;1,E408&gt;1),(E408-D408)/100,E408-D408))</f>
        <v/>
      </c>
      <c r="G408" s="17" t="str">
        <f>IF(F408="","",IF(64*F408=0,"",64*F408))</f>
        <v/>
      </c>
      <c r="H408" s="19" t="str">
        <f>IF(Dati!E408="","",Dati!E408)</f>
        <v/>
      </c>
      <c r="I408" s="19" t="str">
        <f>IFERROR(IF(OR(C408="",C408=0),"",H408/C408*100),"")</f>
        <v/>
      </c>
      <c r="J408" s="20" t="str">
        <f>IF(Dati!F408="","",Dati!F408)</f>
        <v/>
      </c>
      <c r="K408" s="19" t="str">
        <f>IF(OR(H408="",J408=""),"",IF(H408*J408=0,"",H408*J408))</f>
        <v/>
      </c>
      <c r="L408" s="19" t="str">
        <f>IF(A408="","",IFERROR(IF(SUMPRODUCT((ISNUMBER(A$2:A408))*(A$2:A408&gt;1000)*(MONTH(IF(ISNUMBER(A$2:A408),A$2:A408,1))=MONTH(A408))*(YEAR(IF(ISNUMBER(A$2:A408),A$2:A408,1))=YEAR(A408))*IF(ISNUMBER(K$2:K408),K$2:K408,0))=0,"",SUMPRODUCT((ISNUMBER(A$2:A408))*(A$2:A408&gt;1000)*(MONTH(IF(ISNUMBER(A$2:A408),A$2:A408,1))=MONTH(A408))*(YEAR(IF(ISNUMBER(A$2:A408),A$2:A408,1))=YEAR(A408))*IF(ISNUMBER(K$2:K408),K$2:K408,0))),""))</f>
        <v/>
      </c>
      <c r="M408" s="21" t="str">
        <f>IF(A408="","",IFERROR(IF(SUMIF(N$2:N408,"CASA",K$2:K408)=0,"",SUMIF(N$2:N408,"CASA",K$2:K408)),""))</f>
        <v/>
      </c>
      <c r="N408" s="17" t="str">
        <f>IF(J408="","",IF(J408=0.2,"CASA",IF(Dati!G408="","",Dati!G408)))</f>
        <v/>
      </c>
    </row>
    <row r="409" spans="1:14" ht="15" customHeight="1" x14ac:dyDescent="0.2">
      <c r="A409" s="23" t="str">
        <f>IF(Dati!A409="","",Dati!A409)</f>
        <v/>
      </c>
      <c r="B409" s="17" t="str">
        <f>IF(Dati!B409="","",Dati!B409)</f>
        <v/>
      </c>
      <c r="C409" s="17" t="str">
        <f>IF(B409="","",IF(ISNUMBER(B408),IF(B409-B408&lt;0,B409,IF(B409-B408=0,"",B409-B408)),B409))</f>
        <v/>
      </c>
      <c r="D409" s="18" t="str">
        <f>IF(Dati!C409="","",IF(Dati!C409&gt;1,Dati!C409/100,Dati!C409))</f>
        <v/>
      </c>
      <c r="E409" s="18" t="str">
        <f>IF(Dati!D409="","",IF(Dati!D409&gt;1,Dati!D409/100,Dati!D409))</f>
        <v/>
      </c>
      <c r="F409" s="18" t="str">
        <f>IF(OR(D409="",E409=""),"",IF(OR(D409&gt;1,E409&gt;1),(E409-D409)/100,E409-D409))</f>
        <v/>
      </c>
      <c r="G409" s="17" t="str">
        <f>IF(F409="","",IF(64*F409=0,"",64*F409))</f>
        <v/>
      </c>
      <c r="H409" s="19" t="str">
        <f>IF(Dati!E409="","",Dati!E409)</f>
        <v/>
      </c>
      <c r="I409" s="19" t="str">
        <f>IFERROR(IF(OR(C409="",C409=0),"",H409/C409*100),"")</f>
        <v/>
      </c>
      <c r="J409" s="20" t="str">
        <f>IF(Dati!F409="","",Dati!F409)</f>
        <v/>
      </c>
      <c r="K409" s="19" t="str">
        <f>IF(OR(H409="",J409=""),"",IF(H409*J409=0,"",H409*J409))</f>
        <v/>
      </c>
      <c r="L409" s="19" t="str">
        <f>IF(A409="","",IFERROR(IF(SUMPRODUCT((ISNUMBER(A$2:A409))*(A$2:A409&gt;1000)*(MONTH(IF(ISNUMBER(A$2:A409),A$2:A409,1))=MONTH(A409))*(YEAR(IF(ISNUMBER(A$2:A409),A$2:A409,1))=YEAR(A409))*IF(ISNUMBER(K$2:K409),K$2:K409,0))=0,"",SUMPRODUCT((ISNUMBER(A$2:A409))*(A$2:A409&gt;1000)*(MONTH(IF(ISNUMBER(A$2:A409),A$2:A409,1))=MONTH(A409))*(YEAR(IF(ISNUMBER(A$2:A409),A$2:A409,1))=YEAR(A409))*IF(ISNUMBER(K$2:K409),K$2:K409,0))),""))</f>
        <v/>
      </c>
      <c r="M409" s="21" t="str">
        <f>IF(A409="","",IFERROR(IF(SUMIF(N$2:N409,"CASA",K$2:K409)=0,"",SUMIF(N$2:N409,"CASA",K$2:K409)),""))</f>
        <v/>
      </c>
      <c r="N409" s="17" t="str">
        <f>IF(J409="","",IF(J409=0.2,"CASA",IF(Dati!G409="","",Dati!G409)))</f>
        <v/>
      </c>
    </row>
    <row r="410" spans="1:14" ht="15" customHeight="1" x14ac:dyDescent="0.2">
      <c r="A410" s="23" t="str">
        <f>IF(Dati!A410="","",Dati!A410)</f>
        <v/>
      </c>
      <c r="B410" s="17" t="str">
        <f>IF(Dati!B410="","",Dati!B410)</f>
        <v/>
      </c>
      <c r="C410" s="17" t="str">
        <f>IF(B410="","",IF(ISNUMBER(B409),IF(B410-B409&lt;0,B410,IF(B410-B409=0,"",B410-B409)),B410))</f>
        <v/>
      </c>
      <c r="D410" s="18" t="str">
        <f>IF(Dati!C410="","",IF(Dati!C410&gt;1,Dati!C410/100,Dati!C410))</f>
        <v/>
      </c>
      <c r="E410" s="18" t="str">
        <f>IF(Dati!D410="","",IF(Dati!D410&gt;1,Dati!D410/100,Dati!D410))</f>
        <v/>
      </c>
      <c r="F410" s="18" t="str">
        <f>IF(OR(D410="",E410=""),"",IF(OR(D410&gt;1,E410&gt;1),(E410-D410)/100,E410-D410))</f>
        <v/>
      </c>
      <c r="G410" s="17" t="str">
        <f>IF(F410="","",IF(64*F410=0,"",64*F410))</f>
        <v/>
      </c>
      <c r="H410" s="19" t="str">
        <f>IF(Dati!E410="","",Dati!E410)</f>
        <v/>
      </c>
      <c r="I410" s="19" t="str">
        <f>IFERROR(IF(OR(C410="",C410=0),"",H410/C410*100),"")</f>
        <v/>
      </c>
      <c r="J410" s="20" t="str">
        <f>IF(Dati!F410="","",Dati!F410)</f>
        <v/>
      </c>
      <c r="K410" s="19" t="str">
        <f>IF(OR(H410="",J410=""),"",IF(H410*J410=0,"",H410*J410))</f>
        <v/>
      </c>
      <c r="L410" s="19" t="str">
        <f>IF(A410="","",IFERROR(IF(SUMPRODUCT((ISNUMBER(A$2:A410))*(A$2:A410&gt;1000)*(MONTH(IF(ISNUMBER(A$2:A410),A$2:A410,1))=MONTH(A410))*(YEAR(IF(ISNUMBER(A$2:A410),A$2:A410,1))=YEAR(A410))*IF(ISNUMBER(K$2:K410),K$2:K410,0))=0,"",SUMPRODUCT((ISNUMBER(A$2:A410))*(A$2:A410&gt;1000)*(MONTH(IF(ISNUMBER(A$2:A410),A$2:A410,1))=MONTH(A410))*(YEAR(IF(ISNUMBER(A$2:A410),A$2:A410,1))=YEAR(A410))*IF(ISNUMBER(K$2:K410),K$2:K410,0))),""))</f>
        <v/>
      </c>
      <c r="M410" s="21" t="str">
        <f>IF(A410="","",IFERROR(IF(SUMIF(N$2:N410,"CASA",K$2:K410)=0,"",SUMIF(N$2:N410,"CASA",K$2:K410)),""))</f>
        <v/>
      </c>
      <c r="N410" s="17" t="str">
        <f>IF(J410="","",IF(J410=0.2,"CASA",IF(Dati!G410="","",Dati!G410)))</f>
        <v/>
      </c>
    </row>
    <row r="411" spans="1:14" ht="15" customHeight="1" x14ac:dyDescent="0.2">
      <c r="A411" s="23" t="str">
        <f>IF(Dati!A411="","",Dati!A411)</f>
        <v/>
      </c>
      <c r="B411" s="17" t="str">
        <f>IF(Dati!B411="","",Dati!B411)</f>
        <v/>
      </c>
      <c r="C411" s="17" t="str">
        <f>IF(B411="","",IF(ISNUMBER(B410),IF(B411-B410&lt;0,B411,IF(B411-B410=0,"",B411-B410)),B411))</f>
        <v/>
      </c>
      <c r="D411" s="18" t="str">
        <f>IF(Dati!C411="","",IF(Dati!C411&gt;1,Dati!C411/100,Dati!C411))</f>
        <v/>
      </c>
      <c r="E411" s="18" t="str">
        <f>IF(Dati!D411="","",IF(Dati!D411&gt;1,Dati!D411/100,Dati!D411))</f>
        <v/>
      </c>
      <c r="F411" s="18" t="str">
        <f>IF(OR(D411="",E411=""),"",IF(OR(D411&gt;1,E411&gt;1),(E411-D411)/100,E411-D411))</f>
        <v/>
      </c>
      <c r="G411" s="17" t="str">
        <f>IF(F411="","",IF(64*F411=0,"",64*F411))</f>
        <v/>
      </c>
      <c r="H411" s="19" t="str">
        <f>IF(Dati!E411="","",Dati!E411)</f>
        <v/>
      </c>
      <c r="I411" s="19" t="str">
        <f>IFERROR(IF(OR(C411="",C411=0),"",H411/C411*100),"")</f>
        <v/>
      </c>
      <c r="J411" s="20" t="str">
        <f>IF(Dati!F411="","",Dati!F411)</f>
        <v/>
      </c>
      <c r="K411" s="19" t="str">
        <f>IF(OR(H411="",J411=""),"",IF(H411*J411=0,"",H411*J411))</f>
        <v/>
      </c>
      <c r="L411" s="19" t="str">
        <f>IF(A411="","",IFERROR(IF(SUMPRODUCT((ISNUMBER(A$2:A411))*(A$2:A411&gt;1000)*(MONTH(IF(ISNUMBER(A$2:A411),A$2:A411,1))=MONTH(A411))*(YEAR(IF(ISNUMBER(A$2:A411),A$2:A411,1))=YEAR(A411))*IF(ISNUMBER(K$2:K411),K$2:K411,0))=0,"",SUMPRODUCT((ISNUMBER(A$2:A411))*(A$2:A411&gt;1000)*(MONTH(IF(ISNUMBER(A$2:A411),A$2:A411,1))=MONTH(A411))*(YEAR(IF(ISNUMBER(A$2:A411),A$2:A411,1))=YEAR(A411))*IF(ISNUMBER(K$2:K411),K$2:K411,0))),""))</f>
        <v/>
      </c>
      <c r="M411" s="21" t="str">
        <f>IF(A411="","",IFERROR(IF(SUMIF(N$2:N411,"CASA",K$2:K411)=0,"",SUMIF(N$2:N411,"CASA",K$2:K411)),""))</f>
        <v/>
      </c>
      <c r="N411" s="17" t="str">
        <f>IF(J411="","",IF(J411=0.2,"CASA",IF(Dati!G411="","",Dati!G411)))</f>
        <v/>
      </c>
    </row>
    <row r="412" spans="1:14" ht="15" customHeight="1" x14ac:dyDescent="0.2">
      <c r="A412" s="23" t="str">
        <f>IF(Dati!A412="","",Dati!A412)</f>
        <v/>
      </c>
      <c r="B412" s="17" t="str">
        <f>IF(Dati!B412="","",Dati!B412)</f>
        <v/>
      </c>
      <c r="C412" s="17" t="str">
        <f>IF(B412="","",IF(ISNUMBER(B411),IF(B412-B411&lt;0,B412,IF(B412-B411=0,"",B412-B411)),B412))</f>
        <v/>
      </c>
      <c r="D412" s="18" t="str">
        <f>IF(Dati!C412="","",IF(Dati!C412&gt;1,Dati!C412/100,Dati!C412))</f>
        <v/>
      </c>
      <c r="E412" s="18" t="str">
        <f>IF(Dati!D412="","",IF(Dati!D412&gt;1,Dati!D412/100,Dati!D412))</f>
        <v/>
      </c>
      <c r="F412" s="18" t="str">
        <f>IF(OR(D412="",E412=""),"",IF(OR(D412&gt;1,E412&gt;1),(E412-D412)/100,E412-D412))</f>
        <v/>
      </c>
      <c r="G412" s="17" t="str">
        <f>IF(F412="","",IF(64*F412=0,"",64*F412))</f>
        <v/>
      </c>
      <c r="H412" s="19" t="str">
        <f>IF(Dati!E412="","",Dati!E412)</f>
        <v/>
      </c>
      <c r="I412" s="19" t="str">
        <f>IFERROR(IF(OR(C412="",C412=0),"",H412/C412*100),"")</f>
        <v/>
      </c>
      <c r="J412" s="20" t="str">
        <f>IF(Dati!F412="","",Dati!F412)</f>
        <v/>
      </c>
      <c r="K412" s="19" t="str">
        <f>IF(OR(H412="",J412=""),"",IF(H412*J412=0,"",H412*J412))</f>
        <v/>
      </c>
      <c r="L412" s="19" t="str">
        <f>IF(A412="","",IFERROR(IF(SUMPRODUCT((ISNUMBER(A$2:A412))*(A$2:A412&gt;1000)*(MONTH(IF(ISNUMBER(A$2:A412),A$2:A412,1))=MONTH(A412))*(YEAR(IF(ISNUMBER(A$2:A412),A$2:A412,1))=YEAR(A412))*IF(ISNUMBER(K$2:K412),K$2:K412,0))=0,"",SUMPRODUCT((ISNUMBER(A$2:A412))*(A$2:A412&gt;1000)*(MONTH(IF(ISNUMBER(A$2:A412),A$2:A412,1))=MONTH(A412))*(YEAR(IF(ISNUMBER(A$2:A412),A$2:A412,1))=YEAR(A412))*IF(ISNUMBER(K$2:K412),K$2:K412,0))),""))</f>
        <v/>
      </c>
      <c r="M412" s="21" t="str">
        <f>IF(A412="","",IFERROR(IF(SUMIF(N$2:N412,"CASA",K$2:K412)=0,"",SUMIF(N$2:N412,"CASA",K$2:K412)),""))</f>
        <v/>
      </c>
      <c r="N412" s="17" t="str">
        <f>IF(J412="","",IF(J412=0.2,"CASA",IF(Dati!G412="","",Dati!G412)))</f>
        <v/>
      </c>
    </row>
    <row r="413" spans="1:14" ht="15" customHeight="1" x14ac:dyDescent="0.2">
      <c r="A413" s="23" t="str">
        <f>IF(Dati!A413="","",Dati!A413)</f>
        <v/>
      </c>
      <c r="B413" s="17" t="str">
        <f>IF(Dati!B413="","",Dati!B413)</f>
        <v/>
      </c>
      <c r="C413" s="17" t="str">
        <f>IF(B413="","",IF(ISNUMBER(B412),IF(B413-B412&lt;0,B413,IF(B413-B412=0,"",B413-B412)),B413))</f>
        <v/>
      </c>
      <c r="D413" s="18" t="str">
        <f>IF(Dati!C413="","",IF(Dati!C413&gt;1,Dati!C413/100,Dati!C413))</f>
        <v/>
      </c>
      <c r="E413" s="18" t="str">
        <f>IF(Dati!D413="","",IF(Dati!D413&gt;1,Dati!D413/100,Dati!D413))</f>
        <v/>
      </c>
      <c r="F413" s="18" t="str">
        <f>IF(OR(D413="",E413=""),"",IF(OR(D413&gt;1,E413&gt;1),(E413-D413)/100,E413-D413))</f>
        <v/>
      </c>
      <c r="G413" s="17" t="str">
        <f>IF(F413="","",IF(64*F413=0,"",64*F413))</f>
        <v/>
      </c>
      <c r="H413" s="19" t="str">
        <f>IF(Dati!E413="","",Dati!E413)</f>
        <v/>
      </c>
      <c r="I413" s="19" t="str">
        <f>IFERROR(IF(OR(C413="",C413=0),"",H413/C413*100),"")</f>
        <v/>
      </c>
      <c r="J413" s="20" t="str">
        <f>IF(Dati!F413="","",Dati!F413)</f>
        <v/>
      </c>
      <c r="K413" s="19" t="str">
        <f>IF(OR(H413="",J413=""),"",IF(H413*J413=0,"",H413*J413))</f>
        <v/>
      </c>
      <c r="L413" s="19" t="str">
        <f>IF(A413="","",IFERROR(IF(SUMPRODUCT((ISNUMBER(A$2:A413))*(A$2:A413&gt;1000)*(MONTH(IF(ISNUMBER(A$2:A413),A$2:A413,1))=MONTH(A413))*(YEAR(IF(ISNUMBER(A$2:A413),A$2:A413,1))=YEAR(A413))*IF(ISNUMBER(K$2:K413),K$2:K413,0))=0,"",SUMPRODUCT((ISNUMBER(A$2:A413))*(A$2:A413&gt;1000)*(MONTH(IF(ISNUMBER(A$2:A413),A$2:A413,1))=MONTH(A413))*(YEAR(IF(ISNUMBER(A$2:A413),A$2:A413,1))=YEAR(A413))*IF(ISNUMBER(K$2:K413),K$2:K413,0))),""))</f>
        <v/>
      </c>
      <c r="M413" s="21" t="str">
        <f>IF(A413="","",IFERROR(IF(SUMIF(N$2:N413,"CASA",K$2:K413)=0,"",SUMIF(N$2:N413,"CASA",K$2:K413)),""))</f>
        <v/>
      </c>
      <c r="N413" s="17" t="str">
        <f>IF(J413="","",IF(J413=0.2,"CASA",IF(Dati!G413="","",Dati!G413)))</f>
        <v/>
      </c>
    </row>
    <row r="414" spans="1:14" ht="15" customHeight="1" x14ac:dyDescent="0.2">
      <c r="A414" s="23" t="str">
        <f>IF(Dati!A414="","",Dati!A414)</f>
        <v/>
      </c>
      <c r="B414" s="17" t="str">
        <f>IF(Dati!B414="","",Dati!B414)</f>
        <v/>
      </c>
      <c r="C414" s="17" t="str">
        <f>IF(B414="","",IF(ISNUMBER(B413),IF(B414-B413&lt;0,B414,IF(B414-B413=0,"",B414-B413)),B414))</f>
        <v/>
      </c>
      <c r="D414" s="18" t="str">
        <f>IF(Dati!C414="","",IF(Dati!C414&gt;1,Dati!C414/100,Dati!C414))</f>
        <v/>
      </c>
      <c r="E414" s="18" t="str">
        <f>IF(Dati!D414="","",IF(Dati!D414&gt;1,Dati!D414/100,Dati!D414))</f>
        <v/>
      </c>
      <c r="F414" s="18" t="str">
        <f>IF(OR(D414="",E414=""),"",IF(OR(D414&gt;1,E414&gt;1),(E414-D414)/100,E414-D414))</f>
        <v/>
      </c>
      <c r="G414" s="17" t="str">
        <f>IF(F414="","",IF(64*F414=0,"",64*F414))</f>
        <v/>
      </c>
      <c r="H414" s="19" t="str">
        <f>IF(Dati!E414="","",Dati!E414)</f>
        <v/>
      </c>
      <c r="I414" s="19" t="str">
        <f>IFERROR(IF(OR(C414="",C414=0),"",H414/C414*100),"")</f>
        <v/>
      </c>
      <c r="J414" s="20" t="str">
        <f>IF(Dati!F414="","",Dati!F414)</f>
        <v/>
      </c>
      <c r="K414" s="19" t="str">
        <f>IF(OR(H414="",J414=""),"",IF(H414*J414=0,"",H414*J414))</f>
        <v/>
      </c>
      <c r="L414" s="19" t="str">
        <f>IF(A414="","",IFERROR(IF(SUMPRODUCT((ISNUMBER(A$2:A414))*(A$2:A414&gt;1000)*(MONTH(IF(ISNUMBER(A$2:A414),A$2:A414,1))=MONTH(A414))*(YEAR(IF(ISNUMBER(A$2:A414),A$2:A414,1))=YEAR(A414))*IF(ISNUMBER(K$2:K414),K$2:K414,0))=0,"",SUMPRODUCT((ISNUMBER(A$2:A414))*(A$2:A414&gt;1000)*(MONTH(IF(ISNUMBER(A$2:A414),A$2:A414,1))=MONTH(A414))*(YEAR(IF(ISNUMBER(A$2:A414),A$2:A414,1))=YEAR(A414))*IF(ISNUMBER(K$2:K414),K$2:K414,0))),""))</f>
        <v/>
      </c>
      <c r="M414" s="21" t="str">
        <f>IF(A414="","",IFERROR(IF(SUMIF(N$2:N414,"CASA",K$2:K414)=0,"",SUMIF(N$2:N414,"CASA",K$2:K414)),""))</f>
        <v/>
      </c>
      <c r="N414" s="17" t="str">
        <f>IF(J414="","",IF(J414=0.2,"CASA",IF(Dati!G414="","",Dati!G414)))</f>
        <v/>
      </c>
    </row>
    <row r="415" spans="1:14" ht="15" customHeight="1" x14ac:dyDescent="0.2">
      <c r="A415" s="23" t="str">
        <f>IF(Dati!A415="","",Dati!A415)</f>
        <v/>
      </c>
      <c r="B415" s="17" t="str">
        <f>IF(Dati!B415="","",Dati!B415)</f>
        <v/>
      </c>
      <c r="C415" s="17" t="str">
        <f>IF(B415="","",IF(ISNUMBER(B414),IF(B415-B414&lt;0,B415,IF(B415-B414=0,"",B415-B414)),B415))</f>
        <v/>
      </c>
      <c r="D415" s="18" t="str">
        <f>IF(Dati!C415="","",IF(Dati!C415&gt;1,Dati!C415/100,Dati!C415))</f>
        <v/>
      </c>
      <c r="E415" s="18" t="str">
        <f>IF(Dati!D415="","",IF(Dati!D415&gt;1,Dati!D415/100,Dati!D415))</f>
        <v/>
      </c>
      <c r="F415" s="18" t="str">
        <f>IF(OR(D415="",E415=""),"",IF(OR(D415&gt;1,E415&gt;1),(E415-D415)/100,E415-D415))</f>
        <v/>
      </c>
      <c r="G415" s="17" t="str">
        <f>IF(F415="","",IF(64*F415=0,"",64*F415))</f>
        <v/>
      </c>
      <c r="H415" s="19" t="str">
        <f>IF(Dati!E415="","",Dati!E415)</f>
        <v/>
      </c>
      <c r="I415" s="19" t="str">
        <f>IFERROR(IF(OR(C415="",C415=0),"",H415/C415*100),"")</f>
        <v/>
      </c>
      <c r="J415" s="20" t="str">
        <f>IF(Dati!F415="","",Dati!F415)</f>
        <v/>
      </c>
      <c r="K415" s="19" t="str">
        <f>IF(OR(H415="",J415=""),"",IF(H415*J415=0,"",H415*J415))</f>
        <v/>
      </c>
      <c r="L415" s="19" t="str">
        <f>IF(A415="","",IFERROR(IF(SUMPRODUCT((ISNUMBER(A$2:A415))*(A$2:A415&gt;1000)*(MONTH(IF(ISNUMBER(A$2:A415),A$2:A415,1))=MONTH(A415))*(YEAR(IF(ISNUMBER(A$2:A415),A$2:A415,1))=YEAR(A415))*IF(ISNUMBER(K$2:K415),K$2:K415,0))=0,"",SUMPRODUCT((ISNUMBER(A$2:A415))*(A$2:A415&gt;1000)*(MONTH(IF(ISNUMBER(A$2:A415),A$2:A415,1))=MONTH(A415))*(YEAR(IF(ISNUMBER(A$2:A415),A$2:A415,1))=YEAR(A415))*IF(ISNUMBER(K$2:K415),K$2:K415,0))),""))</f>
        <v/>
      </c>
      <c r="M415" s="21" t="str">
        <f>IF(A415="","",IFERROR(IF(SUMIF(N$2:N415,"CASA",K$2:K415)=0,"",SUMIF(N$2:N415,"CASA",K$2:K415)),""))</f>
        <v/>
      </c>
      <c r="N415" s="17" t="str">
        <f>IF(J415="","",IF(J415=0.2,"CASA",IF(Dati!G415="","",Dati!G415)))</f>
        <v/>
      </c>
    </row>
    <row r="416" spans="1:14" ht="15" customHeight="1" x14ac:dyDescent="0.2">
      <c r="A416" s="23" t="str">
        <f>IF(Dati!A416="","",Dati!A416)</f>
        <v/>
      </c>
      <c r="B416" s="17" t="str">
        <f>IF(Dati!B416="","",Dati!B416)</f>
        <v/>
      </c>
      <c r="C416" s="17" t="str">
        <f>IF(B416="","",IF(ISNUMBER(B415),IF(B416-B415&lt;0,B416,IF(B416-B415=0,"",B416-B415)),B416))</f>
        <v/>
      </c>
      <c r="D416" s="18" t="str">
        <f>IF(Dati!C416="","",IF(Dati!C416&gt;1,Dati!C416/100,Dati!C416))</f>
        <v/>
      </c>
      <c r="E416" s="18" t="str">
        <f>IF(Dati!D416="","",IF(Dati!D416&gt;1,Dati!D416/100,Dati!D416))</f>
        <v/>
      </c>
      <c r="F416" s="18" t="str">
        <f>IF(OR(D416="",E416=""),"",IF(OR(D416&gt;1,E416&gt;1),(E416-D416)/100,E416-D416))</f>
        <v/>
      </c>
      <c r="G416" s="17" t="str">
        <f>IF(F416="","",IF(64*F416=0,"",64*F416))</f>
        <v/>
      </c>
      <c r="H416" s="19" t="str">
        <f>IF(Dati!E416="","",Dati!E416)</f>
        <v/>
      </c>
      <c r="I416" s="19" t="str">
        <f>IFERROR(IF(OR(C416="",C416=0),"",H416/C416*100),"")</f>
        <v/>
      </c>
      <c r="J416" s="20" t="str">
        <f>IF(Dati!F416="","",Dati!F416)</f>
        <v/>
      </c>
      <c r="K416" s="19" t="str">
        <f>IF(OR(H416="",J416=""),"",IF(H416*J416=0,"",H416*J416))</f>
        <v/>
      </c>
      <c r="L416" s="19" t="str">
        <f>IF(A416="","",IFERROR(IF(SUMPRODUCT((ISNUMBER(A$2:A416))*(A$2:A416&gt;1000)*(MONTH(IF(ISNUMBER(A$2:A416),A$2:A416,1))=MONTH(A416))*(YEAR(IF(ISNUMBER(A$2:A416),A$2:A416,1))=YEAR(A416))*IF(ISNUMBER(K$2:K416),K$2:K416,0))=0,"",SUMPRODUCT((ISNUMBER(A$2:A416))*(A$2:A416&gt;1000)*(MONTH(IF(ISNUMBER(A$2:A416),A$2:A416,1))=MONTH(A416))*(YEAR(IF(ISNUMBER(A$2:A416),A$2:A416,1))=YEAR(A416))*IF(ISNUMBER(K$2:K416),K$2:K416,0))),""))</f>
        <v/>
      </c>
      <c r="M416" s="21" t="str">
        <f>IF(A416="","",IFERROR(IF(SUMIF(N$2:N416,"CASA",K$2:K416)=0,"",SUMIF(N$2:N416,"CASA",K$2:K416)),""))</f>
        <v/>
      </c>
      <c r="N416" s="17" t="str">
        <f>IF(J416="","",IF(J416=0.2,"CASA",IF(Dati!G416="","",Dati!G416)))</f>
        <v/>
      </c>
    </row>
    <row r="417" spans="1:14" ht="15" customHeight="1" x14ac:dyDescent="0.2">
      <c r="A417" s="23" t="str">
        <f>IF(Dati!A417="","",Dati!A417)</f>
        <v/>
      </c>
      <c r="B417" s="17" t="str">
        <f>IF(Dati!B417="","",Dati!B417)</f>
        <v/>
      </c>
      <c r="C417" s="17" t="str">
        <f>IF(B417="","",IF(ISNUMBER(B416),IF(B417-B416&lt;0,B417,IF(B417-B416=0,"",B417-B416)),B417))</f>
        <v/>
      </c>
      <c r="D417" s="18" t="str">
        <f>IF(Dati!C417="","",IF(Dati!C417&gt;1,Dati!C417/100,Dati!C417))</f>
        <v/>
      </c>
      <c r="E417" s="18" t="str">
        <f>IF(Dati!D417="","",IF(Dati!D417&gt;1,Dati!D417/100,Dati!D417))</f>
        <v/>
      </c>
      <c r="F417" s="18" t="str">
        <f>IF(OR(D417="",E417=""),"",IF(OR(D417&gt;1,E417&gt;1),(E417-D417)/100,E417-D417))</f>
        <v/>
      </c>
      <c r="G417" s="17" t="str">
        <f>IF(F417="","",IF(64*F417=0,"",64*F417))</f>
        <v/>
      </c>
      <c r="H417" s="19" t="str">
        <f>IF(Dati!E417="","",Dati!E417)</f>
        <v/>
      </c>
      <c r="I417" s="19" t="str">
        <f>IFERROR(IF(OR(C417="",C417=0),"",H417/C417*100),"")</f>
        <v/>
      </c>
      <c r="J417" s="20" t="str">
        <f>IF(Dati!F417="","",Dati!F417)</f>
        <v/>
      </c>
      <c r="K417" s="19" t="str">
        <f>IF(OR(H417="",J417=""),"",IF(H417*J417=0,"",H417*J417))</f>
        <v/>
      </c>
      <c r="L417" s="19" t="str">
        <f>IF(A417="","",IFERROR(IF(SUMPRODUCT((ISNUMBER(A$2:A417))*(A$2:A417&gt;1000)*(MONTH(IF(ISNUMBER(A$2:A417),A$2:A417,1))=MONTH(A417))*(YEAR(IF(ISNUMBER(A$2:A417),A$2:A417,1))=YEAR(A417))*IF(ISNUMBER(K$2:K417),K$2:K417,0))=0,"",SUMPRODUCT((ISNUMBER(A$2:A417))*(A$2:A417&gt;1000)*(MONTH(IF(ISNUMBER(A$2:A417),A$2:A417,1))=MONTH(A417))*(YEAR(IF(ISNUMBER(A$2:A417),A$2:A417,1))=YEAR(A417))*IF(ISNUMBER(K$2:K417),K$2:K417,0))),""))</f>
        <v/>
      </c>
      <c r="M417" s="21" t="str">
        <f>IF(A417="","",IFERROR(IF(SUMIF(N$2:N417,"CASA",K$2:K417)=0,"",SUMIF(N$2:N417,"CASA",K$2:K417)),""))</f>
        <v/>
      </c>
      <c r="N417" s="17" t="str">
        <f>IF(J417="","",IF(J417=0.2,"CASA",IF(Dati!G417="","",Dati!G417)))</f>
        <v/>
      </c>
    </row>
    <row r="418" spans="1:14" ht="15" customHeight="1" x14ac:dyDescent="0.2">
      <c r="A418" s="23" t="str">
        <f>IF(Dati!A418="","",Dati!A418)</f>
        <v/>
      </c>
      <c r="B418" s="17" t="str">
        <f>IF(Dati!B418="","",Dati!B418)</f>
        <v/>
      </c>
      <c r="C418" s="17" t="str">
        <f>IF(B418="","",IF(ISNUMBER(B417),IF(B418-B417&lt;0,B418,IF(B418-B417=0,"",B418-B417)),B418))</f>
        <v/>
      </c>
      <c r="D418" s="18" t="str">
        <f>IF(Dati!C418="","",IF(Dati!C418&gt;1,Dati!C418/100,Dati!C418))</f>
        <v/>
      </c>
      <c r="E418" s="18" t="str">
        <f>IF(Dati!D418="","",IF(Dati!D418&gt;1,Dati!D418/100,Dati!D418))</f>
        <v/>
      </c>
      <c r="F418" s="18" t="str">
        <f>IF(OR(D418="",E418=""),"",IF(OR(D418&gt;1,E418&gt;1),(E418-D418)/100,E418-D418))</f>
        <v/>
      </c>
      <c r="G418" s="17" t="str">
        <f>IF(F418="","",IF(64*F418=0,"",64*F418))</f>
        <v/>
      </c>
      <c r="H418" s="19" t="str">
        <f>IF(Dati!E418="","",Dati!E418)</f>
        <v/>
      </c>
      <c r="I418" s="19" t="str">
        <f>IFERROR(IF(OR(C418="",C418=0),"",H418/C418*100),"")</f>
        <v/>
      </c>
      <c r="J418" s="20" t="str">
        <f>IF(Dati!F418="","",Dati!F418)</f>
        <v/>
      </c>
      <c r="K418" s="19" t="str">
        <f>IF(OR(H418="",J418=""),"",IF(H418*J418=0,"",H418*J418))</f>
        <v/>
      </c>
      <c r="L418" s="19" t="str">
        <f>IF(A418="","",IFERROR(IF(SUMPRODUCT((ISNUMBER(A$2:A418))*(A$2:A418&gt;1000)*(MONTH(IF(ISNUMBER(A$2:A418),A$2:A418,1))=MONTH(A418))*(YEAR(IF(ISNUMBER(A$2:A418),A$2:A418,1))=YEAR(A418))*IF(ISNUMBER(K$2:K418),K$2:K418,0))=0,"",SUMPRODUCT((ISNUMBER(A$2:A418))*(A$2:A418&gt;1000)*(MONTH(IF(ISNUMBER(A$2:A418),A$2:A418,1))=MONTH(A418))*(YEAR(IF(ISNUMBER(A$2:A418),A$2:A418,1))=YEAR(A418))*IF(ISNUMBER(K$2:K418),K$2:K418,0))),""))</f>
        <v/>
      </c>
      <c r="M418" s="21" t="str">
        <f>IF(A418="","",IFERROR(IF(SUMIF(N$2:N418,"CASA",K$2:K418)=0,"",SUMIF(N$2:N418,"CASA",K$2:K418)),""))</f>
        <v/>
      </c>
      <c r="N418" s="17" t="str">
        <f>IF(J418="","",IF(J418=0.2,"CASA",IF(Dati!G418="","",Dati!G418)))</f>
        <v/>
      </c>
    </row>
    <row r="419" spans="1:14" ht="15" customHeight="1" x14ac:dyDescent="0.2">
      <c r="A419" s="23" t="str">
        <f>IF(Dati!A419="","",Dati!A419)</f>
        <v/>
      </c>
      <c r="B419" s="17" t="str">
        <f>IF(Dati!B419="","",Dati!B419)</f>
        <v/>
      </c>
      <c r="C419" s="17" t="str">
        <f>IF(B419="","",IF(ISNUMBER(B418),IF(B419-B418&lt;0,B419,IF(B419-B418=0,"",B419-B418)),B419))</f>
        <v/>
      </c>
      <c r="D419" s="18" t="str">
        <f>IF(Dati!C419="","",IF(Dati!C419&gt;1,Dati!C419/100,Dati!C419))</f>
        <v/>
      </c>
      <c r="E419" s="18" t="str">
        <f>IF(Dati!D419="","",IF(Dati!D419&gt;1,Dati!D419/100,Dati!D419))</f>
        <v/>
      </c>
      <c r="F419" s="18" t="str">
        <f>IF(OR(D419="",E419=""),"",IF(OR(D419&gt;1,E419&gt;1),(E419-D419)/100,E419-D419))</f>
        <v/>
      </c>
      <c r="G419" s="17" t="str">
        <f>IF(F419="","",IF(64*F419=0,"",64*F419))</f>
        <v/>
      </c>
      <c r="H419" s="19" t="str">
        <f>IF(Dati!E419="","",Dati!E419)</f>
        <v/>
      </c>
      <c r="I419" s="19" t="str">
        <f>IFERROR(IF(OR(C419="",C419=0),"",H419/C419*100),"")</f>
        <v/>
      </c>
      <c r="J419" s="20" t="str">
        <f>IF(Dati!F419="","",Dati!F419)</f>
        <v/>
      </c>
      <c r="K419" s="19" t="str">
        <f>IF(OR(H419="",J419=""),"",IF(H419*J419=0,"",H419*J419))</f>
        <v/>
      </c>
      <c r="L419" s="19" t="str">
        <f>IF(A419="","",IFERROR(IF(SUMPRODUCT((ISNUMBER(A$2:A419))*(A$2:A419&gt;1000)*(MONTH(IF(ISNUMBER(A$2:A419),A$2:A419,1))=MONTH(A419))*(YEAR(IF(ISNUMBER(A$2:A419),A$2:A419,1))=YEAR(A419))*IF(ISNUMBER(K$2:K419),K$2:K419,0))=0,"",SUMPRODUCT((ISNUMBER(A$2:A419))*(A$2:A419&gt;1000)*(MONTH(IF(ISNUMBER(A$2:A419),A$2:A419,1))=MONTH(A419))*(YEAR(IF(ISNUMBER(A$2:A419),A$2:A419,1))=YEAR(A419))*IF(ISNUMBER(K$2:K419),K$2:K419,0))),""))</f>
        <v/>
      </c>
      <c r="M419" s="21" t="str">
        <f>IF(A419="","",IFERROR(IF(SUMIF(N$2:N419,"CASA",K$2:K419)=0,"",SUMIF(N$2:N419,"CASA",K$2:K419)),""))</f>
        <v/>
      </c>
      <c r="N419" s="17" t="str">
        <f>IF(J419="","",IF(J419=0.2,"CASA",IF(Dati!G419="","",Dati!G419)))</f>
        <v/>
      </c>
    </row>
    <row r="420" spans="1:14" ht="15" customHeight="1" x14ac:dyDescent="0.2">
      <c r="A420" s="23" t="str">
        <f>IF(Dati!A420="","",Dati!A420)</f>
        <v/>
      </c>
      <c r="B420" s="17" t="str">
        <f>IF(Dati!B420="","",Dati!B420)</f>
        <v/>
      </c>
      <c r="C420" s="17" t="str">
        <f>IF(B420="","",IF(ISNUMBER(B419),IF(B420-B419&lt;0,B420,IF(B420-B419=0,"",B420-B419)),B420))</f>
        <v/>
      </c>
      <c r="D420" s="18" t="str">
        <f>IF(Dati!C420="","",IF(Dati!C420&gt;1,Dati!C420/100,Dati!C420))</f>
        <v/>
      </c>
      <c r="E420" s="18" t="str">
        <f>IF(Dati!D420="","",IF(Dati!D420&gt;1,Dati!D420/100,Dati!D420))</f>
        <v/>
      </c>
      <c r="F420" s="18" t="str">
        <f>IF(OR(D420="",E420=""),"",IF(OR(D420&gt;1,E420&gt;1),(E420-D420)/100,E420-D420))</f>
        <v/>
      </c>
      <c r="G420" s="17" t="str">
        <f>IF(F420="","",IF(64*F420=0,"",64*F420))</f>
        <v/>
      </c>
      <c r="H420" s="19" t="str">
        <f>IF(Dati!E420="","",Dati!E420)</f>
        <v/>
      </c>
      <c r="I420" s="19" t="str">
        <f>IFERROR(IF(OR(C420="",C420=0),"",H420/C420*100),"")</f>
        <v/>
      </c>
      <c r="J420" s="20" t="str">
        <f>IF(Dati!F420="","",Dati!F420)</f>
        <v/>
      </c>
      <c r="K420" s="19" t="str">
        <f>IF(OR(H420="",J420=""),"",IF(H420*J420=0,"",H420*J420))</f>
        <v/>
      </c>
      <c r="L420" s="19" t="str">
        <f>IF(A420="","",IFERROR(IF(SUMPRODUCT((ISNUMBER(A$2:A420))*(A$2:A420&gt;1000)*(MONTH(IF(ISNUMBER(A$2:A420),A$2:A420,1))=MONTH(A420))*(YEAR(IF(ISNUMBER(A$2:A420),A$2:A420,1))=YEAR(A420))*IF(ISNUMBER(K$2:K420),K$2:K420,0))=0,"",SUMPRODUCT((ISNUMBER(A$2:A420))*(A$2:A420&gt;1000)*(MONTH(IF(ISNUMBER(A$2:A420),A$2:A420,1))=MONTH(A420))*(YEAR(IF(ISNUMBER(A$2:A420),A$2:A420,1))=YEAR(A420))*IF(ISNUMBER(K$2:K420),K$2:K420,0))),""))</f>
        <v/>
      </c>
      <c r="M420" s="21" t="str">
        <f>IF(A420="","",IFERROR(IF(SUMIF(N$2:N420,"CASA",K$2:K420)=0,"",SUMIF(N$2:N420,"CASA",K$2:K420)),""))</f>
        <v/>
      </c>
      <c r="N420" s="17" t="str">
        <f>IF(J420="","",IF(J420=0.2,"CASA",IF(Dati!G420="","",Dati!G420)))</f>
        <v/>
      </c>
    </row>
    <row r="421" spans="1:14" ht="15" customHeight="1" x14ac:dyDescent="0.2">
      <c r="A421" s="23" t="str">
        <f>IF(Dati!A421="","",Dati!A421)</f>
        <v/>
      </c>
      <c r="B421" s="17" t="str">
        <f>IF(Dati!B421="","",Dati!B421)</f>
        <v/>
      </c>
      <c r="C421" s="17" t="str">
        <f>IF(B421="","",IF(ISNUMBER(B420),IF(B421-B420&lt;0,B421,IF(B421-B420=0,"",B421-B420)),B421))</f>
        <v/>
      </c>
      <c r="D421" s="18" t="str">
        <f>IF(Dati!C421="","",IF(Dati!C421&gt;1,Dati!C421/100,Dati!C421))</f>
        <v/>
      </c>
      <c r="E421" s="18" t="str">
        <f>IF(Dati!D421="","",IF(Dati!D421&gt;1,Dati!D421/100,Dati!D421))</f>
        <v/>
      </c>
      <c r="F421" s="18" t="str">
        <f>IF(OR(D421="",E421=""),"",IF(OR(D421&gt;1,E421&gt;1),(E421-D421)/100,E421-D421))</f>
        <v/>
      </c>
      <c r="G421" s="17" t="str">
        <f>IF(F421="","",IF(64*F421=0,"",64*F421))</f>
        <v/>
      </c>
      <c r="H421" s="19" t="str">
        <f>IF(Dati!E421="","",Dati!E421)</f>
        <v/>
      </c>
      <c r="I421" s="19" t="str">
        <f>IFERROR(IF(OR(C421="",C421=0),"",H421/C421*100),"")</f>
        <v/>
      </c>
      <c r="J421" s="20" t="str">
        <f>IF(Dati!F421="","",Dati!F421)</f>
        <v/>
      </c>
      <c r="K421" s="19" t="str">
        <f>IF(OR(H421="",J421=""),"",IF(H421*J421=0,"",H421*J421))</f>
        <v/>
      </c>
      <c r="L421" s="19" t="str">
        <f>IF(A421="","",IFERROR(IF(SUMPRODUCT((ISNUMBER(A$2:A421))*(A$2:A421&gt;1000)*(MONTH(IF(ISNUMBER(A$2:A421),A$2:A421,1))=MONTH(A421))*(YEAR(IF(ISNUMBER(A$2:A421),A$2:A421,1))=YEAR(A421))*IF(ISNUMBER(K$2:K421),K$2:K421,0))=0,"",SUMPRODUCT((ISNUMBER(A$2:A421))*(A$2:A421&gt;1000)*(MONTH(IF(ISNUMBER(A$2:A421),A$2:A421,1))=MONTH(A421))*(YEAR(IF(ISNUMBER(A$2:A421),A$2:A421,1))=YEAR(A421))*IF(ISNUMBER(K$2:K421),K$2:K421,0))),""))</f>
        <v/>
      </c>
      <c r="M421" s="21" t="str">
        <f>IF(A421="","",IFERROR(IF(SUMIF(N$2:N421,"CASA",K$2:K421)=0,"",SUMIF(N$2:N421,"CASA",K$2:K421)),""))</f>
        <v/>
      </c>
      <c r="N421" s="17" t="str">
        <f>IF(J421="","",IF(J421=0.2,"CASA",IF(Dati!G421="","",Dati!G421)))</f>
        <v/>
      </c>
    </row>
    <row r="422" spans="1:14" ht="15" customHeight="1" x14ac:dyDescent="0.2">
      <c r="A422" s="23" t="str">
        <f>IF(Dati!A422="","",Dati!A422)</f>
        <v/>
      </c>
      <c r="B422" s="17" t="str">
        <f>IF(Dati!B422="","",Dati!B422)</f>
        <v/>
      </c>
      <c r="C422" s="17" t="str">
        <f>IF(B422="","",IF(ISNUMBER(B421),IF(B422-B421&lt;0,B422,IF(B422-B421=0,"",B422-B421)),B422))</f>
        <v/>
      </c>
      <c r="D422" s="18" t="str">
        <f>IF(Dati!C422="","",IF(Dati!C422&gt;1,Dati!C422/100,Dati!C422))</f>
        <v/>
      </c>
      <c r="E422" s="18" t="str">
        <f>IF(Dati!D422="","",IF(Dati!D422&gt;1,Dati!D422/100,Dati!D422))</f>
        <v/>
      </c>
      <c r="F422" s="18" t="str">
        <f>IF(OR(D422="",E422=""),"",IF(OR(D422&gt;1,E422&gt;1),(E422-D422)/100,E422-D422))</f>
        <v/>
      </c>
      <c r="G422" s="17" t="str">
        <f>IF(F422="","",IF(64*F422=0,"",64*F422))</f>
        <v/>
      </c>
      <c r="H422" s="19" t="str">
        <f>IF(Dati!E422="","",Dati!E422)</f>
        <v/>
      </c>
      <c r="I422" s="19" t="str">
        <f>IFERROR(IF(OR(C422="",C422=0),"",H422/C422*100),"")</f>
        <v/>
      </c>
      <c r="J422" s="20" t="str">
        <f>IF(Dati!F422="","",Dati!F422)</f>
        <v/>
      </c>
      <c r="K422" s="19" t="str">
        <f>IF(OR(H422="",J422=""),"",IF(H422*J422=0,"",H422*J422))</f>
        <v/>
      </c>
      <c r="L422" s="19" t="str">
        <f>IF(A422="","",IFERROR(IF(SUMPRODUCT((ISNUMBER(A$2:A422))*(A$2:A422&gt;1000)*(MONTH(IF(ISNUMBER(A$2:A422),A$2:A422,1))=MONTH(A422))*(YEAR(IF(ISNUMBER(A$2:A422),A$2:A422,1))=YEAR(A422))*IF(ISNUMBER(K$2:K422),K$2:K422,0))=0,"",SUMPRODUCT((ISNUMBER(A$2:A422))*(A$2:A422&gt;1000)*(MONTH(IF(ISNUMBER(A$2:A422),A$2:A422,1))=MONTH(A422))*(YEAR(IF(ISNUMBER(A$2:A422),A$2:A422,1))=YEAR(A422))*IF(ISNUMBER(K$2:K422),K$2:K422,0))),""))</f>
        <v/>
      </c>
      <c r="M422" s="21" t="str">
        <f>IF(A422="","",IFERROR(IF(SUMIF(N$2:N422,"CASA",K$2:K422)=0,"",SUMIF(N$2:N422,"CASA",K$2:K422)),""))</f>
        <v/>
      </c>
      <c r="N422" s="17" t="str">
        <f>IF(J422="","",IF(J422=0.2,"CASA",IF(Dati!G422="","",Dati!G422)))</f>
        <v/>
      </c>
    </row>
    <row r="423" spans="1:14" ht="15" customHeight="1" x14ac:dyDescent="0.2">
      <c r="A423" s="23" t="str">
        <f>IF(Dati!A423="","",Dati!A423)</f>
        <v/>
      </c>
      <c r="B423" s="17" t="str">
        <f>IF(Dati!B423="","",Dati!B423)</f>
        <v/>
      </c>
      <c r="C423" s="17" t="str">
        <f>IF(B423="","",IF(ISNUMBER(B422),IF(B423-B422&lt;0,B423,IF(B423-B422=0,"",B423-B422)),B423))</f>
        <v/>
      </c>
      <c r="D423" s="18" t="str">
        <f>IF(Dati!C423="","",IF(Dati!C423&gt;1,Dati!C423/100,Dati!C423))</f>
        <v/>
      </c>
      <c r="E423" s="18" t="str">
        <f>IF(Dati!D423="","",IF(Dati!D423&gt;1,Dati!D423/100,Dati!D423))</f>
        <v/>
      </c>
      <c r="F423" s="18" t="str">
        <f>IF(OR(D423="",E423=""),"",IF(OR(D423&gt;1,E423&gt;1),(E423-D423)/100,E423-D423))</f>
        <v/>
      </c>
      <c r="G423" s="17" t="str">
        <f>IF(F423="","",IF(64*F423=0,"",64*F423))</f>
        <v/>
      </c>
      <c r="H423" s="19" t="str">
        <f>IF(Dati!E423="","",Dati!E423)</f>
        <v/>
      </c>
      <c r="I423" s="19" t="str">
        <f>IFERROR(IF(OR(C423="",C423=0),"",H423/C423*100),"")</f>
        <v/>
      </c>
      <c r="J423" s="20" t="str">
        <f>IF(Dati!F423="","",Dati!F423)</f>
        <v/>
      </c>
      <c r="K423" s="19" t="str">
        <f>IF(OR(H423="",J423=""),"",IF(H423*J423=0,"",H423*J423))</f>
        <v/>
      </c>
      <c r="L423" s="19" t="str">
        <f>IF(A423="","",IFERROR(IF(SUMPRODUCT((ISNUMBER(A$2:A423))*(A$2:A423&gt;1000)*(MONTH(IF(ISNUMBER(A$2:A423),A$2:A423,1))=MONTH(A423))*(YEAR(IF(ISNUMBER(A$2:A423),A$2:A423,1))=YEAR(A423))*IF(ISNUMBER(K$2:K423),K$2:K423,0))=0,"",SUMPRODUCT((ISNUMBER(A$2:A423))*(A$2:A423&gt;1000)*(MONTH(IF(ISNUMBER(A$2:A423),A$2:A423,1))=MONTH(A423))*(YEAR(IF(ISNUMBER(A$2:A423),A$2:A423,1))=YEAR(A423))*IF(ISNUMBER(K$2:K423),K$2:K423,0))),""))</f>
        <v/>
      </c>
      <c r="M423" s="21" t="str">
        <f>IF(A423="","",IFERROR(IF(SUMIF(N$2:N423,"CASA",K$2:K423)=0,"",SUMIF(N$2:N423,"CASA",K$2:K423)),""))</f>
        <v/>
      </c>
      <c r="N423" s="17" t="str">
        <f>IF(J423="","",IF(J423=0.2,"CASA",IF(Dati!G423="","",Dati!G423)))</f>
        <v/>
      </c>
    </row>
    <row r="424" spans="1:14" ht="15" customHeight="1" x14ac:dyDescent="0.2">
      <c r="A424" s="23" t="str">
        <f>IF(Dati!A424="","",Dati!A424)</f>
        <v/>
      </c>
      <c r="B424" s="17" t="str">
        <f>IF(Dati!B424="","",Dati!B424)</f>
        <v/>
      </c>
      <c r="C424" s="17" t="str">
        <f>IF(B424="","",IF(ISNUMBER(B423),IF(B424-B423&lt;0,B424,IF(B424-B423=0,"",B424-B423)),B424))</f>
        <v/>
      </c>
      <c r="D424" s="18" t="str">
        <f>IF(Dati!C424="","",IF(Dati!C424&gt;1,Dati!C424/100,Dati!C424))</f>
        <v/>
      </c>
      <c r="E424" s="18" t="str">
        <f>IF(Dati!D424="","",IF(Dati!D424&gt;1,Dati!D424/100,Dati!D424))</f>
        <v/>
      </c>
      <c r="F424" s="18" t="str">
        <f>IF(OR(D424="",E424=""),"",IF(OR(D424&gt;1,E424&gt;1),(E424-D424)/100,E424-D424))</f>
        <v/>
      </c>
      <c r="G424" s="17" t="str">
        <f>IF(F424="","",IF(64*F424=0,"",64*F424))</f>
        <v/>
      </c>
      <c r="H424" s="19" t="str">
        <f>IF(Dati!E424="","",Dati!E424)</f>
        <v/>
      </c>
      <c r="I424" s="19" t="str">
        <f>IFERROR(IF(OR(C424="",C424=0),"",H424/C424*100),"")</f>
        <v/>
      </c>
      <c r="J424" s="20" t="str">
        <f>IF(Dati!F424="","",Dati!F424)</f>
        <v/>
      </c>
      <c r="K424" s="19" t="str">
        <f>IF(OR(H424="",J424=""),"",IF(H424*J424=0,"",H424*J424))</f>
        <v/>
      </c>
      <c r="L424" s="19" t="str">
        <f>IF(A424="","",IFERROR(IF(SUMPRODUCT((ISNUMBER(A$2:A424))*(A$2:A424&gt;1000)*(MONTH(IF(ISNUMBER(A$2:A424),A$2:A424,1))=MONTH(A424))*(YEAR(IF(ISNUMBER(A$2:A424),A$2:A424,1))=YEAR(A424))*IF(ISNUMBER(K$2:K424),K$2:K424,0))=0,"",SUMPRODUCT((ISNUMBER(A$2:A424))*(A$2:A424&gt;1000)*(MONTH(IF(ISNUMBER(A$2:A424),A$2:A424,1))=MONTH(A424))*(YEAR(IF(ISNUMBER(A$2:A424),A$2:A424,1))=YEAR(A424))*IF(ISNUMBER(K$2:K424),K$2:K424,0))),""))</f>
        <v/>
      </c>
      <c r="M424" s="21" t="str">
        <f>IF(A424="","",IFERROR(IF(SUMIF(N$2:N424,"CASA",K$2:K424)=0,"",SUMIF(N$2:N424,"CASA",K$2:K424)),""))</f>
        <v/>
      </c>
      <c r="N424" s="17" t="str">
        <f>IF(J424="","",IF(J424=0.2,"CASA",IF(Dati!G424="","",Dati!G424)))</f>
        <v/>
      </c>
    </row>
    <row r="425" spans="1:14" ht="15" customHeight="1" x14ac:dyDescent="0.2">
      <c r="A425" s="23" t="str">
        <f>IF(Dati!A425="","",Dati!A425)</f>
        <v/>
      </c>
      <c r="B425" s="17" t="str">
        <f>IF(Dati!B425="","",Dati!B425)</f>
        <v/>
      </c>
      <c r="C425" s="17" t="str">
        <f>IF(B425="","",IF(ISNUMBER(B424),IF(B425-B424&lt;0,B425,IF(B425-B424=0,"",B425-B424)),B425))</f>
        <v/>
      </c>
      <c r="D425" s="18" t="str">
        <f>IF(Dati!C425="","",IF(Dati!C425&gt;1,Dati!C425/100,Dati!C425))</f>
        <v/>
      </c>
      <c r="E425" s="18" t="str">
        <f>IF(Dati!D425="","",IF(Dati!D425&gt;1,Dati!D425/100,Dati!D425))</f>
        <v/>
      </c>
      <c r="F425" s="18" t="str">
        <f>IF(OR(D425="",E425=""),"",IF(OR(D425&gt;1,E425&gt;1),(E425-D425)/100,E425-D425))</f>
        <v/>
      </c>
      <c r="G425" s="17" t="str">
        <f>IF(F425="","",IF(64*F425=0,"",64*F425))</f>
        <v/>
      </c>
      <c r="H425" s="19" t="str">
        <f>IF(Dati!E425="","",Dati!E425)</f>
        <v/>
      </c>
      <c r="I425" s="19" t="str">
        <f>IFERROR(IF(OR(C425="",C425=0),"",H425/C425*100),"")</f>
        <v/>
      </c>
      <c r="J425" s="20" t="str">
        <f>IF(Dati!F425="","",Dati!F425)</f>
        <v/>
      </c>
      <c r="K425" s="19" t="str">
        <f>IF(OR(H425="",J425=""),"",IF(H425*J425=0,"",H425*J425))</f>
        <v/>
      </c>
      <c r="L425" s="19" t="str">
        <f>IF(A425="","",IFERROR(IF(SUMPRODUCT((ISNUMBER(A$2:A425))*(A$2:A425&gt;1000)*(MONTH(IF(ISNUMBER(A$2:A425),A$2:A425,1))=MONTH(A425))*(YEAR(IF(ISNUMBER(A$2:A425),A$2:A425,1))=YEAR(A425))*IF(ISNUMBER(K$2:K425),K$2:K425,0))=0,"",SUMPRODUCT((ISNUMBER(A$2:A425))*(A$2:A425&gt;1000)*(MONTH(IF(ISNUMBER(A$2:A425),A$2:A425,1))=MONTH(A425))*(YEAR(IF(ISNUMBER(A$2:A425),A$2:A425,1))=YEAR(A425))*IF(ISNUMBER(K$2:K425),K$2:K425,0))),""))</f>
        <v/>
      </c>
      <c r="M425" s="21" t="str">
        <f>IF(A425="","",IFERROR(IF(SUMIF(N$2:N425,"CASA",K$2:K425)=0,"",SUMIF(N$2:N425,"CASA",K$2:K425)),""))</f>
        <v/>
      </c>
      <c r="N425" s="17" t="str">
        <f>IF(J425="","",IF(J425=0.2,"CASA",IF(Dati!G425="","",Dati!G425)))</f>
        <v/>
      </c>
    </row>
    <row r="426" spans="1:14" ht="15" customHeight="1" x14ac:dyDescent="0.2">
      <c r="A426" s="23" t="str">
        <f>IF(Dati!A426="","",Dati!A426)</f>
        <v/>
      </c>
      <c r="B426" s="17" t="str">
        <f>IF(Dati!B426="","",Dati!B426)</f>
        <v/>
      </c>
      <c r="C426" s="17" t="str">
        <f>IF(B426="","",IF(ISNUMBER(B425),IF(B426-B425&lt;0,B426,IF(B426-B425=0,"",B426-B425)),B426))</f>
        <v/>
      </c>
      <c r="D426" s="18" t="str">
        <f>IF(Dati!C426="","",IF(Dati!C426&gt;1,Dati!C426/100,Dati!C426))</f>
        <v/>
      </c>
      <c r="E426" s="18" t="str">
        <f>IF(Dati!D426="","",IF(Dati!D426&gt;1,Dati!D426/100,Dati!D426))</f>
        <v/>
      </c>
      <c r="F426" s="18" t="str">
        <f>IF(OR(D426="",E426=""),"",IF(OR(D426&gt;1,E426&gt;1),(E426-D426)/100,E426-D426))</f>
        <v/>
      </c>
      <c r="G426" s="17" t="str">
        <f>IF(F426="","",IF(64*F426=0,"",64*F426))</f>
        <v/>
      </c>
      <c r="H426" s="19" t="str">
        <f>IF(Dati!E426="","",Dati!E426)</f>
        <v/>
      </c>
      <c r="I426" s="19" t="str">
        <f>IFERROR(IF(OR(C426="",C426=0),"",H426/C426*100),"")</f>
        <v/>
      </c>
      <c r="J426" s="20" t="str">
        <f>IF(Dati!F426="","",Dati!F426)</f>
        <v/>
      </c>
      <c r="K426" s="19" t="str">
        <f>IF(OR(H426="",J426=""),"",IF(H426*J426=0,"",H426*J426))</f>
        <v/>
      </c>
      <c r="L426" s="19" t="str">
        <f>IF(A426="","",IFERROR(IF(SUMPRODUCT((ISNUMBER(A$2:A426))*(A$2:A426&gt;1000)*(MONTH(IF(ISNUMBER(A$2:A426),A$2:A426,1))=MONTH(A426))*(YEAR(IF(ISNUMBER(A$2:A426),A$2:A426,1))=YEAR(A426))*IF(ISNUMBER(K$2:K426),K$2:K426,0))=0,"",SUMPRODUCT((ISNUMBER(A$2:A426))*(A$2:A426&gt;1000)*(MONTH(IF(ISNUMBER(A$2:A426),A$2:A426,1))=MONTH(A426))*(YEAR(IF(ISNUMBER(A$2:A426),A$2:A426,1))=YEAR(A426))*IF(ISNUMBER(K$2:K426),K$2:K426,0))),""))</f>
        <v/>
      </c>
      <c r="M426" s="21" t="str">
        <f>IF(A426="","",IFERROR(IF(SUMIF(N$2:N426,"CASA",K$2:K426)=0,"",SUMIF(N$2:N426,"CASA",K$2:K426)),""))</f>
        <v/>
      </c>
      <c r="N426" s="17" t="str">
        <f>IF(J426="","",IF(J426=0.2,"CASA",IF(Dati!G426="","",Dati!G426)))</f>
        <v/>
      </c>
    </row>
    <row r="427" spans="1:14" ht="15" customHeight="1" x14ac:dyDescent="0.2">
      <c r="A427" s="23" t="str">
        <f>IF(Dati!A427="","",Dati!A427)</f>
        <v/>
      </c>
      <c r="B427" s="17" t="str">
        <f>IF(Dati!B427="","",Dati!B427)</f>
        <v/>
      </c>
      <c r="C427" s="17" t="str">
        <f>IF(B427="","",IF(ISNUMBER(B426),IF(B427-B426&lt;0,B427,IF(B427-B426=0,"",B427-B426)),B427))</f>
        <v/>
      </c>
      <c r="D427" s="18" t="str">
        <f>IF(Dati!C427="","",IF(Dati!C427&gt;1,Dati!C427/100,Dati!C427))</f>
        <v/>
      </c>
      <c r="E427" s="18" t="str">
        <f>IF(Dati!D427="","",IF(Dati!D427&gt;1,Dati!D427/100,Dati!D427))</f>
        <v/>
      </c>
      <c r="F427" s="18" t="str">
        <f>IF(OR(D427="",E427=""),"",IF(OR(D427&gt;1,E427&gt;1),(E427-D427)/100,E427-D427))</f>
        <v/>
      </c>
      <c r="G427" s="17" t="str">
        <f>IF(F427="","",IF(64*F427=0,"",64*F427))</f>
        <v/>
      </c>
      <c r="H427" s="19" t="str">
        <f>IF(Dati!E427="","",Dati!E427)</f>
        <v/>
      </c>
      <c r="I427" s="19" t="str">
        <f>IFERROR(IF(OR(C427="",C427=0),"",H427/C427*100),"")</f>
        <v/>
      </c>
      <c r="J427" s="20" t="str">
        <f>IF(Dati!F427="","",Dati!F427)</f>
        <v/>
      </c>
      <c r="K427" s="19" t="str">
        <f>IF(OR(H427="",J427=""),"",IF(H427*J427=0,"",H427*J427))</f>
        <v/>
      </c>
      <c r="L427" s="19" t="str">
        <f>IF(A427="","",IFERROR(IF(SUMPRODUCT((ISNUMBER(A$2:A427))*(A$2:A427&gt;1000)*(MONTH(IF(ISNUMBER(A$2:A427),A$2:A427,1))=MONTH(A427))*(YEAR(IF(ISNUMBER(A$2:A427),A$2:A427,1))=YEAR(A427))*IF(ISNUMBER(K$2:K427),K$2:K427,0))=0,"",SUMPRODUCT((ISNUMBER(A$2:A427))*(A$2:A427&gt;1000)*(MONTH(IF(ISNUMBER(A$2:A427),A$2:A427,1))=MONTH(A427))*(YEAR(IF(ISNUMBER(A$2:A427),A$2:A427,1))=YEAR(A427))*IF(ISNUMBER(K$2:K427),K$2:K427,0))),""))</f>
        <v/>
      </c>
      <c r="M427" s="21" t="str">
        <f>IF(A427="","",IFERROR(IF(SUMIF(N$2:N427,"CASA",K$2:K427)=0,"",SUMIF(N$2:N427,"CASA",K$2:K427)),""))</f>
        <v/>
      </c>
      <c r="N427" s="17" t="str">
        <f>IF(J427="","",IF(J427=0.2,"CASA",IF(Dati!G427="","",Dati!G427)))</f>
        <v/>
      </c>
    </row>
    <row r="428" spans="1:14" ht="15" customHeight="1" x14ac:dyDescent="0.2">
      <c r="A428" s="23" t="str">
        <f>IF(Dati!A428="","",Dati!A428)</f>
        <v/>
      </c>
      <c r="B428" s="17" t="str">
        <f>IF(Dati!B428="","",Dati!B428)</f>
        <v/>
      </c>
      <c r="C428" s="17" t="str">
        <f>IF(B428="","",IF(ISNUMBER(B427),IF(B428-B427&lt;0,B428,IF(B428-B427=0,"",B428-B427)),B428))</f>
        <v/>
      </c>
      <c r="D428" s="18" t="str">
        <f>IF(Dati!C428="","",IF(Dati!C428&gt;1,Dati!C428/100,Dati!C428))</f>
        <v/>
      </c>
      <c r="E428" s="18" t="str">
        <f>IF(Dati!D428="","",IF(Dati!D428&gt;1,Dati!D428/100,Dati!D428))</f>
        <v/>
      </c>
      <c r="F428" s="18" t="str">
        <f>IF(OR(D428="",E428=""),"",IF(OR(D428&gt;1,E428&gt;1),(E428-D428)/100,E428-D428))</f>
        <v/>
      </c>
      <c r="G428" s="17" t="str">
        <f>IF(F428="","",IF(64*F428=0,"",64*F428))</f>
        <v/>
      </c>
      <c r="H428" s="19" t="str">
        <f>IF(Dati!E428="","",Dati!E428)</f>
        <v/>
      </c>
      <c r="I428" s="19" t="str">
        <f>IFERROR(IF(OR(C428="",C428=0),"",H428/C428*100),"")</f>
        <v/>
      </c>
      <c r="J428" s="20" t="str">
        <f>IF(Dati!F428="","",Dati!F428)</f>
        <v/>
      </c>
      <c r="K428" s="19" t="str">
        <f>IF(OR(H428="",J428=""),"",IF(H428*J428=0,"",H428*J428))</f>
        <v/>
      </c>
      <c r="L428" s="19" t="str">
        <f>IF(A428="","",IFERROR(IF(SUMPRODUCT((ISNUMBER(A$2:A428))*(A$2:A428&gt;1000)*(MONTH(IF(ISNUMBER(A$2:A428),A$2:A428,1))=MONTH(A428))*(YEAR(IF(ISNUMBER(A$2:A428),A$2:A428,1))=YEAR(A428))*IF(ISNUMBER(K$2:K428),K$2:K428,0))=0,"",SUMPRODUCT((ISNUMBER(A$2:A428))*(A$2:A428&gt;1000)*(MONTH(IF(ISNUMBER(A$2:A428),A$2:A428,1))=MONTH(A428))*(YEAR(IF(ISNUMBER(A$2:A428),A$2:A428,1))=YEAR(A428))*IF(ISNUMBER(K$2:K428),K$2:K428,0))),""))</f>
        <v/>
      </c>
      <c r="M428" s="21" t="str">
        <f>IF(A428="","",IFERROR(IF(SUMIF(N$2:N428,"CASA",K$2:K428)=0,"",SUMIF(N$2:N428,"CASA",K$2:K428)),""))</f>
        <v/>
      </c>
      <c r="N428" s="17" t="str">
        <f>IF(J428="","",IF(J428=0.2,"CASA",IF(Dati!G428="","",Dati!G428)))</f>
        <v/>
      </c>
    </row>
    <row r="429" spans="1:14" ht="15" customHeight="1" x14ac:dyDescent="0.2">
      <c r="A429" s="23" t="str">
        <f>IF(Dati!A429="","",Dati!A429)</f>
        <v/>
      </c>
      <c r="B429" s="17" t="str">
        <f>IF(Dati!B429="","",Dati!B429)</f>
        <v/>
      </c>
      <c r="C429" s="17" t="str">
        <f>IF(B429="","",IF(ISNUMBER(B428),IF(B429-B428&lt;0,B429,IF(B429-B428=0,"",B429-B428)),B429))</f>
        <v/>
      </c>
      <c r="D429" s="18" t="str">
        <f>IF(Dati!C429="","",IF(Dati!C429&gt;1,Dati!C429/100,Dati!C429))</f>
        <v/>
      </c>
      <c r="E429" s="18" t="str">
        <f>IF(Dati!D429="","",IF(Dati!D429&gt;1,Dati!D429/100,Dati!D429))</f>
        <v/>
      </c>
      <c r="F429" s="18" t="str">
        <f>IF(OR(D429="",E429=""),"",IF(OR(D429&gt;1,E429&gt;1),(E429-D429)/100,E429-D429))</f>
        <v/>
      </c>
      <c r="G429" s="17" t="str">
        <f>IF(F429="","",IF(64*F429=0,"",64*F429))</f>
        <v/>
      </c>
      <c r="H429" s="19" t="str">
        <f>IF(Dati!E429="","",Dati!E429)</f>
        <v/>
      </c>
      <c r="I429" s="19" t="str">
        <f>IFERROR(IF(OR(C429="",C429=0),"",H429/C429*100),"")</f>
        <v/>
      </c>
      <c r="J429" s="20" t="str">
        <f>IF(Dati!F429="","",Dati!F429)</f>
        <v/>
      </c>
      <c r="K429" s="19" t="str">
        <f>IF(OR(H429="",J429=""),"",IF(H429*J429=0,"",H429*J429))</f>
        <v/>
      </c>
      <c r="L429" s="19" t="str">
        <f>IF(A429="","",IFERROR(IF(SUMPRODUCT((ISNUMBER(A$2:A429))*(A$2:A429&gt;1000)*(MONTH(IF(ISNUMBER(A$2:A429),A$2:A429,1))=MONTH(A429))*(YEAR(IF(ISNUMBER(A$2:A429),A$2:A429,1))=YEAR(A429))*IF(ISNUMBER(K$2:K429),K$2:K429,0))=0,"",SUMPRODUCT((ISNUMBER(A$2:A429))*(A$2:A429&gt;1000)*(MONTH(IF(ISNUMBER(A$2:A429),A$2:A429,1))=MONTH(A429))*(YEAR(IF(ISNUMBER(A$2:A429),A$2:A429,1))=YEAR(A429))*IF(ISNUMBER(K$2:K429),K$2:K429,0))),""))</f>
        <v/>
      </c>
      <c r="M429" s="21" t="str">
        <f>IF(A429="","",IFERROR(IF(SUMIF(N$2:N429,"CASA",K$2:K429)=0,"",SUMIF(N$2:N429,"CASA",K$2:K429)),""))</f>
        <v/>
      </c>
      <c r="N429" s="17" t="str">
        <f>IF(J429="","",IF(J429=0.2,"CASA",IF(Dati!G429="","",Dati!G429)))</f>
        <v/>
      </c>
    </row>
    <row r="430" spans="1:14" ht="15" customHeight="1" x14ac:dyDescent="0.2">
      <c r="A430" s="23" t="str">
        <f>IF(Dati!A430="","",Dati!A430)</f>
        <v/>
      </c>
      <c r="B430" s="17" t="str">
        <f>IF(Dati!B430="","",Dati!B430)</f>
        <v/>
      </c>
      <c r="C430" s="17" t="str">
        <f>IF(B430="","",IF(ISNUMBER(B429),IF(B430-B429&lt;0,B430,IF(B430-B429=0,"",B430-B429)),B430))</f>
        <v/>
      </c>
      <c r="D430" s="18" t="str">
        <f>IF(Dati!C430="","",IF(Dati!C430&gt;1,Dati!C430/100,Dati!C430))</f>
        <v/>
      </c>
      <c r="E430" s="18" t="str">
        <f>IF(Dati!D430="","",IF(Dati!D430&gt;1,Dati!D430/100,Dati!D430))</f>
        <v/>
      </c>
      <c r="F430" s="18" t="str">
        <f>IF(OR(D430="",E430=""),"",IF(OR(D430&gt;1,E430&gt;1),(E430-D430)/100,E430-D430))</f>
        <v/>
      </c>
      <c r="G430" s="17" t="str">
        <f>IF(F430="","",IF(64*F430=0,"",64*F430))</f>
        <v/>
      </c>
      <c r="H430" s="19" t="str">
        <f>IF(Dati!E430="","",Dati!E430)</f>
        <v/>
      </c>
      <c r="I430" s="19" t="str">
        <f>IFERROR(IF(OR(C430="",C430=0),"",H430/C430*100),"")</f>
        <v/>
      </c>
      <c r="J430" s="20" t="str">
        <f>IF(Dati!F430="","",Dati!F430)</f>
        <v/>
      </c>
      <c r="K430" s="19" t="str">
        <f>IF(OR(H430="",J430=""),"",IF(H430*J430=0,"",H430*J430))</f>
        <v/>
      </c>
      <c r="L430" s="19" t="str">
        <f>IF(A430="","",IFERROR(IF(SUMPRODUCT((ISNUMBER(A$2:A430))*(A$2:A430&gt;1000)*(MONTH(IF(ISNUMBER(A$2:A430),A$2:A430,1))=MONTH(A430))*(YEAR(IF(ISNUMBER(A$2:A430),A$2:A430,1))=YEAR(A430))*IF(ISNUMBER(K$2:K430),K$2:K430,0))=0,"",SUMPRODUCT((ISNUMBER(A$2:A430))*(A$2:A430&gt;1000)*(MONTH(IF(ISNUMBER(A$2:A430),A$2:A430,1))=MONTH(A430))*(YEAR(IF(ISNUMBER(A$2:A430),A$2:A430,1))=YEAR(A430))*IF(ISNUMBER(K$2:K430),K$2:K430,0))),""))</f>
        <v/>
      </c>
      <c r="M430" s="21" t="str">
        <f>IF(A430="","",IFERROR(IF(SUMIF(N$2:N430,"CASA",K$2:K430)=0,"",SUMIF(N$2:N430,"CASA",K$2:K430)),""))</f>
        <v/>
      </c>
      <c r="N430" s="17" t="str">
        <f>IF(J430="","",IF(J430=0.2,"CASA",IF(Dati!G430="","",Dati!G430)))</f>
        <v/>
      </c>
    </row>
    <row r="431" spans="1:14" ht="15" customHeight="1" x14ac:dyDescent="0.2">
      <c r="A431" s="23" t="str">
        <f>IF(Dati!A431="","",Dati!A431)</f>
        <v/>
      </c>
      <c r="B431" s="17" t="str">
        <f>IF(Dati!B431="","",Dati!B431)</f>
        <v/>
      </c>
      <c r="C431" s="17" t="str">
        <f>IF(B431="","",IF(ISNUMBER(B430),IF(B431-B430&lt;0,B431,IF(B431-B430=0,"",B431-B430)),B431))</f>
        <v/>
      </c>
      <c r="D431" s="18" t="str">
        <f>IF(Dati!C431="","",IF(Dati!C431&gt;1,Dati!C431/100,Dati!C431))</f>
        <v/>
      </c>
      <c r="E431" s="18" t="str">
        <f>IF(Dati!D431="","",IF(Dati!D431&gt;1,Dati!D431/100,Dati!D431))</f>
        <v/>
      </c>
      <c r="F431" s="18" t="str">
        <f>IF(OR(D431="",E431=""),"",IF(OR(D431&gt;1,E431&gt;1),(E431-D431)/100,E431-D431))</f>
        <v/>
      </c>
      <c r="G431" s="17" t="str">
        <f>IF(F431="","",IF(64*F431=0,"",64*F431))</f>
        <v/>
      </c>
      <c r="H431" s="19" t="str">
        <f>IF(Dati!E431="","",Dati!E431)</f>
        <v/>
      </c>
      <c r="I431" s="19" t="str">
        <f>IFERROR(IF(OR(C431="",C431=0),"",H431/C431*100),"")</f>
        <v/>
      </c>
      <c r="J431" s="20" t="str">
        <f>IF(Dati!F431="","",Dati!F431)</f>
        <v/>
      </c>
      <c r="K431" s="19" t="str">
        <f>IF(OR(H431="",J431=""),"",IF(H431*J431=0,"",H431*J431))</f>
        <v/>
      </c>
      <c r="L431" s="19" t="str">
        <f>IF(A431="","",IFERROR(IF(SUMPRODUCT((ISNUMBER(A$2:A431))*(A$2:A431&gt;1000)*(MONTH(IF(ISNUMBER(A$2:A431),A$2:A431,1))=MONTH(A431))*(YEAR(IF(ISNUMBER(A$2:A431),A$2:A431,1))=YEAR(A431))*IF(ISNUMBER(K$2:K431),K$2:K431,0))=0,"",SUMPRODUCT((ISNUMBER(A$2:A431))*(A$2:A431&gt;1000)*(MONTH(IF(ISNUMBER(A$2:A431),A$2:A431,1))=MONTH(A431))*(YEAR(IF(ISNUMBER(A$2:A431),A$2:A431,1))=YEAR(A431))*IF(ISNUMBER(K$2:K431),K$2:K431,0))),""))</f>
        <v/>
      </c>
      <c r="M431" s="21" t="str">
        <f>IF(A431="","",IFERROR(IF(SUMIF(N$2:N431,"CASA",K$2:K431)=0,"",SUMIF(N$2:N431,"CASA",K$2:K431)),""))</f>
        <v/>
      </c>
      <c r="N431" s="17" t="str">
        <f>IF(J431="","",IF(J431=0.2,"CASA",IF(Dati!G431="","",Dati!G431)))</f>
        <v/>
      </c>
    </row>
    <row r="432" spans="1:14" ht="15" customHeight="1" x14ac:dyDescent="0.2">
      <c r="A432" s="23" t="str">
        <f>IF(Dati!A432="","",Dati!A432)</f>
        <v/>
      </c>
      <c r="B432" s="17" t="str">
        <f>IF(Dati!B432="","",Dati!B432)</f>
        <v/>
      </c>
      <c r="C432" s="17" t="str">
        <f>IF(B432="","",IF(ISNUMBER(B431),IF(B432-B431&lt;0,B432,IF(B432-B431=0,"",B432-B431)),B432))</f>
        <v/>
      </c>
      <c r="D432" s="18" t="str">
        <f>IF(Dati!C432="","",IF(Dati!C432&gt;1,Dati!C432/100,Dati!C432))</f>
        <v/>
      </c>
      <c r="E432" s="18" t="str">
        <f>IF(Dati!D432="","",IF(Dati!D432&gt;1,Dati!D432/100,Dati!D432))</f>
        <v/>
      </c>
      <c r="F432" s="18" t="str">
        <f>IF(OR(D432="",E432=""),"",IF(OR(D432&gt;1,E432&gt;1),(E432-D432)/100,E432-D432))</f>
        <v/>
      </c>
      <c r="G432" s="17" t="str">
        <f>IF(F432="","",IF(64*F432=0,"",64*F432))</f>
        <v/>
      </c>
      <c r="H432" s="19" t="str">
        <f>IF(Dati!E432="","",Dati!E432)</f>
        <v/>
      </c>
      <c r="I432" s="19" t="str">
        <f>IFERROR(IF(OR(C432="",C432=0),"",H432/C432*100),"")</f>
        <v/>
      </c>
      <c r="J432" s="20" t="str">
        <f>IF(Dati!F432="","",Dati!F432)</f>
        <v/>
      </c>
      <c r="K432" s="19" t="str">
        <f>IF(OR(H432="",J432=""),"",IF(H432*J432=0,"",H432*J432))</f>
        <v/>
      </c>
      <c r="L432" s="19" t="str">
        <f>IF(A432="","",IFERROR(IF(SUMPRODUCT((ISNUMBER(A$2:A432))*(A$2:A432&gt;1000)*(MONTH(IF(ISNUMBER(A$2:A432),A$2:A432,1))=MONTH(A432))*(YEAR(IF(ISNUMBER(A$2:A432),A$2:A432,1))=YEAR(A432))*IF(ISNUMBER(K$2:K432),K$2:K432,0))=0,"",SUMPRODUCT((ISNUMBER(A$2:A432))*(A$2:A432&gt;1000)*(MONTH(IF(ISNUMBER(A$2:A432),A$2:A432,1))=MONTH(A432))*(YEAR(IF(ISNUMBER(A$2:A432),A$2:A432,1))=YEAR(A432))*IF(ISNUMBER(K$2:K432),K$2:K432,0))),""))</f>
        <v/>
      </c>
      <c r="M432" s="21" t="str">
        <f>IF(A432="","",IFERROR(IF(SUMIF(N$2:N432,"CASA",K$2:K432)=0,"",SUMIF(N$2:N432,"CASA",K$2:K432)),""))</f>
        <v/>
      </c>
      <c r="N432" s="17" t="str">
        <f>IF(J432="","",IF(J432=0.2,"CASA",IF(Dati!G432="","",Dati!G432)))</f>
        <v/>
      </c>
    </row>
    <row r="433" spans="1:14" ht="15" customHeight="1" x14ac:dyDescent="0.2">
      <c r="A433" s="23" t="str">
        <f>IF(Dati!A433="","",Dati!A433)</f>
        <v/>
      </c>
      <c r="B433" s="17" t="str">
        <f>IF(Dati!B433="","",Dati!B433)</f>
        <v/>
      </c>
      <c r="C433" s="17" t="str">
        <f>IF(B433="","",IF(ISNUMBER(B432),IF(B433-B432&lt;0,B433,IF(B433-B432=0,"",B433-B432)),B433))</f>
        <v/>
      </c>
      <c r="D433" s="18" t="str">
        <f>IF(Dati!C433="","",IF(Dati!C433&gt;1,Dati!C433/100,Dati!C433))</f>
        <v/>
      </c>
      <c r="E433" s="18" t="str">
        <f>IF(Dati!D433="","",IF(Dati!D433&gt;1,Dati!D433/100,Dati!D433))</f>
        <v/>
      </c>
      <c r="F433" s="18" t="str">
        <f>IF(OR(D433="",E433=""),"",IF(OR(D433&gt;1,E433&gt;1),(E433-D433)/100,E433-D433))</f>
        <v/>
      </c>
      <c r="G433" s="17" t="str">
        <f>IF(F433="","",IF(64*F433=0,"",64*F433))</f>
        <v/>
      </c>
      <c r="H433" s="19" t="str">
        <f>IF(Dati!E433="","",Dati!E433)</f>
        <v/>
      </c>
      <c r="I433" s="19" t="str">
        <f>IFERROR(IF(OR(C433="",C433=0),"",H433/C433*100),"")</f>
        <v/>
      </c>
      <c r="J433" s="20" t="str">
        <f>IF(Dati!F433="","",Dati!F433)</f>
        <v/>
      </c>
      <c r="K433" s="19" t="str">
        <f>IF(OR(H433="",J433=""),"",IF(H433*J433=0,"",H433*J433))</f>
        <v/>
      </c>
      <c r="L433" s="19" t="str">
        <f>IF(A433="","",IFERROR(IF(SUMPRODUCT((ISNUMBER(A$2:A433))*(A$2:A433&gt;1000)*(MONTH(IF(ISNUMBER(A$2:A433),A$2:A433,1))=MONTH(A433))*(YEAR(IF(ISNUMBER(A$2:A433),A$2:A433,1))=YEAR(A433))*IF(ISNUMBER(K$2:K433),K$2:K433,0))=0,"",SUMPRODUCT((ISNUMBER(A$2:A433))*(A$2:A433&gt;1000)*(MONTH(IF(ISNUMBER(A$2:A433),A$2:A433,1))=MONTH(A433))*(YEAR(IF(ISNUMBER(A$2:A433),A$2:A433,1))=YEAR(A433))*IF(ISNUMBER(K$2:K433),K$2:K433,0))),""))</f>
        <v/>
      </c>
      <c r="M433" s="21" t="str">
        <f>IF(A433="","",IFERROR(IF(SUMIF(N$2:N433,"CASA",K$2:K433)=0,"",SUMIF(N$2:N433,"CASA",K$2:K433)),""))</f>
        <v/>
      </c>
      <c r="N433" s="17" t="str">
        <f>IF(J433="","",IF(J433=0.2,"CASA",IF(Dati!G433="","",Dati!G433)))</f>
        <v/>
      </c>
    </row>
    <row r="434" spans="1:14" ht="15" customHeight="1" x14ac:dyDescent="0.2">
      <c r="A434" s="23" t="str">
        <f>IF(Dati!A434="","",Dati!A434)</f>
        <v/>
      </c>
      <c r="B434" s="17" t="str">
        <f>IF(Dati!B434="","",Dati!B434)</f>
        <v/>
      </c>
      <c r="C434" s="17" t="str">
        <f>IF(B434="","",IF(ISNUMBER(B433),IF(B434-B433&lt;0,B434,IF(B434-B433=0,"",B434-B433)),B434))</f>
        <v/>
      </c>
      <c r="D434" s="18" t="str">
        <f>IF(Dati!C434="","",IF(Dati!C434&gt;1,Dati!C434/100,Dati!C434))</f>
        <v/>
      </c>
      <c r="E434" s="18" t="str">
        <f>IF(Dati!D434="","",IF(Dati!D434&gt;1,Dati!D434/100,Dati!D434))</f>
        <v/>
      </c>
      <c r="F434" s="18" t="str">
        <f>IF(OR(D434="",E434=""),"",IF(OR(D434&gt;1,E434&gt;1),(E434-D434)/100,E434-D434))</f>
        <v/>
      </c>
      <c r="G434" s="17" t="str">
        <f>IF(F434="","",IF(64*F434=0,"",64*F434))</f>
        <v/>
      </c>
      <c r="H434" s="19" t="str">
        <f>IF(Dati!E434="","",Dati!E434)</f>
        <v/>
      </c>
      <c r="I434" s="19" t="str">
        <f>IFERROR(IF(OR(C434="",C434=0),"",H434/C434*100),"")</f>
        <v/>
      </c>
      <c r="J434" s="20" t="str">
        <f>IF(Dati!F434="","",Dati!F434)</f>
        <v/>
      </c>
      <c r="K434" s="19" t="str">
        <f>IF(OR(H434="",J434=""),"",IF(H434*J434=0,"",H434*J434))</f>
        <v/>
      </c>
      <c r="L434" s="19" t="str">
        <f>IF(A434="","",IFERROR(IF(SUMPRODUCT((ISNUMBER(A$2:A434))*(A$2:A434&gt;1000)*(MONTH(IF(ISNUMBER(A$2:A434),A$2:A434,1))=MONTH(A434))*(YEAR(IF(ISNUMBER(A$2:A434),A$2:A434,1))=YEAR(A434))*IF(ISNUMBER(K$2:K434),K$2:K434,0))=0,"",SUMPRODUCT((ISNUMBER(A$2:A434))*(A$2:A434&gt;1000)*(MONTH(IF(ISNUMBER(A$2:A434),A$2:A434,1))=MONTH(A434))*(YEAR(IF(ISNUMBER(A$2:A434),A$2:A434,1))=YEAR(A434))*IF(ISNUMBER(K$2:K434),K$2:K434,0))),""))</f>
        <v/>
      </c>
      <c r="M434" s="21" t="str">
        <f>IF(A434="","",IFERROR(IF(SUMIF(N$2:N434,"CASA",K$2:K434)=0,"",SUMIF(N$2:N434,"CASA",K$2:K434)),""))</f>
        <v/>
      </c>
      <c r="N434" s="17" t="str">
        <f>IF(J434="","",IF(J434=0.2,"CASA",IF(Dati!G434="","",Dati!G434)))</f>
        <v/>
      </c>
    </row>
    <row r="435" spans="1:14" ht="15" customHeight="1" x14ac:dyDescent="0.2">
      <c r="A435" s="23" t="str">
        <f>IF(Dati!A435="","",Dati!A435)</f>
        <v/>
      </c>
      <c r="B435" s="17" t="str">
        <f>IF(Dati!B435="","",Dati!B435)</f>
        <v/>
      </c>
      <c r="C435" s="17" t="str">
        <f>IF(B435="","",IF(ISNUMBER(B434),IF(B435-B434&lt;0,B435,IF(B435-B434=0,"",B435-B434)),B435))</f>
        <v/>
      </c>
      <c r="D435" s="18" t="str">
        <f>IF(Dati!C435="","",IF(Dati!C435&gt;1,Dati!C435/100,Dati!C435))</f>
        <v/>
      </c>
      <c r="E435" s="18" t="str">
        <f>IF(Dati!D435="","",IF(Dati!D435&gt;1,Dati!D435/100,Dati!D435))</f>
        <v/>
      </c>
      <c r="F435" s="18" t="str">
        <f>IF(OR(D435="",E435=""),"",IF(OR(D435&gt;1,E435&gt;1),(E435-D435)/100,E435-D435))</f>
        <v/>
      </c>
      <c r="G435" s="17" t="str">
        <f>IF(F435="","",IF(64*F435=0,"",64*F435))</f>
        <v/>
      </c>
      <c r="H435" s="19" t="str">
        <f>IF(Dati!E435="","",Dati!E435)</f>
        <v/>
      </c>
      <c r="I435" s="19" t="str">
        <f>IFERROR(IF(OR(C435="",C435=0),"",H435/C435*100),"")</f>
        <v/>
      </c>
      <c r="J435" s="20" t="str">
        <f>IF(Dati!F435="","",Dati!F435)</f>
        <v/>
      </c>
      <c r="K435" s="19" t="str">
        <f>IF(OR(H435="",J435=""),"",IF(H435*J435=0,"",H435*J435))</f>
        <v/>
      </c>
      <c r="L435" s="19" t="str">
        <f>IF(A435="","",IFERROR(IF(SUMPRODUCT((ISNUMBER(A$2:A435))*(A$2:A435&gt;1000)*(MONTH(IF(ISNUMBER(A$2:A435),A$2:A435,1))=MONTH(A435))*(YEAR(IF(ISNUMBER(A$2:A435),A$2:A435,1))=YEAR(A435))*IF(ISNUMBER(K$2:K435),K$2:K435,0))=0,"",SUMPRODUCT((ISNUMBER(A$2:A435))*(A$2:A435&gt;1000)*(MONTH(IF(ISNUMBER(A$2:A435),A$2:A435,1))=MONTH(A435))*(YEAR(IF(ISNUMBER(A$2:A435),A$2:A435,1))=YEAR(A435))*IF(ISNUMBER(K$2:K435),K$2:K435,0))),""))</f>
        <v/>
      </c>
      <c r="M435" s="21" t="str">
        <f>IF(A435="","",IFERROR(IF(SUMIF(N$2:N435,"CASA",K$2:K435)=0,"",SUMIF(N$2:N435,"CASA",K$2:K435)),""))</f>
        <v/>
      </c>
      <c r="N435" s="17" t="str">
        <f>IF(J435="","",IF(J435=0.2,"CASA",IF(Dati!G435="","",Dati!G435)))</f>
        <v/>
      </c>
    </row>
    <row r="436" spans="1:14" ht="15" customHeight="1" x14ac:dyDescent="0.2">
      <c r="A436" s="23" t="str">
        <f>IF(Dati!A436="","",Dati!A436)</f>
        <v/>
      </c>
      <c r="B436" s="17" t="str">
        <f>IF(Dati!B436="","",Dati!B436)</f>
        <v/>
      </c>
      <c r="C436" s="17" t="str">
        <f>IF(B436="","",IF(ISNUMBER(B435),IF(B436-B435&lt;0,B436,IF(B436-B435=0,"",B436-B435)),B436))</f>
        <v/>
      </c>
      <c r="D436" s="18" t="str">
        <f>IF(Dati!C436="","",IF(Dati!C436&gt;1,Dati!C436/100,Dati!C436))</f>
        <v/>
      </c>
      <c r="E436" s="18" t="str">
        <f>IF(Dati!D436="","",IF(Dati!D436&gt;1,Dati!D436/100,Dati!D436))</f>
        <v/>
      </c>
      <c r="F436" s="18" t="str">
        <f>IF(OR(D436="",E436=""),"",IF(OR(D436&gt;1,E436&gt;1),(E436-D436)/100,E436-D436))</f>
        <v/>
      </c>
      <c r="G436" s="17" t="str">
        <f>IF(F436="","",IF(64*F436=0,"",64*F436))</f>
        <v/>
      </c>
      <c r="H436" s="19" t="str">
        <f>IF(Dati!E436="","",Dati!E436)</f>
        <v/>
      </c>
      <c r="I436" s="19" t="str">
        <f>IFERROR(IF(OR(C436="",C436=0),"",H436/C436*100),"")</f>
        <v/>
      </c>
      <c r="J436" s="20" t="str">
        <f>IF(Dati!F436="","",Dati!F436)</f>
        <v/>
      </c>
      <c r="K436" s="19" t="str">
        <f>IF(OR(H436="",J436=""),"",IF(H436*J436=0,"",H436*J436))</f>
        <v/>
      </c>
      <c r="L436" s="19" t="str">
        <f>IF(A436="","",IFERROR(IF(SUMPRODUCT((ISNUMBER(A$2:A436))*(A$2:A436&gt;1000)*(MONTH(IF(ISNUMBER(A$2:A436),A$2:A436,1))=MONTH(A436))*(YEAR(IF(ISNUMBER(A$2:A436),A$2:A436,1))=YEAR(A436))*IF(ISNUMBER(K$2:K436),K$2:K436,0))=0,"",SUMPRODUCT((ISNUMBER(A$2:A436))*(A$2:A436&gt;1000)*(MONTH(IF(ISNUMBER(A$2:A436),A$2:A436,1))=MONTH(A436))*(YEAR(IF(ISNUMBER(A$2:A436),A$2:A436,1))=YEAR(A436))*IF(ISNUMBER(K$2:K436),K$2:K436,0))),""))</f>
        <v/>
      </c>
      <c r="M436" s="21" t="str">
        <f>IF(A436="","",IFERROR(IF(SUMIF(N$2:N436,"CASA",K$2:K436)=0,"",SUMIF(N$2:N436,"CASA",K$2:K436)),""))</f>
        <v/>
      </c>
      <c r="N436" s="17" t="str">
        <f>IF(J436="","",IF(J436=0.2,"CASA",IF(Dati!G436="","",Dati!G436)))</f>
        <v/>
      </c>
    </row>
    <row r="437" spans="1:14" ht="15" customHeight="1" x14ac:dyDescent="0.2">
      <c r="A437" s="23" t="str">
        <f>IF(Dati!A437="","",Dati!A437)</f>
        <v/>
      </c>
      <c r="B437" s="17" t="str">
        <f>IF(Dati!B437="","",Dati!B437)</f>
        <v/>
      </c>
      <c r="C437" s="17" t="str">
        <f>IF(B437="","",IF(ISNUMBER(B436),IF(B437-B436&lt;0,B437,IF(B437-B436=0,"",B437-B436)),B437))</f>
        <v/>
      </c>
      <c r="D437" s="18" t="str">
        <f>IF(Dati!C437="","",IF(Dati!C437&gt;1,Dati!C437/100,Dati!C437))</f>
        <v/>
      </c>
      <c r="E437" s="18" t="str">
        <f>IF(Dati!D437="","",IF(Dati!D437&gt;1,Dati!D437/100,Dati!D437))</f>
        <v/>
      </c>
      <c r="F437" s="18" t="str">
        <f>IF(OR(D437="",E437=""),"",IF(OR(D437&gt;1,E437&gt;1),(E437-D437)/100,E437-D437))</f>
        <v/>
      </c>
      <c r="G437" s="17" t="str">
        <f>IF(F437="","",IF(64*F437=0,"",64*F437))</f>
        <v/>
      </c>
      <c r="H437" s="19" t="str">
        <f>IF(Dati!E437="","",Dati!E437)</f>
        <v/>
      </c>
      <c r="I437" s="19" t="str">
        <f>IFERROR(IF(OR(C437="",C437=0),"",H437/C437*100),"")</f>
        <v/>
      </c>
      <c r="J437" s="20" t="str">
        <f>IF(Dati!F437="","",Dati!F437)</f>
        <v/>
      </c>
      <c r="K437" s="19" t="str">
        <f>IF(OR(H437="",J437=""),"",IF(H437*J437=0,"",H437*J437))</f>
        <v/>
      </c>
      <c r="L437" s="19" t="str">
        <f>IF(A437="","",IFERROR(IF(SUMPRODUCT((ISNUMBER(A$2:A437))*(A$2:A437&gt;1000)*(MONTH(IF(ISNUMBER(A$2:A437),A$2:A437,1))=MONTH(A437))*(YEAR(IF(ISNUMBER(A$2:A437),A$2:A437,1))=YEAR(A437))*IF(ISNUMBER(K$2:K437),K$2:K437,0))=0,"",SUMPRODUCT((ISNUMBER(A$2:A437))*(A$2:A437&gt;1000)*(MONTH(IF(ISNUMBER(A$2:A437),A$2:A437,1))=MONTH(A437))*(YEAR(IF(ISNUMBER(A$2:A437),A$2:A437,1))=YEAR(A437))*IF(ISNUMBER(K$2:K437),K$2:K437,0))),""))</f>
        <v/>
      </c>
      <c r="M437" s="21" t="str">
        <f>IF(A437="","",IFERROR(IF(SUMIF(N$2:N437,"CASA",K$2:K437)=0,"",SUMIF(N$2:N437,"CASA",K$2:K437)),""))</f>
        <v/>
      </c>
      <c r="N437" s="17" t="str">
        <f>IF(J437="","",IF(J437=0.2,"CASA",IF(Dati!G437="","",Dati!G437)))</f>
        <v/>
      </c>
    </row>
    <row r="438" spans="1:14" ht="15" customHeight="1" x14ac:dyDescent="0.2">
      <c r="A438" s="23" t="str">
        <f>IF(Dati!A438="","",Dati!A438)</f>
        <v/>
      </c>
      <c r="B438" s="17" t="str">
        <f>IF(Dati!B438="","",Dati!B438)</f>
        <v/>
      </c>
      <c r="C438" s="17" t="str">
        <f>IF(B438="","",IF(ISNUMBER(B437),IF(B438-B437&lt;0,B438,IF(B438-B437=0,"",B438-B437)),B438))</f>
        <v/>
      </c>
      <c r="D438" s="18" t="str">
        <f>IF(Dati!C438="","",IF(Dati!C438&gt;1,Dati!C438/100,Dati!C438))</f>
        <v/>
      </c>
      <c r="E438" s="18" t="str">
        <f>IF(Dati!D438="","",IF(Dati!D438&gt;1,Dati!D438/100,Dati!D438))</f>
        <v/>
      </c>
      <c r="F438" s="18" t="str">
        <f>IF(OR(D438="",E438=""),"",IF(OR(D438&gt;1,E438&gt;1),(E438-D438)/100,E438-D438))</f>
        <v/>
      </c>
      <c r="G438" s="17" t="str">
        <f>IF(F438="","",IF(64*F438=0,"",64*F438))</f>
        <v/>
      </c>
      <c r="H438" s="19" t="str">
        <f>IF(Dati!E438="","",Dati!E438)</f>
        <v/>
      </c>
      <c r="I438" s="19" t="str">
        <f>IFERROR(IF(OR(C438="",C438=0),"",H438/C438*100),"")</f>
        <v/>
      </c>
      <c r="J438" s="20" t="str">
        <f>IF(Dati!F438="","",Dati!F438)</f>
        <v/>
      </c>
      <c r="K438" s="19" t="str">
        <f>IF(OR(H438="",J438=""),"",IF(H438*J438=0,"",H438*J438))</f>
        <v/>
      </c>
      <c r="L438" s="19" t="str">
        <f>IF(A438="","",IFERROR(IF(SUMPRODUCT((ISNUMBER(A$2:A438))*(A$2:A438&gt;1000)*(MONTH(IF(ISNUMBER(A$2:A438),A$2:A438,1))=MONTH(A438))*(YEAR(IF(ISNUMBER(A$2:A438),A$2:A438,1))=YEAR(A438))*IF(ISNUMBER(K$2:K438),K$2:K438,0))=0,"",SUMPRODUCT((ISNUMBER(A$2:A438))*(A$2:A438&gt;1000)*(MONTH(IF(ISNUMBER(A$2:A438),A$2:A438,1))=MONTH(A438))*(YEAR(IF(ISNUMBER(A$2:A438),A$2:A438,1))=YEAR(A438))*IF(ISNUMBER(K$2:K438),K$2:K438,0))),""))</f>
        <v/>
      </c>
      <c r="M438" s="21" t="str">
        <f>IF(A438="","",IFERROR(IF(SUMIF(N$2:N438,"CASA",K$2:K438)=0,"",SUMIF(N$2:N438,"CASA",K$2:K438)),""))</f>
        <v/>
      </c>
      <c r="N438" s="17" t="str">
        <f>IF(J438="","",IF(J438=0.2,"CASA",IF(Dati!G438="","",Dati!G438)))</f>
        <v/>
      </c>
    </row>
    <row r="439" spans="1:14" ht="15" customHeight="1" x14ac:dyDescent="0.2">
      <c r="A439" s="23" t="str">
        <f>IF(Dati!A439="","",Dati!A439)</f>
        <v/>
      </c>
      <c r="B439" s="17" t="str">
        <f>IF(Dati!B439="","",Dati!B439)</f>
        <v/>
      </c>
      <c r="C439" s="17" t="str">
        <f>IF(B439="","",IF(ISNUMBER(B438),IF(B439-B438&lt;0,B439,IF(B439-B438=0,"",B439-B438)),B439))</f>
        <v/>
      </c>
      <c r="D439" s="18" t="str">
        <f>IF(Dati!C439="","",IF(Dati!C439&gt;1,Dati!C439/100,Dati!C439))</f>
        <v/>
      </c>
      <c r="E439" s="18" t="str">
        <f>IF(Dati!D439="","",IF(Dati!D439&gt;1,Dati!D439/100,Dati!D439))</f>
        <v/>
      </c>
      <c r="F439" s="18" t="str">
        <f>IF(OR(D439="",E439=""),"",IF(OR(D439&gt;1,E439&gt;1),(E439-D439)/100,E439-D439))</f>
        <v/>
      </c>
      <c r="G439" s="17" t="str">
        <f>IF(F439="","",IF(64*F439=0,"",64*F439))</f>
        <v/>
      </c>
      <c r="H439" s="19" t="str">
        <f>IF(Dati!E439="","",Dati!E439)</f>
        <v/>
      </c>
      <c r="I439" s="19" t="str">
        <f>IFERROR(IF(OR(C439="",C439=0),"",H439/C439*100),"")</f>
        <v/>
      </c>
      <c r="J439" s="20" t="str">
        <f>IF(Dati!F439="","",Dati!F439)</f>
        <v/>
      </c>
      <c r="K439" s="19" t="str">
        <f>IF(OR(H439="",J439=""),"",IF(H439*J439=0,"",H439*J439))</f>
        <v/>
      </c>
      <c r="L439" s="19" t="str">
        <f>IF(A439="","",IFERROR(IF(SUMPRODUCT((ISNUMBER(A$2:A439))*(A$2:A439&gt;1000)*(MONTH(IF(ISNUMBER(A$2:A439),A$2:A439,1))=MONTH(A439))*(YEAR(IF(ISNUMBER(A$2:A439),A$2:A439,1))=YEAR(A439))*IF(ISNUMBER(K$2:K439),K$2:K439,0))=0,"",SUMPRODUCT((ISNUMBER(A$2:A439))*(A$2:A439&gt;1000)*(MONTH(IF(ISNUMBER(A$2:A439),A$2:A439,1))=MONTH(A439))*(YEAR(IF(ISNUMBER(A$2:A439),A$2:A439,1))=YEAR(A439))*IF(ISNUMBER(K$2:K439),K$2:K439,0))),""))</f>
        <v/>
      </c>
      <c r="M439" s="21" t="str">
        <f>IF(A439="","",IFERROR(IF(SUMIF(N$2:N439,"CASA",K$2:K439)=0,"",SUMIF(N$2:N439,"CASA",K$2:K439)),""))</f>
        <v/>
      </c>
      <c r="N439" s="17" t="str">
        <f>IF(J439="","",IF(J439=0.2,"CASA",IF(Dati!G439="","",Dati!G439)))</f>
        <v/>
      </c>
    </row>
    <row r="440" spans="1:14" ht="15" customHeight="1" x14ac:dyDescent="0.2">
      <c r="A440" s="23" t="str">
        <f>IF(Dati!A440="","",Dati!A440)</f>
        <v/>
      </c>
      <c r="B440" s="17" t="str">
        <f>IF(Dati!B440="","",Dati!B440)</f>
        <v/>
      </c>
      <c r="C440" s="17" t="str">
        <f>IF(B440="","",IF(ISNUMBER(B439),IF(B440-B439&lt;0,B440,IF(B440-B439=0,"",B440-B439)),B440))</f>
        <v/>
      </c>
      <c r="D440" s="18" t="str">
        <f>IF(Dati!C440="","",IF(Dati!C440&gt;1,Dati!C440/100,Dati!C440))</f>
        <v/>
      </c>
      <c r="E440" s="18" t="str">
        <f>IF(Dati!D440="","",IF(Dati!D440&gt;1,Dati!D440/100,Dati!D440))</f>
        <v/>
      </c>
      <c r="F440" s="18" t="str">
        <f>IF(OR(D440="",E440=""),"",IF(OR(D440&gt;1,E440&gt;1),(E440-D440)/100,E440-D440))</f>
        <v/>
      </c>
      <c r="G440" s="17" t="str">
        <f>IF(F440="","",IF(64*F440=0,"",64*F440))</f>
        <v/>
      </c>
      <c r="H440" s="19" t="str">
        <f>IF(Dati!E440="","",Dati!E440)</f>
        <v/>
      </c>
      <c r="I440" s="19" t="str">
        <f>IFERROR(IF(OR(C440="",C440=0),"",H440/C440*100),"")</f>
        <v/>
      </c>
      <c r="J440" s="20" t="str">
        <f>IF(Dati!F440="","",Dati!F440)</f>
        <v/>
      </c>
      <c r="K440" s="19" t="str">
        <f>IF(OR(H440="",J440=""),"",IF(H440*J440=0,"",H440*J440))</f>
        <v/>
      </c>
      <c r="L440" s="19" t="str">
        <f>IF(A440="","",IFERROR(IF(SUMPRODUCT((ISNUMBER(A$2:A440))*(A$2:A440&gt;1000)*(MONTH(IF(ISNUMBER(A$2:A440),A$2:A440,1))=MONTH(A440))*(YEAR(IF(ISNUMBER(A$2:A440),A$2:A440,1))=YEAR(A440))*IF(ISNUMBER(K$2:K440),K$2:K440,0))=0,"",SUMPRODUCT((ISNUMBER(A$2:A440))*(A$2:A440&gt;1000)*(MONTH(IF(ISNUMBER(A$2:A440),A$2:A440,1))=MONTH(A440))*(YEAR(IF(ISNUMBER(A$2:A440),A$2:A440,1))=YEAR(A440))*IF(ISNUMBER(K$2:K440),K$2:K440,0))),""))</f>
        <v/>
      </c>
      <c r="M440" s="21" t="str">
        <f>IF(A440="","",IFERROR(IF(SUMIF(N$2:N440,"CASA",K$2:K440)=0,"",SUMIF(N$2:N440,"CASA",K$2:K440)),""))</f>
        <v/>
      </c>
      <c r="N440" s="17" t="str">
        <f>IF(J440="","",IF(J440=0.2,"CASA",IF(Dati!G440="","",Dati!G440)))</f>
        <v/>
      </c>
    </row>
    <row r="441" spans="1:14" ht="15" customHeight="1" x14ac:dyDescent="0.2">
      <c r="A441" s="23" t="str">
        <f>IF(Dati!A441="","",Dati!A441)</f>
        <v/>
      </c>
      <c r="B441" s="17" t="str">
        <f>IF(Dati!B441="","",Dati!B441)</f>
        <v/>
      </c>
      <c r="C441" s="17" t="str">
        <f>IF(B441="","",IF(ISNUMBER(B440),IF(B441-B440&lt;0,B441,IF(B441-B440=0,"",B441-B440)),B441))</f>
        <v/>
      </c>
      <c r="D441" s="18" t="str">
        <f>IF(Dati!C441="","",IF(Dati!C441&gt;1,Dati!C441/100,Dati!C441))</f>
        <v/>
      </c>
      <c r="E441" s="18" t="str">
        <f>IF(Dati!D441="","",IF(Dati!D441&gt;1,Dati!D441/100,Dati!D441))</f>
        <v/>
      </c>
      <c r="F441" s="18" t="str">
        <f>IF(OR(D441="",E441=""),"",IF(OR(D441&gt;1,E441&gt;1),(E441-D441)/100,E441-D441))</f>
        <v/>
      </c>
      <c r="G441" s="17" t="str">
        <f>IF(F441="","",IF(64*F441=0,"",64*F441))</f>
        <v/>
      </c>
      <c r="H441" s="19" t="str">
        <f>IF(Dati!E441="","",Dati!E441)</f>
        <v/>
      </c>
      <c r="I441" s="19" t="str">
        <f>IFERROR(IF(OR(C441="",C441=0),"",H441/C441*100),"")</f>
        <v/>
      </c>
      <c r="J441" s="20" t="str">
        <f>IF(Dati!F441="","",Dati!F441)</f>
        <v/>
      </c>
      <c r="K441" s="19" t="str">
        <f>IF(OR(H441="",J441=""),"",IF(H441*J441=0,"",H441*J441))</f>
        <v/>
      </c>
      <c r="L441" s="19" t="str">
        <f>IF(A441="","",IFERROR(IF(SUMPRODUCT((ISNUMBER(A$2:A441))*(A$2:A441&gt;1000)*(MONTH(IF(ISNUMBER(A$2:A441),A$2:A441,1))=MONTH(A441))*(YEAR(IF(ISNUMBER(A$2:A441),A$2:A441,1))=YEAR(A441))*IF(ISNUMBER(K$2:K441),K$2:K441,0))=0,"",SUMPRODUCT((ISNUMBER(A$2:A441))*(A$2:A441&gt;1000)*(MONTH(IF(ISNUMBER(A$2:A441),A$2:A441,1))=MONTH(A441))*(YEAR(IF(ISNUMBER(A$2:A441),A$2:A441,1))=YEAR(A441))*IF(ISNUMBER(K$2:K441),K$2:K441,0))),""))</f>
        <v/>
      </c>
      <c r="M441" s="21" t="str">
        <f>IF(A441="","",IFERROR(IF(SUMIF(N$2:N441,"CASA",K$2:K441)=0,"",SUMIF(N$2:N441,"CASA",K$2:K441)),""))</f>
        <v/>
      </c>
      <c r="N441" s="17" t="str">
        <f>IF(J441="","",IF(J441=0.2,"CASA",IF(Dati!G441="","",Dati!G441)))</f>
        <v/>
      </c>
    </row>
    <row r="442" spans="1:14" ht="15" customHeight="1" x14ac:dyDescent="0.2">
      <c r="A442" s="23" t="str">
        <f>IF(Dati!A442="","",Dati!A442)</f>
        <v/>
      </c>
      <c r="B442" s="17" t="str">
        <f>IF(Dati!B442="","",Dati!B442)</f>
        <v/>
      </c>
      <c r="C442" s="17" t="str">
        <f>IF(B442="","",IF(ISNUMBER(B441),IF(B442-B441&lt;0,B442,IF(B442-B441=0,"",B442-B441)),B442))</f>
        <v/>
      </c>
      <c r="D442" s="18" t="str">
        <f>IF(Dati!C442="","",IF(Dati!C442&gt;1,Dati!C442/100,Dati!C442))</f>
        <v/>
      </c>
      <c r="E442" s="18" t="str">
        <f>IF(Dati!D442="","",IF(Dati!D442&gt;1,Dati!D442/100,Dati!D442))</f>
        <v/>
      </c>
      <c r="F442" s="18" t="str">
        <f>IF(OR(D442="",E442=""),"",IF(OR(D442&gt;1,E442&gt;1),(E442-D442)/100,E442-D442))</f>
        <v/>
      </c>
      <c r="G442" s="17" t="str">
        <f>IF(F442="","",IF(64*F442=0,"",64*F442))</f>
        <v/>
      </c>
      <c r="H442" s="19" t="str">
        <f>IF(Dati!E442="","",Dati!E442)</f>
        <v/>
      </c>
      <c r="I442" s="19" t="str">
        <f>IFERROR(IF(OR(C442="",C442=0),"",H442/C442*100),"")</f>
        <v/>
      </c>
      <c r="J442" s="20" t="str">
        <f>IF(Dati!F442="","",Dati!F442)</f>
        <v/>
      </c>
      <c r="K442" s="19" t="str">
        <f>IF(OR(H442="",J442=""),"",IF(H442*J442=0,"",H442*J442))</f>
        <v/>
      </c>
      <c r="L442" s="19" t="str">
        <f>IF(A442="","",IFERROR(IF(SUMPRODUCT((ISNUMBER(A$2:A442))*(A$2:A442&gt;1000)*(MONTH(IF(ISNUMBER(A$2:A442),A$2:A442,1))=MONTH(A442))*(YEAR(IF(ISNUMBER(A$2:A442),A$2:A442,1))=YEAR(A442))*IF(ISNUMBER(K$2:K442),K$2:K442,0))=0,"",SUMPRODUCT((ISNUMBER(A$2:A442))*(A$2:A442&gt;1000)*(MONTH(IF(ISNUMBER(A$2:A442),A$2:A442,1))=MONTH(A442))*(YEAR(IF(ISNUMBER(A$2:A442),A$2:A442,1))=YEAR(A442))*IF(ISNUMBER(K$2:K442),K$2:K442,0))),""))</f>
        <v/>
      </c>
      <c r="M442" s="21" t="str">
        <f>IF(A442="","",IFERROR(IF(SUMIF(N$2:N442,"CASA",K$2:K442)=0,"",SUMIF(N$2:N442,"CASA",K$2:K442)),""))</f>
        <v/>
      </c>
      <c r="N442" s="17" t="str">
        <f>IF(J442="","",IF(J442=0.2,"CASA",IF(Dati!G442="","",Dati!G442)))</f>
        <v/>
      </c>
    </row>
    <row r="443" spans="1:14" ht="15" customHeight="1" x14ac:dyDescent="0.2">
      <c r="A443" s="23" t="str">
        <f>IF(Dati!A443="","",Dati!A443)</f>
        <v/>
      </c>
      <c r="B443" s="17" t="str">
        <f>IF(Dati!B443="","",Dati!B443)</f>
        <v/>
      </c>
      <c r="C443" s="17" t="str">
        <f>IF(B443="","",IF(ISNUMBER(B442),IF(B443-B442&lt;0,B443,IF(B443-B442=0,"",B443-B442)),B443))</f>
        <v/>
      </c>
      <c r="D443" s="18" t="str">
        <f>IF(Dati!C443="","",IF(Dati!C443&gt;1,Dati!C443/100,Dati!C443))</f>
        <v/>
      </c>
      <c r="E443" s="18" t="str">
        <f>IF(Dati!D443="","",IF(Dati!D443&gt;1,Dati!D443/100,Dati!D443))</f>
        <v/>
      </c>
      <c r="F443" s="18" t="str">
        <f>IF(OR(D443="",E443=""),"",IF(OR(D443&gt;1,E443&gt;1),(E443-D443)/100,E443-D443))</f>
        <v/>
      </c>
      <c r="G443" s="17" t="str">
        <f>IF(F443="","",IF(64*F443=0,"",64*F443))</f>
        <v/>
      </c>
      <c r="H443" s="19" t="str">
        <f>IF(Dati!E443="","",Dati!E443)</f>
        <v/>
      </c>
      <c r="I443" s="19" t="str">
        <f>IFERROR(IF(OR(C443="",C443=0),"",H443/C443*100),"")</f>
        <v/>
      </c>
      <c r="J443" s="20" t="str">
        <f>IF(Dati!F443="","",Dati!F443)</f>
        <v/>
      </c>
      <c r="K443" s="19" t="str">
        <f>IF(OR(H443="",J443=""),"",IF(H443*J443=0,"",H443*J443))</f>
        <v/>
      </c>
      <c r="L443" s="19" t="str">
        <f>IF(A443="","",IFERROR(IF(SUMPRODUCT((ISNUMBER(A$2:A443))*(A$2:A443&gt;1000)*(MONTH(IF(ISNUMBER(A$2:A443),A$2:A443,1))=MONTH(A443))*(YEAR(IF(ISNUMBER(A$2:A443),A$2:A443,1))=YEAR(A443))*IF(ISNUMBER(K$2:K443),K$2:K443,0))=0,"",SUMPRODUCT((ISNUMBER(A$2:A443))*(A$2:A443&gt;1000)*(MONTH(IF(ISNUMBER(A$2:A443),A$2:A443,1))=MONTH(A443))*(YEAR(IF(ISNUMBER(A$2:A443),A$2:A443,1))=YEAR(A443))*IF(ISNUMBER(K$2:K443),K$2:K443,0))),""))</f>
        <v/>
      </c>
      <c r="M443" s="21" t="str">
        <f>IF(A443="","",IFERROR(IF(SUMIF(N$2:N443,"CASA",K$2:K443)=0,"",SUMIF(N$2:N443,"CASA",K$2:K443)),""))</f>
        <v/>
      </c>
      <c r="N443" s="17" t="str">
        <f>IF(J443="","",IF(J443=0.2,"CASA",IF(Dati!G443="","",Dati!G443)))</f>
        <v/>
      </c>
    </row>
    <row r="444" spans="1:14" ht="15" customHeight="1" x14ac:dyDescent="0.2">
      <c r="A444" s="23" t="str">
        <f>IF(Dati!A444="","",Dati!A444)</f>
        <v/>
      </c>
      <c r="B444" s="17" t="str">
        <f>IF(Dati!B444="","",Dati!B444)</f>
        <v/>
      </c>
      <c r="C444" s="17" t="str">
        <f>IF(B444="","",IF(ISNUMBER(B443),IF(B444-B443&lt;0,B444,IF(B444-B443=0,"",B444-B443)),B444))</f>
        <v/>
      </c>
      <c r="D444" s="18" t="str">
        <f>IF(Dati!C444="","",IF(Dati!C444&gt;1,Dati!C444/100,Dati!C444))</f>
        <v/>
      </c>
      <c r="E444" s="18" t="str">
        <f>IF(Dati!D444="","",IF(Dati!D444&gt;1,Dati!D444/100,Dati!D444))</f>
        <v/>
      </c>
      <c r="F444" s="18" t="str">
        <f>IF(OR(D444="",E444=""),"",IF(OR(D444&gt;1,E444&gt;1),(E444-D444)/100,E444-D444))</f>
        <v/>
      </c>
      <c r="G444" s="17" t="str">
        <f>IF(F444="","",IF(64*F444=0,"",64*F444))</f>
        <v/>
      </c>
      <c r="H444" s="19" t="str">
        <f>IF(Dati!E444="","",Dati!E444)</f>
        <v/>
      </c>
      <c r="I444" s="19" t="str">
        <f>IFERROR(IF(OR(C444="",C444=0),"",H444/C444*100),"")</f>
        <v/>
      </c>
      <c r="J444" s="20" t="str">
        <f>IF(Dati!F444="","",Dati!F444)</f>
        <v/>
      </c>
      <c r="K444" s="19" t="str">
        <f>IF(OR(H444="",J444=""),"",IF(H444*J444=0,"",H444*J444))</f>
        <v/>
      </c>
      <c r="L444" s="19" t="str">
        <f>IF(A444="","",IFERROR(IF(SUMPRODUCT((ISNUMBER(A$2:A444))*(A$2:A444&gt;1000)*(MONTH(IF(ISNUMBER(A$2:A444),A$2:A444,1))=MONTH(A444))*(YEAR(IF(ISNUMBER(A$2:A444),A$2:A444,1))=YEAR(A444))*IF(ISNUMBER(K$2:K444),K$2:K444,0))=0,"",SUMPRODUCT((ISNUMBER(A$2:A444))*(A$2:A444&gt;1000)*(MONTH(IF(ISNUMBER(A$2:A444),A$2:A444,1))=MONTH(A444))*(YEAR(IF(ISNUMBER(A$2:A444),A$2:A444,1))=YEAR(A444))*IF(ISNUMBER(K$2:K444),K$2:K444,0))),""))</f>
        <v/>
      </c>
      <c r="M444" s="21" t="str">
        <f>IF(A444="","",IFERROR(IF(SUMIF(N$2:N444,"CASA",K$2:K444)=0,"",SUMIF(N$2:N444,"CASA",K$2:K444)),""))</f>
        <v/>
      </c>
      <c r="N444" s="17" t="str">
        <f>IF(J444="","",IF(J444=0.2,"CASA",IF(Dati!G444="","",Dati!G444)))</f>
        <v/>
      </c>
    </row>
    <row r="445" spans="1:14" ht="15" customHeight="1" x14ac:dyDescent="0.2">
      <c r="A445" s="23" t="str">
        <f>IF(Dati!A445="","",Dati!A445)</f>
        <v/>
      </c>
      <c r="B445" s="17" t="str">
        <f>IF(Dati!B445="","",Dati!B445)</f>
        <v/>
      </c>
      <c r="C445" s="17" t="str">
        <f>IF(B445="","",IF(ISNUMBER(B444),IF(B445-B444&lt;0,B445,IF(B445-B444=0,"",B445-B444)),B445))</f>
        <v/>
      </c>
      <c r="D445" s="18" t="str">
        <f>IF(Dati!C445="","",IF(Dati!C445&gt;1,Dati!C445/100,Dati!C445))</f>
        <v/>
      </c>
      <c r="E445" s="18" t="str">
        <f>IF(Dati!D445="","",IF(Dati!D445&gt;1,Dati!D445/100,Dati!D445))</f>
        <v/>
      </c>
      <c r="F445" s="18" t="str">
        <f>IF(OR(D445="",E445=""),"",IF(OR(D445&gt;1,E445&gt;1),(E445-D445)/100,E445-D445))</f>
        <v/>
      </c>
      <c r="G445" s="17" t="str">
        <f>IF(F445="","",IF(64*F445=0,"",64*F445))</f>
        <v/>
      </c>
      <c r="H445" s="19" t="str">
        <f>IF(Dati!E445="","",Dati!E445)</f>
        <v/>
      </c>
      <c r="I445" s="19" t="str">
        <f>IFERROR(IF(OR(C445="",C445=0),"",H445/C445*100),"")</f>
        <v/>
      </c>
      <c r="J445" s="20" t="str">
        <f>IF(Dati!F445="","",Dati!F445)</f>
        <v/>
      </c>
      <c r="K445" s="19" t="str">
        <f>IF(OR(H445="",J445=""),"",IF(H445*J445=0,"",H445*J445))</f>
        <v/>
      </c>
      <c r="L445" s="19" t="str">
        <f>IF(A445="","",IFERROR(IF(SUMPRODUCT((ISNUMBER(A$2:A445))*(A$2:A445&gt;1000)*(MONTH(IF(ISNUMBER(A$2:A445),A$2:A445,1))=MONTH(A445))*(YEAR(IF(ISNUMBER(A$2:A445),A$2:A445,1))=YEAR(A445))*IF(ISNUMBER(K$2:K445),K$2:K445,0))=0,"",SUMPRODUCT((ISNUMBER(A$2:A445))*(A$2:A445&gt;1000)*(MONTH(IF(ISNUMBER(A$2:A445),A$2:A445,1))=MONTH(A445))*(YEAR(IF(ISNUMBER(A$2:A445),A$2:A445,1))=YEAR(A445))*IF(ISNUMBER(K$2:K445),K$2:K445,0))),""))</f>
        <v/>
      </c>
      <c r="M445" s="21" t="str">
        <f>IF(A445="","",IFERROR(IF(SUMIF(N$2:N445,"CASA",K$2:K445)=0,"",SUMIF(N$2:N445,"CASA",K$2:K445)),""))</f>
        <v/>
      </c>
      <c r="N445" s="17" t="str">
        <f>IF(J445="","",IF(J445=0.2,"CASA",IF(Dati!G445="","",Dati!G445)))</f>
        <v/>
      </c>
    </row>
    <row r="446" spans="1:14" ht="15" customHeight="1" x14ac:dyDescent="0.2">
      <c r="A446" s="23" t="str">
        <f>IF(Dati!A446="","",Dati!A446)</f>
        <v/>
      </c>
      <c r="B446" s="17" t="str">
        <f>IF(Dati!B446="","",Dati!B446)</f>
        <v/>
      </c>
      <c r="C446" s="17" t="str">
        <f>IF(B446="","",IF(ISNUMBER(B445),IF(B446-B445&lt;0,B446,IF(B446-B445=0,"",B446-B445)),B446))</f>
        <v/>
      </c>
      <c r="D446" s="18" t="str">
        <f>IF(Dati!C446="","",IF(Dati!C446&gt;1,Dati!C446/100,Dati!C446))</f>
        <v/>
      </c>
      <c r="E446" s="18" t="str">
        <f>IF(Dati!D446="","",IF(Dati!D446&gt;1,Dati!D446/100,Dati!D446))</f>
        <v/>
      </c>
      <c r="F446" s="18" t="str">
        <f>IF(OR(D446="",E446=""),"",IF(OR(D446&gt;1,E446&gt;1),(E446-D446)/100,E446-D446))</f>
        <v/>
      </c>
      <c r="G446" s="17" t="str">
        <f>IF(F446="","",IF(64*F446=0,"",64*F446))</f>
        <v/>
      </c>
      <c r="H446" s="19" t="str">
        <f>IF(Dati!E446="","",Dati!E446)</f>
        <v/>
      </c>
      <c r="I446" s="19" t="str">
        <f>IFERROR(IF(OR(C446="",C446=0),"",H446/C446*100),"")</f>
        <v/>
      </c>
      <c r="J446" s="20" t="str">
        <f>IF(Dati!F446="","",Dati!F446)</f>
        <v/>
      </c>
      <c r="K446" s="19" t="str">
        <f>IF(OR(H446="",J446=""),"",IF(H446*J446=0,"",H446*J446))</f>
        <v/>
      </c>
      <c r="L446" s="19" t="str">
        <f>IF(A446="","",IFERROR(IF(SUMPRODUCT((ISNUMBER(A$2:A446))*(A$2:A446&gt;1000)*(MONTH(IF(ISNUMBER(A$2:A446),A$2:A446,1))=MONTH(A446))*(YEAR(IF(ISNUMBER(A$2:A446),A$2:A446,1))=YEAR(A446))*IF(ISNUMBER(K$2:K446),K$2:K446,0))=0,"",SUMPRODUCT((ISNUMBER(A$2:A446))*(A$2:A446&gt;1000)*(MONTH(IF(ISNUMBER(A$2:A446),A$2:A446,1))=MONTH(A446))*(YEAR(IF(ISNUMBER(A$2:A446),A$2:A446,1))=YEAR(A446))*IF(ISNUMBER(K$2:K446),K$2:K446,0))),""))</f>
        <v/>
      </c>
      <c r="M446" s="21" t="str">
        <f>IF(A446="","",IFERROR(IF(SUMIF(N$2:N446,"CASA",K$2:K446)=0,"",SUMIF(N$2:N446,"CASA",K$2:K446)),""))</f>
        <v/>
      </c>
      <c r="N446" s="17" t="str">
        <f>IF(J446="","",IF(J446=0.2,"CASA",IF(Dati!G446="","",Dati!G446)))</f>
        <v/>
      </c>
    </row>
    <row r="447" spans="1:14" ht="15" customHeight="1" x14ac:dyDescent="0.2">
      <c r="A447" s="23" t="str">
        <f>IF(Dati!A447="","",Dati!A447)</f>
        <v/>
      </c>
      <c r="B447" s="17" t="str">
        <f>IF(Dati!B447="","",Dati!B447)</f>
        <v/>
      </c>
      <c r="C447" s="17" t="str">
        <f>IF(B447="","",IF(ISNUMBER(B446),IF(B447-B446&lt;0,B447,IF(B447-B446=0,"",B447-B446)),B447))</f>
        <v/>
      </c>
      <c r="D447" s="18" t="str">
        <f>IF(Dati!C447="","",IF(Dati!C447&gt;1,Dati!C447/100,Dati!C447))</f>
        <v/>
      </c>
      <c r="E447" s="18" t="str">
        <f>IF(Dati!D447="","",IF(Dati!D447&gt;1,Dati!D447/100,Dati!D447))</f>
        <v/>
      </c>
      <c r="F447" s="18" t="str">
        <f>IF(OR(D447="",E447=""),"",IF(OR(D447&gt;1,E447&gt;1),(E447-D447)/100,E447-D447))</f>
        <v/>
      </c>
      <c r="G447" s="17" t="str">
        <f>IF(F447="","",IF(64*F447=0,"",64*F447))</f>
        <v/>
      </c>
      <c r="H447" s="19" t="str">
        <f>IF(Dati!E447="","",Dati!E447)</f>
        <v/>
      </c>
      <c r="I447" s="19" t="str">
        <f>IFERROR(IF(OR(C447="",C447=0),"",H447/C447*100),"")</f>
        <v/>
      </c>
      <c r="J447" s="20" t="str">
        <f>IF(Dati!F447="","",Dati!F447)</f>
        <v/>
      </c>
      <c r="K447" s="19" t="str">
        <f>IF(OR(H447="",J447=""),"",IF(H447*J447=0,"",H447*J447))</f>
        <v/>
      </c>
      <c r="L447" s="19" t="str">
        <f>IF(A447="","",IFERROR(IF(SUMPRODUCT((ISNUMBER(A$2:A447))*(A$2:A447&gt;1000)*(MONTH(IF(ISNUMBER(A$2:A447),A$2:A447,1))=MONTH(A447))*(YEAR(IF(ISNUMBER(A$2:A447),A$2:A447,1))=YEAR(A447))*IF(ISNUMBER(K$2:K447),K$2:K447,0))=0,"",SUMPRODUCT((ISNUMBER(A$2:A447))*(A$2:A447&gt;1000)*(MONTH(IF(ISNUMBER(A$2:A447),A$2:A447,1))=MONTH(A447))*(YEAR(IF(ISNUMBER(A$2:A447),A$2:A447,1))=YEAR(A447))*IF(ISNUMBER(K$2:K447),K$2:K447,0))),""))</f>
        <v/>
      </c>
      <c r="M447" s="21" t="str">
        <f>IF(A447="","",IFERROR(IF(SUMIF(N$2:N447,"CASA",K$2:K447)=0,"",SUMIF(N$2:N447,"CASA",K$2:K447)),""))</f>
        <v/>
      </c>
      <c r="N447" s="17" t="str">
        <f>IF(J447="","",IF(J447=0.2,"CASA",IF(Dati!G447="","",Dati!G447)))</f>
        <v/>
      </c>
    </row>
    <row r="448" spans="1:14" ht="15" customHeight="1" x14ac:dyDescent="0.2">
      <c r="A448" s="23" t="str">
        <f>IF(Dati!A448="","",Dati!A448)</f>
        <v/>
      </c>
      <c r="B448" s="17" t="str">
        <f>IF(Dati!B448="","",Dati!B448)</f>
        <v/>
      </c>
      <c r="C448" s="17" t="str">
        <f>IF(B448="","",IF(ISNUMBER(B447),IF(B448-B447&lt;0,B448,IF(B448-B447=0,"",B448-B447)),B448))</f>
        <v/>
      </c>
      <c r="D448" s="18" t="str">
        <f>IF(Dati!C448="","",IF(Dati!C448&gt;1,Dati!C448/100,Dati!C448))</f>
        <v/>
      </c>
      <c r="E448" s="18" t="str">
        <f>IF(Dati!D448="","",IF(Dati!D448&gt;1,Dati!D448/100,Dati!D448))</f>
        <v/>
      </c>
      <c r="F448" s="18" t="str">
        <f>IF(OR(D448="",E448=""),"",IF(OR(D448&gt;1,E448&gt;1),(E448-D448)/100,E448-D448))</f>
        <v/>
      </c>
      <c r="G448" s="17" t="str">
        <f>IF(F448="","",IF(64*F448=0,"",64*F448))</f>
        <v/>
      </c>
      <c r="H448" s="19" t="str">
        <f>IF(Dati!E448="","",Dati!E448)</f>
        <v/>
      </c>
      <c r="I448" s="19" t="str">
        <f>IFERROR(IF(OR(C448="",C448=0),"",H448/C448*100),"")</f>
        <v/>
      </c>
      <c r="J448" s="20" t="str">
        <f>IF(Dati!F448="","",Dati!F448)</f>
        <v/>
      </c>
      <c r="K448" s="19" t="str">
        <f>IF(OR(H448="",J448=""),"",IF(H448*J448=0,"",H448*J448))</f>
        <v/>
      </c>
      <c r="L448" s="19" t="str">
        <f>IF(A448="","",IFERROR(IF(SUMPRODUCT((ISNUMBER(A$2:A448))*(A$2:A448&gt;1000)*(MONTH(IF(ISNUMBER(A$2:A448),A$2:A448,1))=MONTH(A448))*(YEAR(IF(ISNUMBER(A$2:A448),A$2:A448,1))=YEAR(A448))*IF(ISNUMBER(K$2:K448),K$2:K448,0))=0,"",SUMPRODUCT((ISNUMBER(A$2:A448))*(A$2:A448&gt;1000)*(MONTH(IF(ISNUMBER(A$2:A448),A$2:A448,1))=MONTH(A448))*(YEAR(IF(ISNUMBER(A$2:A448),A$2:A448,1))=YEAR(A448))*IF(ISNUMBER(K$2:K448),K$2:K448,0))),""))</f>
        <v/>
      </c>
      <c r="M448" s="21" t="str">
        <f>IF(A448="","",IFERROR(IF(SUMIF(N$2:N448,"CASA",K$2:K448)=0,"",SUMIF(N$2:N448,"CASA",K$2:K448)),""))</f>
        <v/>
      </c>
      <c r="N448" s="17" t="str">
        <f>IF(J448="","",IF(J448=0.2,"CASA",IF(Dati!G448="","",Dati!G448)))</f>
        <v/>
      </c>
    </row>
    <row r="449" spans="1:14" ht="15" customHeight="1" x14ac:dyDescent="0.2">
      <c r="A449" s="23" t="str">
        <f>IF(Dati!A449="","",Dati!A449)</f>
        <v/>
      </c>
      <c r="B449" s="17" t="str">
        <f>IF(Dati!B449="","",Dati!B449)</f>
        <v/>
      </c>
      <c r="C449" s="17" t="str">
        <f>IF(B449="","",IF(ISNUMBER(B448),IF(B449-B448&lt;0,B449,IF(B449-B448=0,"",B449-B448)),B449))</f>
        <v/>
      </c>
      <c r="D449" s="18" t="str">
        <f>IF(Dati!C449="","",IF(Dati!C449&gt;1,Dati!C449/100,Dati!C449))</f>
        <v/>
      </c>
      <c r="E449" s="18" t="str">
        <f>IF(Dati!D449="","",IF(Dati!D449&gt;1,Dati!D449/100,Dati!D449))</f>
        <v/>
      </c>
      <c r="F449" s="18" t="str">
        <f>IF(OR(D449="",E449=""),"",IF(OR(D449&gt;1,E449&gt;1),(E449-D449)/100,E449-D449))</f>
        <v/>
      </c>
      <c r="G449" s="17" t="str">
        <f>IF(F449="","",IF(64*F449=0,"",64*F449))</f>
        <v/>
      </c>
      <c r="H449" s="19" t="str">
        <f>IF(Dati!E449="","",Dati!E449)</f>
        <v/>
      </c>
      <c r="I449" s="19" t="str">
        <f>IFERROR(IF(OR(C449="",C449=0),"",H449/C449*100),"")</f>
        <v/>
      </c>
      <c r="J449" s="20" t="str">
        <f>IF(Dati!F449="","",Dati!F449)</f>
        <v/>
      </c>
      <c r="K449" s="19" t="str">
        <f>IF(OR(H449="",J449=""),"",IF(H449*J449=0,"",H449*J449))</f>
        <v/>
      </c>
      <c r="L449" s="19" t="str">
        <f>IF(A449="","",IFERROR(IF(SUMPRODUCT((ISNUMBER(A$2:A449))*(A$2:A449&gt;1000)*(MONTH(IF(ISNUMBER(A$2:A449),A$2:A449,1))=MONTH(A449))*(YEAR(IF(ISNUMBER(A$2:A449),A$2:A449,1))=YEAR(A449))*IF(ISNUMBER(K$2:K449),K$2:K449,0))=0,"",SUMPRODUCT((ISNUMBER(A$2:A449))*(A$2:A449&gt;1000)*(MONTH(IF(ISNUMBER(A$2:A449),A$2:A449,1))=MONTH(A449))*(YEAR(IF(ISNUMBER(A$2:A449),A$2:A449,1))=YEAR(A449))*IF(ISNUMBER(K$2:K449),K$2:K449,0))),""))</f>
        <v/>
      </c>
      <c r="M449" s="21" t="str">
        <f>IF(A449="","",IFERROR(IF(SUMIF(N$2:N449,"CASA",K$2:K449)=0,"",SUMIF(N$2:N449,"CASA",K$2:K449)),""))</f>
        <v/>
      </c>
      <c r="N449" s="17" t="str">
        <f>IF(J449="","",IF(J449=0.2,"CASA",IF(Dati!G449="","",Dati!G449)))</f>
        <v/>
      </c>
    </row>
    <row r="450" spans="1:14" ht="15" customHeight="1" x14ac:dyDescent="0.2">
      <c r="A450" s="23" t="str">
        <f>IF(Dati!A450="","",Dati!A450)</f>
        <v/>
      </c>
      <c r="B450" s="17" t="str">
        <f>IF(Dati!B450="","",Dati!B450)</f>
        <v/>
      </c>
      <c r="C450" s="17" t="str">
        <f>IF(B450="","",IF(ISNUMBER(B449),IF(B450-B449&lt;0,B450,IF(B450-B449=0,"",B450-B449)),B450))</f>
        <v/>
      </c>
      <c r="D450" s="18" t="str">
        <f>IF(Dati!C450="","",IF(Dati!C450&gt;1,Dati!C450/100,Dati!C450))</f>
        <v/>
      </c>
      <c r="E450" s="18" t="str">
        <f>IF(Dati!D450="","",IF(Dati!D450&gt;1,Dati!D450/100,Dati!D450))</f>
        <v/>
      </c>
      <c r="F450" s="18" t="str">
        <f>IF(OR(D450="",E450=""),"",IF(OR(D450&gt;1,E450&gt;1),(E450-D450)/100,E450-D450))</f>
        <v/>
      </c>
      <c r="G450" s="17" t="str">
        <f>IF(F450="","",IF(64*F450=0,"",64*F450))</f>
        <v/>
      </c>
      <c r="H450" s="19" t="str">
        <f>IF(Dati!E450="","",Dati!E450)</f>
        <v/>
      </c>
      <c r="I450" s="19" t="str">
        <f>IFERROR(IF(OR(C450="",C450=0),"",H450/C450*100),"")</f>
        <v/>
      </c>
      <c r="J450" s="20" t="str">
        <f>IF(Dati!F450="","",Dati!F450)</f>
        <v/>
      </c>
      <c r="K450" s="19" t="str">
        <f>IF(OR(H450="",J450=""),"",IF(H450*J450=0,"",H450*J450))</f>
        <v/>
      </c>
      <c r="L450" s="19" t="str">
        <f>IF(A450="","",IFERROR(IF(SUMPRODUCT((ISNUMBER(A$2:A450))*(A$2:A450&gt;1000)*(MONTH(IF(ISNUMBER(A$2:A450),A$2:A450,1))=MONTH(A450))*(YEAR(IF(ISNUMBER(A$2:A450),A$2:A450,1))=YEAR(A450))*IF(ISNUMBER(K$2:K450),K$2:K450,0))=0,"",SUMPRODUCT((ISNUMBER(A$2:A450))*(A$2:A450&gt;1000)*(MONTH(IF(ISNUMBER(A$2:A450),A$2:A450,1))=MONTH(A450))*(YEAR(IF(ISNUMBER(A$2:A450),A$2:A450,1))=YEAR(A450))*IF(ISNUMBER(K$2:K450),K$2:K450,0))),""))</f>
        <v/>
      </c>
      <c r="M450" s="21" t="str">
        <f>IF(A450="","",IFERROR(IF(SUMIF(N$2:N450,"CASA",K$2:K450)=0,"",SUMIF(N$2:N450,"CASA",K$2:K450)),""))</f>
        <v/>
      </c>
      <c r="N450" s="17" t="str">
        <f>IF(J450="","",IF(J450=0.2,"CASA",IF(Dati!G450="","",Dati!G450)))</f>
        <v/>
      </c>
    </row>
    <row r="451" spans="1:14" ht="15" customHeight="1" x14ac:dyDescent="0.2">
      <c r="A451" s="23" t="str">
        <f>IF(Dati!A451="","",Dati!A451)</f>
        <v/>
      </c>
      <c r="B451" s="17" t="str">
        <f>IF(Dati!B451="","",Dati!B451)</f>
        <v/>
      </c>
      <c r="C451" s="17" t="str">
        <f>IF(B451="","",IF(ISNUMBER(B450),IF(B451-B450&lt;0,B451,IF(B451-B450=0,"",B451-B450)),B451))</f>
        <v/>
      </c>
      <c r="D451" s="18" t="str">
        <f>IF(Dati!C451="","",IF(Dati!C451&gt;1,Dati!C451/100,Dati!C451))</f>
        <v/>
      </c>
      <c r="E451" s="18" t="str">
        <f>IF(Dati!D451="","",IF(Dati!D451&gt;1,Dati!D451/100,Dati!D451))</f>
        <v/>
      </c>
      <c r="F451" s="18" t="str">
        <f>IF(OR(D451="",E451=""),"",IF(OR(D451&gt;1,E451&gt;1),(E451-D451)/100,E451-D451))</f>
        <v/>
      </c>
      <c r="G451" s="17" t="str">
        <f>IF(F451="","",IF(64*F451=0,"",64*F451))</f>
        <v/>
      </c>
      <c r="H451" s="19" t="str">
        <f>IF(Dati!E451="","",Dati!E451)</f>
        <v/>
      </c>
      <c r="I451" s="19" t="str">
        <f>IFERROR(IF(OR(C451="",C451=0),"",H451/C451*100),"")</f>
        <v/>
      </c>
      <c r="J451" s="20" t="str">
        <f>IF(Dati!F451="","",Dati!F451)</f>
        <v/>
      </c>
      <c r="K451" s="19" t="str">
        <f>IF(OR(H451="",J451=""),"",IF(H451*J451=0,"",H451*J451))</f>
        <v/>
      </c>
      <c r="L451" s="19" t="str">
        <f>IF(A451="","",IFERROR(IF(SUMPRODUCT((ISNUMBER(A$2:A451))*(A$2:A451&gt;1000)*(MONTH(IF(ISNUMBER(A$2:A451),A$2:A451,1))=MONTH(A451))*(YEAR(IF(ISNUMBER(A$2:A451),A$2:A451,1))=YEAR(A451))*IF(ISNUMBER(K$2:K451),K$2:K451,0))=0,"",SUMPRODUCT((ISNUMBER(A$2:A451))*(A$2:A451&gt;1000)*(MONTH(IF(ISNUMBER(A$2:A451),A$2:A451,1))=MONTH(A451))*(YEAR(IF(ISNUMBER(A$2:A451),A$2:A451,1))=YEAR(A451))*IF(ISNUMBER(K$2:K451),K$2:K451,0))),""))</f>
        <v/>
      </c>
      <c r="M451" s="21" t="str">
        <f>IF(A451="","",IFERROR(IF(SUMIF(N$2:N451,"CASA",K$2:K451)=0,"",SUMIF(N$2:N451,"CASA",K$2:K451)),""))</f>
        <v/>
      </c>
      <c r="N451" s="17" t="str">
        <f>IF(J451="","",IF(J451=0.2,"CASA",IF(Dati!G451="","",Dati!G451)))</f>
        <v/>
      </c>
    </row>
    <row r="452" spans="1:14" ht="15" customHeight="1" x14ac:dyDescent="0.2">
      <c r="A452" s="23" t="str">
        <f>IF(Dati!A452="","",Dati!A452)</f>
        <v/>
      </c>
      <c r="B452" s="17" t="str">
        <f>IF(Dati!B452="","",Dati!B452)</f>
        <v/>
      </c>
      <c r="C452" s="17" t="str">
        <f>IF(B452="","",IF(ISNUMBER(B451),IF(B452-B451&lt;0,B452,IF(B452-B451=0,"",B452-B451)),B452))</f>
        <v/>
      </c>
      <c r="D452" s="18" t="str">
        <f>IF(Dati!C452="","",IF(Dati!C452&gt;1,Dati!C452/100,Dati!C452))</f>
        <v/>
      </c>
      <c r="E452" s="18" t="str">
        <f>IF(Dati!D452="","",IF(Dati!D452&gt;1,Dati!D452/100,Dati!D452))</f>
        <v/>
      </c>
      <c r="F452" s="18" t="str">
        <f>IF(OR(D452="",E452=""),"",IF(OR(D452&gt;1,E452&gt;1),(E452-D452)/100,E452-D452))</f>
        <v/>
      </c>
      <c r="G452" s="17" t="str">
        <f>IF(F452="","",IF(64*F452=0,"",64*F452))</f>
        <v/>
      </c>
      <c r="H452" s="19" t="str">
        <f>IF(Dati!E452="","",Dati!E452)</f>
        <v/>
      </c>
      <c r="I452" s="19" t="str">
        <f>IFERROR(IF(OR(C452="",C452=0),"",H452/C452*100),"")</f>
        <v/>
      </c>
      <c r="J452" s="20" t="str">
        <f>IF(Dati!F452="","",Dati!F452)</f>
        <v/>
      </c>
      <c r="K452" s="19" t="str">
        <f>IF(OR(H452="",J452=""),"",IF(H452*J452=0,"",H452*J452))</f>
        <v/>
      </c>
      <c r="L452" s="19" t="str">
        <f>IF(A452="","",IFERROR(IF(SUMPRODUCT((ISNUMBER(A$2:A452))*(A$2:A452&gt;1000)*(MONTH(IF(ISNUMBER(A$2:A452),A$2:A452,1))=MONTH(A452))*(YEAR(IF(ISNUMBER(A$2:A452),A$2:A452,1))=YEAR(A452))*IF(ISNUMBER(K$2:K452),K$2:K452,0))=0,"",SUMPRODUCT((ISNUMBER(A$2:A452))*(A$2:A452&gt;1000)*(MONTH(IF(ISNUMBER(A$2:A452),A$2:A452,1))=MONTH(A452))*(YEAR(IF(ISNUMBER(A$2:A452),A$2:A452,1))=YEAR(A452))*IF(ISNUMBER(K$2:K452),K$2:K452,0))),""))</f>
        <v/>
      </c>
      <c r="M452" s="21" t="str">
        <f>IF(A452="","",IFERROR(IF(SUMIF(N$2:N452,"CASA",K$2:K452)=0,"",SUMIF(N$2:N452,"CASA",K$2:K452)),""))</f>
        <v/>
      </c>
      <c r="N452" s="17" t="str">
        <f>IF(J452="","",IF(J452=0.2,"CASA",IF(Dati!G452="","",Dati!G452)))</f>
        <v/>
      </c>
    </row>
    <row r="453" spans="1:14" ht="15" customHeight="1" x14ac:dyDescent="0.2">
      <c r="A453" s="23" t="str">
        <f>IF(Dati!A453="","",Dati!A453)</f>
        <v/>
      </c>
      <c r="B453" s="17" t="str">
        <f>IF(Dati!B453="","",Dati!B453)</f>
        <v/>
      </c>
      <c r="C453" s="17" t="str">
        <f>IF(B453="","",IF(ISNUMBER(B452),IF(B453-B452&lt;0,B453,IF(B453-B452=0,"",B453-B452)),B453))</f>
        <v/>
      </c>
      <c r="D453" s="18" t="str">
        <f>IF(Dati!C453="","",IF(Dati!C453&gt;1,Dati!C453/100,Dati!C453))</f>
        <v/>
      </c>
      <c r="E453" s="18" t="str">
        <f>IF(Dati!D453="","",IF(Dati!D453&gt;1,Dati!D453/100,Dati!D453))</f>
        <v/>
      </c>
      <c r="F453" s="18" t="str">
        <f>IF(OR(D453="",E453=""),"",IF(OR(D453&gt;1,E453&gt;1),(E453-D453)/100,E453-D453))</f>
        <v/>
      </c>
      <c r="G453" s="17" t="str">
        <f>IF(F453="","",IF(64*F453=0,"",64*F453))</f>
        <v/>
      </c>
      <c r="H453" s="19" t="str">
        <f>IF(Dati!E453="","",Dati!E453)</f>
        <v/>
      </c>
      <c r="I453" s="19" t="str">
        <f>IFERROR(IF(OR(C453="",C453=0),"",H453/C453*100),"")</f>
        <v/>
      </c>
      <c r="J453" s="20" t="str">
        <f>IF(Dati!F453="","",Dati!F453)</f>
        <v/>
      </c>
      <c r="K453" s="19" t="str">
        <f>IF(OR(H453="",J453=""),"",IF(H453*J453=0,"",H453*J453))</f>
        <v/>
      </c>
      <c r="L453" s="19" t="str">
        <f>IF(A453="","",IFERROR(IF(SUMPRODUCT((ISNUMBER(A$2:A453))*(A$2:A453&gt;1000)*(MONTH(IF(ISNUMBER(A$2:A453),A$2:A453,1))=MONTH(A453))*(YEAR(IF(ISNUMBER(A$2:A453),A$2:A453,1))=YEAR(A453))*IF(ISNUMBER(K$2:K453),K$2:K453,0))=0,"",SUMPRODUCT((ISNUMBER(A$2:A453))*(A$2:A453&gt;1000)*(MONTH(IF(ISNUMBER(A$2:A453),A$2:A453,1))=MONTH(A453))*(YEAR(IF(ISNUMBER(A$2:A453),A$2:A453,1))=YEAR(A453))*IF(ISNUMBER(K$2:K453),K$2:K453,0))),""))</f>
        <v/>
      </c>
      <c r="M453" s="21" t="str">
        <f>IF(A453="","",IFERROR(IF(SUMIF(N$2:N453,"CASA",K$2:K453)=0,"",SUMIF(N$2:N453,"CASA",K$2:K453)),""))</f>
        <v/>
      </c>
      <c r="N453" s="17" t="str">
        <f>IF(J453="","",IF(J453=0.2,"CASA",IF(Dati!G453="","",Dati!G453)))</f>
        <v/>
      </c>
    </row>
    <row r="454" spans="1:14" ht="15" customHeight="1" x14ac:dyDescent="0.2">
      <c r="A454" s="23" t="str">
        <f>IF(Dati!A454="","",Dati!A454)</f>
        <v/>
      </c>
      <c r="B454" s="17" t="str">
        <f>IF(Dati!B454="","",Dati!B454)</f>
        <v/>
      </c>
      <c r="C454" s="17" t="str">
        <f>IF(B454="","",IF(ISNUMBER(B453),IF(B454-B453&lt;0,B454,IF(B454-B453=0,"",B454-B453)),B454))</f>
        <v/>
      </c>
      <c r="D454" s="18" t="str">
        <f>IF(Dati!C454="","",IF(Dati!C454&gt;1,Dati!C454/100,Dati!C454))</f>
        <v/>
      </c>
      <c r="E454" s="18" t="str">
        <f>IF(Dati!D454="","",IF(Dati!D454&gt;1,Dati!D454/100,Dati!D454))</f>
        <v/>
      </c>
      <c r="F454" s="18" t="str">
        <f>IF(OR(D454="",E454=""),"",IF(OR(D454&gt;1,E454&gt;1),(E454-D454)/100,E454-D454))</f>
        <v/>
      </c>
      <c r="G454" s="17" t="str">
        <f>IF(F454="","",IF(64*F454=0,"",64*F454))</f>
        <v/>
      </c>
      <c r="H454" s="19" t="str">
        <f>IF(Dati!E454="","",Dati!E454)</f>
        <v/>
      </c>
      <c r="I454" s="19" t="str">
        <f>IFERROR(IF(OR(C454="",C454=0),"",H454/C454*100),"")</f>
        <v/>
      </c>
      <c r="J454" s="20" t="str">
        <f>IF(Dati!F454="","",Dati!F454)</f>
        <v/>
      </c>
      <c r="K454" s="19" t="str">
        <f>IF(OR(H454="",J454=""),"",IF(H454*J454=0,"",H454*J454))</f>
        <v/>
      </c>
      <c r="L454" s="19" t="str">
        <f>IF(A454="","",IFERROR(IF(SUMPRODUCT((ISNUMBER(A$2:A454))*(A$2:A454&gt;1000)*(MONTH(IF(ISNUMBER(A$2:A454),A$2:A454,1))=MONTH(A454))*(YEAR(IF(ISNUMBER(A$2:A454),A$2:A454,1))=YEAR(A454))*IF(ISNUMBER(K$2:K454),K$2:K454,0))=0,"",SUMPRODUCT((ISNUMBER(A$2:A454))*(A$2:A454&gt;1000)*(MONTH(IF(ISNUMBER(A$2:A454),A$2:A454,1))=MONTH(A454))*(YEAR(IF(ISNUMBER(A$2:A454),A$2:A454,1))=YEAR(A454))*IF(ISNUMBER(K$2:K454),K$2:K454,0))),""))</f>
        <v/>
      </c>
      <c r="M454" s="21" t="str">
        <f>IF(A454="","",IFERROR(IF(SUMIF(N$2:N454,"CASA",K$2:K454)=0,"",SUMIF(N$2:N454,"CASA",K$2:K454)),""))</f>
        <v/>
      </c>
      <c r="N454" s="17" t="str">
        <f>IF(J454="","",IF(J454=0.2,"CASA",IF(Dati!G454="","",Dati!G454)))</f>
        <v/>
      </c>
    </row>
    <row r="455" spans="1:14" ht="15" customHeight="1" x14ac:dyDescent="0.2">
      <c r="A455" s="23" t="str">
        <f>IF(Dati!A455="","",Dati!A455)</f>
        <v/>
      </c>
      <c r="B455" s="17" t="str">
        <f>IF(Dati!B455="","",Dati!B455)</f>
        <v/>
      </c>
      <c r="C455" s="17" t="str">
        <f>IF(B455="","",IF(ISNUMBER(B454),IF(B455-B454&lt;0,B455,IF(B455-B454=0,"",B455-B454)),B455))</f>
        <v/>
      </c>
      <c r="D455" s="18" t="str">
        <f>IF(Dati!C455="","",IF(Dati!C455&gt;1,Dati!C455/100,Dati!C455))</f>
        <v/>
      </c>
      <c r="E455" s="18" t="str">
        <f>IF(Dati!D455="","",IF(Dati!D455&gt;1,Dati!D455/100,Dati!D455))</f>
        <v/>
      </c>
      <c r="F455" s="18" t="str">
        <f>IF(OR(D455="",E455=""),"",IF(OR(D455&gt;1,E455&gt;1),(E455-D455)/100,E455-D455))</f>
        <v/>
      </c>
      <c r="G455" s="17" t="str">
        <f>IF(F455="","",IF(64*F455=0,"",64*F455))</f>
        <v/>
      </c>
      <c r="H455" s="19" t="str">
        <f>IF(Dati!E455="","",Dati!E455)</f>
        <v/>
      </c>
      <c r="I455" s="19" t="str">
        <f>IFERROR(IF(OR(C455="",C455=0),"",H455/C455*100),"")</f>
        <v/>
      </c>
      <c r="J455" s="20" t="str">
        <f>IF(Dati!F455="","",Dati!F455)</f>
        <v/>
      </c>
      <c r="K455" s="19" t="str">
        <f>IF(OR(H455="",J455=""),"",IF(H455*J455=0,"",H455*J455))</f>
        <v/>
      </c>
      <c r="L455" s="19" t="str">
        <f>IF(A455="","",IFERROR(IF(SUMPRODUCT((ISNUMBER(A$2:A455))*(A$2:A455&gt;1000)*(MONTH(IF(ISNUMBER(A$2:A455),A$2:A455,1))=MONTH(A455))*(YEAR(IF(ISNUMBER(A$2:A455),A$2:A455,1))=YEAR(A455))*IF(ISNUMBER(K$2:K455),K$2:K455,0))=0,"",SUMPRODUCT((ISNUMBER(A$2:A455))*(A$2:A455&gt;1000)*(MONTH(IF(ISNUMBER(A$2:A455),A$2:A455,1))=MONTH(A455))*(YEAR(IF(ISNUMBER(A$2:A455),A$2:A455,1))=YEAR(A455))*IF(ISNUMBER(K$2:K455),K$2:K455,0))),""))</f>
        <v/>
      </c>
      <c r="M455" s="21" t="str">
        <f>IF(A455="","",IFERROR(IF(SUMIF(N$2:N455,"CASA",K$2:K455)=0,"",SUMIF(N$2:N455,"CASA",K$2:K455)),""))</f>
        <v/>
      </c>
      <c r="N455" s="17" t="str">
        <f>IF(J455="","",IF(J455=0.2,"CASA",IF(Dati!G455="","",Dati!G455)))</f>
        <v/>
      </c>
    </row>
    <row r="456" spans="1:14" ht="15" customHeight="1" x14ac:dyDescent="0.2">
      <c r="A456" s="23" t="str">
        <f>IF(Dati!A456="","",Dati!A456)</f>
        <v/>
      </c>
      <c r="B456" s="17" t="str">
        <f>IF(Dati!B456="","",Dati!B456)</f>
        <v/>
      </c>
      <c r="C456" s="17" t="str">
        <f>IF(B456="","",IF(ISNUMBER(B455),IF(B456-B455&lt;0,B456,IF(B456-B455=0,"",B456-B455)),B456))</f>
        <v/>
      </c>
      <c r="D456" s="18" t="str">
        <f>IF(Dati!C456="","",IF(Dati!C456&gt;1,Dati!C456/100,Dati!C456))</f>
        <v/>
      </c>
      <c r="E456" s="18" t="str">
        <f>IF(Dati!D456="","",IF(Dati!D456&gt;1,Dati!D456/100,Dati!D456))</f>
        <v/>
      </c>
      <c r="F456" s="18" t="str">
        <f>IF(OR(D456="",E456=""),"",IF(OR(D456&gt;1,E456&gt;1),(E456-D456)/100,E456-D456))</f>
        <v/>
      </c>
      <c r="G456" s="17" t="str">
        <f>IF(F456="","",IF(64*F456=0,"",64*F456))</f>
        <v/>
      </c>
      <c r="H456" s="19" t="str">
        <f>IF(Dati!E456="","",Dati!E456)</f>
        <v/>
      </c>
      <c r="I456" s="19" t="str">
        <f>IFERROR(IF(OR(C456="",C456=0),"",H456/C456*100),"")</f>
        <v/>
      </c>
      <c r="J456" s="20" t="str">
        <f>IF(Dati!F456="","",Dati!F456)</f>
        <v/>
      </c>
      <c r="K456" s="19" t="str">
        <f>IF(OR(H456="",J456=""),"",IF(H456*J456=0,"",H456*J456))</f>
        <v/>
      </c>
      <c r="L456" s="19" t="str">
        <f>IF(A456="","",IFERROR(IF(SUMPRODUCT((ISNUMBER(A$2:A456))*(A$2:A456&gt;1000)*(MONTH(IF(ISNUMBER(A$2:A456),A$2:A456,1))=MONTH(A456))*(YEAR(IF(ISNUMBER(A$2:A456),A$2:A456,1))=YEAR(A456))*IF(ISNUMBER(K$2:K456),K$2:K456,0))=0,"",SUMPRODUCT((ISNUMBER(A$2:A456))*(A$2:A456&gt;1000)*(MONTH(IF(ISNUMBER(A$2:A456),A$2:A456,1))=MONTH(A456))*(YEAR(IF(ISNUMBER(A$2:A456),A$2:A456,1))=YEAR(A456))*IF(ISNUMBER(K$2:K456),K$2:K456,0))),""))</f>
        <v/>
      </c>
      <c r="M456" s="21" t="str">
        <f>IF(A456="","",IFERROR(IF(SUMIF(N$2:N456,"CASA",K$2:K456)=0,"",SUMIF(N$2:N456,"CASA",K$2:K456)),""))</f>
        <v/>
      </c>
      <c r="N456" s="17" t="str">
        <f>IF(J456="","",IF(J456=0.2,"CASA",IF(Dati!G456="","",Dati!G456)))</f>
        <v/>
      </c>
    </row>
    <row r="457" spans="1:14" ht="15" customHeight="1" x14ac:dyDescent="0.2">
      <c r="A457" s="23" t="str">
        <f>IF(Dati!A457="","",Dati!A457)</f>
        <v/>
      </c>
      <c r="B457" s="17" t="str">
        <f>IF(Dati!B457="","",Dati!B457)</f>
        <v/>
      </c>
      <c r="C457" s="17" t="str">
        <f>IF(B457="","",IF(ISNUMBER(B456),IF(B457-B456&lt;0,B457,IF(B457-B456=0,"",B457-B456)),B457))</f>
        <v/>
      </c>
      <c r="D457" s="18" t="str">
        <f>IF(Dati!C457="","",IF(Dati!C457&gt;1,Dati!C457/100,Dati!C457))</f>
        <v/>
      </c>
      <c r="E457" s="18" t="str">
        <f>IF(Dati!D457="","",IF(Dati!D457&gt;1,Dati!D457/100,Dati!D457))</f>
        <v/>
      </c>
      <c r="F457" s="18" t="str">
        <f>IF(OR(D457="",E457=""),"",IF(OR(D457&gt;1,E457&gt;1),(E457-D457)/100,E457-D457))</f>
        <v/>
      </c>
      <c r="G457" s="17" t="str">
        <f>IF(F457="","",IF(64*F457=0,"",64*F457))</f>
        <v/>
      </c>
      <c r="H457" s="19" t="str">
        <f>IF(Dati!E457="","",Dati!E457)</f>
        <v/>
      </c>
      <c r="I457" s="19" t="str">
        <f>IFERROR(IF(OR(C457="",C457=0),"",H457/C457*100),"")</f>
        <v/>
      </c>
      <c r="J457" s="20" t="str">
        <f>IF(Dati!F457="","",Dati!F457)</f>
        <v/>
      </c>
      <c r="K457" s="19" t="str">
        <f>IF(OR(H457="",J457=""),"",IF(H457*J457=0,"",H457*J457))</f>
        <v/>
      </c>
      <c r="L457" s="19" t="str">
        <f>IF(A457="","",IFERROR(IF(SUMPRODUCT((ISNUMBER(A$2:A457))*(A$2:A457&gt;1000)*(MONTH(IF(ISNUMBER(A$2:A457),A$2:A457,1))=MONTH(A457))*(YEAR(IF(ISNUMBER(A$2:A457),A$2:A457,1))=YEAR(A457))*IF(ISNUMBER(K$2:K457),K$2:K457,0))=0,"",SUMPRODUCT((ISNUMBER(A$2:A457))*(A$2:A457&gt;1000)*(MONTH(IF(ISNUMBER(A$2:A457),A$2:A457,1))=MONTH(A457))*(YEAR(IF(ISNUMBER(A$2:A457),A$2:A457,1))=YEAR(A457))*IF(ISNUMBER(K$2:K457),K$2:K457,0))),""))</f>
        <v/>
      </c>
      <c r="M457" s="21" t="str">
        <f>IF(A457="","",IFERROR(IF(SUMIF(N$2:N457,"CASA",K$2:K457)=0,"",SUMIF(N$2:N457,"CASA",K$2:K457)),""))</f>
        <v/>
      </c>
      <c r="N457" s="17" t="str">
        <f>IF(J457="","",IF(J457=0.2,"CASA",IF(Dati!G457="","",Dati!G457)))</f>
        <v/>
      </c>
    </row>
    <row r="458" spans="1:14" ht="15" customHeight="1" x14ac:dyDescent="0.2">
      <c r="A458" s="23" t="str">
        <f>IF(Dati!A458="","",Dati!A458)</f>
        <v/>
      </c>
      <c r="B458" s="17" t="str">
        <f>IF(Dati!B458="","",Dati!B458)</f>
        <v/>
      </c>
      <c r="C458" s="17" t="str">
        <f>IF(B458="","",IF(ISNUMBER(B457),IF(B458-B457&lt;0,B458,IF(B458-B457=0,"",B458-B457)),B458))</f>
        <v/>
      </c>
      <c r="D458" s="18" t="str">
        <f>IF(Dati!C458="","",IF(Dati!C458&gt;1,Dati!C458/100,Dati!C458))</f>
        <v/>
      </c>
      <c r="E458" s="18" t="str">
        <f>IF(Dati!D458="","",IF(Dati!D458&gt;1,Dati!D458/100,Dati!D458))</f>
        <v/>
      </c>
      <c r="F458" s="18" t="str">
        <f>IF(OR(D458="",E458=""),"",IF(OR(D458&gt;1,E458&gt;1),(E458-D458)/100,E458-D458))</f>
        <v/>
      </c>
      <c r="G458" s="17" t="str">
        <f>IF(F458="","",IF(64*F458=0,"",64*F458))</f>
        <v/>
      </c>
      <c r="H458" s="19" t="str">
        <f>IF(Dati!E458="","",Dati!E458)</f>
        <v/>
      </c>
      <c r="I458" s="19" t="str">
        <f>IFERROR(IF(OR(C458="",C458=0),"",H458/C458*100),"")</f>
        <v/>
      </c>
      <c r="J458" s="20" t="str">
        <f>IF(Dati!F458="","",Dati!F458)</f>
        <v/>
      </c>
      <c r="K458" s="19" t="str">
        <f>IF(OR(H458="",J458=""),"",IF(H458*J458=0,"",H458*J458))</f>
        <v/>
      </c>
      <c r="L458" s="19" t="str">
        <f>IF(A458="","",IFERROR(IF(SUMPRODUCT((ISNUMBER(A$2:A458))*(A$2:A458&gt;1000)*(MONTH(IF(ISNUMBER(A$2:A458),A$2:A458,1))=MONTH(A458))*(YEAR(IF(ISNUMBER(A$2:A458),A$2:A458,1))=YEAR(A458))*IF(ISNUMBER(K$2:K458),K$2:K458,0))=0,"",SUMPRODUCT((ISNUMBER(A$2:A458))*(A$2:A458&gt;1000)*(MONTH(IF(ISNUMBER(A$2:A458),A$2:A458,1))=MONTH(A458))*(YEAR(IF(ISNUMBER(A$2:A458),A$2:A458,1))=YEAR(A458))*IF(ISNUMBER(K$2:K458),K$2:K458,0))),""))</f>
        <v/>
      </c>
      <c r="M458" s="21" t="str">
        <f>IF(A458="","",IFERROR(IF(SUMIF(N$2:N458,"CASA",K$2:K458)=0,"",SUMIF(N$2:N458,"CASA",K$2:K458)),""))</f>
        <v/>
      </c>
      <c r="N458" s="17" t="str">
        <f>IF(J458="","",IF(J458=0.2,"CASA",IF(Dati!G458="","",Dati!G458)))</f>
        <v/>
      </c>
    </row>
    <row r="459" spans="1:14" ht="15" customHeight="1" x14ac:dyDescent="0.2">
      <c r="A459" s="23" t="str">
        <f>IF(Dati!A459="","",Dati!A459)</f>
        <v/>
      </c>
      <c r="B459" s="17" t="str">
        <f>IF(Dati!B459="","",Dati!B459)</f>
        <v/>
      </c>
      <c r="C459" s="17" t="str">
        <f>IF(B459="","",IF(ISNUMBER(B458),IF(B459-B458&lt;0,B459,IF(B459-B458=0,"",B459-B458)),B459))</f>
        <v/>
      </c>
      <c r="D459" s="18" t="str">
        <f>IF(Dati!C459="","",IF(Dati!C459&gt;1,Dati!C459/100,Dati!C459))</f>
        <v/>
      </c>
      <c r="E459" s="18" t="str">
        <f>IF(Dati!D459="","",IF(Dati!D459&gt;1,Dati!D459/100,Dati!D459))</f>
        <v/>
      </c>
      <c r="F459" s="18" t="str">
        <f>IF(OR(D459="",E459=""),"",IF(OR(D459&gt;1,E459&gt;1),(E459-D459)/100,E459-D459))</f>
        <v/>
      </c>
      <c r="G459" s="17" t="str">
        <f>IF(F459="","",IF(64*F459=0,"",64*F459))</f>
        <v/>
      </c>
      <c r="H459" s="19" t="str">
        <f>IF(Dati!E459="","",Dati!E459)</f>
        <v/>
      </c>
      <c r="I459" s="19" t="str">
        <f>IFERROR(IF(OR(C459="",C459=0),"",H459/C459*100),"")</f>
        <v/>
      </c>
      <c r="J459" s="20" t="str">
        <f>IF(Dati!F459="","",Dati!F459)</f>
        <v/>
      </c>
      <c r="K459" s="19" t="str">
        <f>IF(OR(H459="",J459=""),"",IF(H459*J459=0,"",H459*J459))</f>
        <v/>
      </c>
      <c r="L459" s="19" t="str">
        <f>IF(A459="","",IFERROR(IF(SUMPRODUCT((ISNUMBER(A$2:A459))*(A$2:A459&gt;1000)*(MONTH(IF(ISNUMBER(A$2:A459),A$2:A459,1))=MONTH(A459))*(YEAR(IF(ISNUMBER(A$2:A459),A$2:A459,1))=YEAR(A459))*IF(ISNUMBER(K$2:K459),K$2:K459,0))=0,"",SUMPRODUCT((ISNUMBER(A$2:A459))*(A$2:A459&gt;1000)*(MONTH(IF(ISNUMBER(A$2:A459),A$2:A459,1))=MONTH(A459))*(YEAR(IF(ISNUMBER(A$2:A459),A$2:A459,1))=YEAR(A459))*IF(ISNUMBER(K$2:K459),K$2:K459,0))),""))</f>
        <v/>
      </c>
      <c r="M459" s="21" t="str">
        <f>IF(A459="","",IFERROR(IF(SUMIF(N$2:N459,"CASA",K$2:K459)=0,"",SUMIF(N$2:N459,"CASA",K$2:K459)),""))</f>
        <v/>
      </c>
      <c r="N459" s="17" t="str">
        <f>IF(J459="","",IF(J459=0.2,"CASA",IF(Dati!G459="","",Dati!G459)))</f>
        <v/>
      </c>
    </row>
    <row r="460" spans="1:14" ht="15" customHeight="1" x14ac:dyDescent="0.2">
      <c r="A460" s="23" t="str">
        <f>IF(Dati!A460="","",Dati!A460)</f>
        <v/>
      </c>
      <c r="B460" s="17" t="str">
        <f>IF(Dati!B460="","",Dati!B460)</f>
        <v/>
      </c>
      <c r="C460" s="17" t="str">
        <f>IF(B460="","",IF(ISNUMBER(B459),IF(B460-B459&lt;0,B460,IF(B460-B459=0,"",B460-B459)),B460))</f>
        <v/>
      </c>
      <c r="D460" s="18" t="str">
        <f>IF(Dati!C460="","",IF(Dati!C460&gt;1,Dati!C460/100,Dati!C460))</f>
        <v/>
      </c>
      <c r="E460" s="18" t="str">
        <f>IF(Dati!D460="","",IF(Dati!D460&gt;1,Dati!D460/100,Dati!D460))</f>
        <v/>
      </c>
      <c r="F460" s="18" t="str">
        <f>IF(OR(D460="",E460=""),"",IF(OR(D460&gt;1,E460&gt;1),(E460-D460)/100,E460-D460))</f>
        <v/>
      </c>
      <c r="G460" s="17" t="str">
        <f>IF(F460="","",IF(64*F460=0,"",64*F460))</f>
        <v/>
      </c>
      <c r="H460" s="19" t="str">
        <f>IF(Dati!E460="","",Dati!E460)</f>
        <v/>
      </c>
      <c r="I460" s="19" t="str">
        <f>IFERROR(IF(OR(C460="",C460=0),"",H460/C460*100),"")</f>
        <v/>
      </c>
      <c r="J460" s="20" t="str">
        <f>IF(Dati!F460="","",Dati!F460)</f>
        <v/>
      </c>
      <c r="K460" s="19" t="str">
        <f>IF(OR(H460="",J460=""),"",IF(H460*J460=0,"",H460*J460))</f>
        <v/>
      </c>
      <c r="L460" s="19" t="str">
        <f>IF(A460="","",IFERROR(IF(SUMPRODUCT((ISNUMBER(A$2:A460))*(A$2:A460&gt;1000)*(MONTH(IF(ISNUMBER(A$2:A460),A$2:A460,1))=MONTH(A460))*(YEAR(IF(ISNUMBER(A$2:A460),A$2:A460,1))=YEAR(A460))*IF(ISNUMBER(K$2:K460),K$2:K460,0))=0,"",SUMPRODUCT((ISNUMBER(A$2:A460))*(A$2:A460&gt;1000)*(MONTH(IF(ISNUMBER(A$2:A460),A$2:A460,1))=MONTH(A460))*(YEAR(IF(ISNUMBER(A$2:A460),A$2:A460,1))=YEAR(A460))*IF(ISNUMBER(K$2:K460),K$2:K460,0))),""))</f>
        <v/>
      </c>
      <c r="M460" s="21" t="str">
        <f>IF(A460="","",IFERROR(IF(SUMIF(N$2:N460,"CASA",K$2:K460)=0,"",SUMIF(N$2:N460,"CASA",K$2:K460)),""))</f>
        <v/>
      </c>
      <c r="N460" s="17" t="str">
        <f>IF(J460="","",IF(J460=0.2,"CASA",IF(Dati!G460="","",Dati!G460)))</f>
        <v/>
      </c>
    </row>
    <row r="461" spans="1:14" ht="15" customHeight="1" x14ac:dyDescent="0.2">
      <c r="A461" s="23" t="str">
        <f>IF(Dati!A461="","",Dati!A461)</f>
        <v/>
      </c>
      <c r="B461" s="17" t="str">
        <f>IF(Dati!B461="","",Dati!B461)</f>
        <v/>
      </c>
      <c r="C461" s="17" t="str">
        <f>IF(B461="","",IF(ISNUMBER(B460),IF(B461-B460&lt;0,B461,IF(B461-B460=0,"",B461-B460)),B461))</f>
        <v/>
      </c>
      <c r="D461" s="18" t="str">
        <f>IF(Dati!C461="","",IF(Dati!C461&gt;1,Dati!C461/100,Dati!C461))</f>
        <v/>
      </c>
      <c r="E461" s="18" t="str">
        <f>IF(Dati!D461="","",IF(Dati!D461&gt;1,Dati!D461/100,Dati!D461))</f>
        <v/>
      </c>
      <c r="F461" s="18" t="str">
        <f>IF(OR(D461="",E461=""),"",IF(OR(D461&gt;1,E461&gt;1),(E461-D461)/100,E461-D461))</f>
        <v/>
      </c>
      <c r="G461" s="17" t="str">
        <f>IF(F461="","",IF(64*F461=0,"",64*F461))</f>
        <v/>
      </c>
      <c r="H461" s="19" t="str">
        <f>IF(Dati!E461="","",Dati!E461)</f>
        <v/>
      </c>
      <c r="I461" s="19" t="str">
        <f>IFERROR(IF(OR(C461="",C461=0),"",H461/C461*100),"")</f>
        <v/>
      </c>
      <c r="J461" s="20" t="str">
        <f>IF(Dati!F461="","",Dati!F461)</f>
        <v/>
      </c>
      <c r="K461" s="19" t="str">
        <f>IF(OR(H461="",J461=""),"",IF(H461*J461=0,"",H461*J461))</f>
        <v/>
      </c>
      <c r="L461" s="19" t="str">
        <f>IF(A461="","",IFERROR(IF(SUMPRODUCT((ISNUMBER(A$2:A461))*(A$2:A461&gt;1000)*(MONTH(IF(ISNUMBER(A$2:A461),A$2:A461,1))=MONTH(A461))*(YEAR(IF(ISNUMBER(A$2:A461),A$2:A461,1))=YEAR(A461))*IF(ISNUMBER(K$2:K461),K$2:K461,0))=0,"",SUMPRODUCT((ISNUMBER(A$2:A461))*(A$2:A461&gt;1000)*(MONTH(IF(ISNUMBER(A$2:A461),A$2:A461,1))=MONTH(A461))*(YEAR(IF(ISNUMBER(A$2:A461),A$2:A461,1))=YEAR(A461))*IF(ISNUMBER(K$2:K461),K$2:K461,0))),""))</f>
        <v/>
      </c>
      <c r="M461" s="21" t="str">
        <f>IF(A461="","",IFERROR(IF(SUMIF(N$2:N461,"CASA",K$2:K461)=0,"",SUMIF(N$2:N461,"CASA",K$2:K461)),""))</f>
        <v/>
      </c>
      <c r="N461" s="17" t="str">
        <f>IF(J461="","",IF(J461=0.2,"CASA",IF(Dati!G461="","",Dati!G461)))</f>
        <v/>
      </c>
    </row>
    <row r="462" spans="1:14" ht="15" customHeight="1" x14ac:dyDescent="0.2">
      <c r="A462" s="23" t="str">
        <f>IF(Dati!A462="","",Dati!A462)</f>
        <v/>
      </c>
      <c r="B462" s="17" t="str">
        <f>IF(Dati!B462="","",Dati!B462)</f>
        <v/>
      </c>
      <c r="C462" s="17" t="str">
        <f>IF(B462="","",IF(ISNUMBER(B461),IF(B462-B461&lt;0,B462,IF(B462-B461=0,"",B462-B461)),B462))</f>
        <v/>
      </c>
      <c r="D462" s="18" t="str">
        <f>IF(Dati!C462="","",IF(Dati!C462&gt;1,Dati!C462/100,Dati!C462))</f>
        <v/>
      </c>
      <c r="E462" s="18" t="str">
        <f>IF(Dati!D462="","",IF(Dati!D462&gt;1,Dati!D462/100,Dati!D462))</f>
        <v/>
      </c>
      <c r="F462" s="18" t="str">
        <f>IF(OR(D462="",E462=""),"",IF(OR(D462&gt;1,E462&gt;1),(E462-D462)/100,E462-D462))</f>
        <v/>
      </c>
      <c r="G462" s="17" t="str">
        <f>IF(F462="","",IF(64*F462=0,"",64*F462))</f>
        <v/>
      </c>
      <c r="H462" s="19" t="str">
        <f>IF(Dati!E462="","",Dati!E462)</f>
        <v/>
      </c>
      <c r="I462" s="19" t="str">
        <f>IFERROR(IF(OR(C462="",C462=0),"",H462/C462*100),"")</f>
        <v/>
      </c>
      <c r="J462" s="20" t="str">
        <f>IF(Dati!F462="","",Dati!F462)</f>
        <v/>
      </c>
      <c r="K462" s="19" t="str">
        <f>IF(OR(H462="",J462=""),"",IF(H462*J462=0,"",H462*J462))</f>
        <v/>
      </c>
      <c r="L462" s="19" t="str">
        <f>IF(A462="","",IFERROR(IF(SUMPRODUCT((ISNUMBER(A$2:A462))*(A$2:A462&gt;1000)*(MONTH(IF(ISNUMBER(A$2:A462),A$2:A462,1))=MONTH(A462))*(YEAR(IF(ISNUMBER(A$2:A462),A$2:A462,1))=YEAR(A462))*IF(ISNUMBER(K$2:K462),K$2:K462,0))=0,"",SUMPRODUCT((ISNUMBER(A$2:A462))*(A$2:A462&gt;1000)*(MONTH(IF(ISNUMBER(A$2:A462),A$2:A462,1))=MONTH(A462))*(YEAR(IF(ISNUMBER(A$2:A462),A$2:A462,1))=YEAR(A462))*IF(ISNUMBER(K$2:K462),K$2:K462,0))),""))</f>
        <v/>
      </c>
      <c r="M462" s="21" t="str">
        <f>IF(A462="","",IFERROR(IF(SUMIF(N$2:N462,"CASA",K$2:K462)=0,"",SUMIF(N$2:N462,"CASA",K$2:K462)),""))</f>
        <v/>
      </c>
      <c r="N462" s="17" t="str">
        <f>IF(J462="","",IF(J462=0.2,"CASA",IF(Dati!G462="","",Dati!G462)))</f>
        <v/>
      </c>
    </row>
    <row r="463" spans="1:14" ht="15" customHeight="1" x14ac:dyDescent="0.2">
      <c r="A463" s="23" t="str">
        <f>IF(Dati!A463="","",Dati!A463)</f>
        <v/>
      </c>
      <c r="B463" s="17" t="str">
        <f>IF(Dati!B463="","",Dati!B463)</f>
        <v/>
      </c>
      <c r="C463" s="17" t="str">
        <f>IF(B463="","",IF(ISNUMBER(B462),IF(B463-B462&lt;0,B463,IF(B463-B462=0,"",B463-B462)),B463))</f>
        <v/>
      </c>
      <c r="D463" s="18" t="str">
        <f>IF(Dati!C463="","",IF(Dati!C463&gt;1,Dati!C463/100,Dati!C463))</f>
        <v/>
      </c>
      <c r="E463" s="18" t="str">
        <f>IF(Dati!D463="","",IF(Dati!D463&gt;1,Dati!D463/100,Dati!D463))</f>
        <v/>
      </c>
      <c r="F463" s="18" t="str">
        <f>IF(OR(D463="",E463=""),"",IF(OR(D463&gt;1,E463&gt;1),(E463-D463)/100,E463-D463))</f>
        <v/>
      </c>
      <c r="G463" s="17" t="str">
        <f>IF(F463="","",IF(64*F463=0,"",64*F463))</f>
        <v/>
      </c>
      <c r="H463" s="19" t="str">
        <f>IF(Dati!E463="","",Dati!E463)</f>
        <v/>
      </c>
      <c r="I463" s="19" t="str">
        <f>IFERROR(IF(OR(C463="",C463=0),"",H463/C463*100),"")</f>
        <v/>
      </c>
      <c r="J463" s="20" t="str">
        <f>IF(Dati!F463="","",Dati!F463)</f>
        <v/>
      </c>
      <c r="K463" s="19" t="str">
        <f>IF(OR(H463="",J463=""),"",IF(H463*J463=0,"",H463*J463))</f>
        <v/>
      </c>
      <c r="L463" s="19" t="str">
        <f>IF(A463="","",IFERROR(IF(SUMPRODUCT((ISNUMBER(A$2:A463))*(A$2:A463&gt;1000)*(MONTH(IF(ISNUMBER(A$2:A463),A$2:A463,1))=MONTH(A463))*(YEAR(IF(ISNUMBER(A$2:A463),A$2:A463,1))=YEAR(A463))*IF(ISNUMBER(K$2:K463),K$2:K463,0))=0,"",SUMPRODUCT((ISNUMBER(A$2:A463))*(A$2:A463&gt;1000)*(MONTH(IF(ISNUMBER(A$2:A463),A$2:A463,1))=MONTH(A463))*(YEAR(IF(ISNUMBER(A$2:A463),A$2:A463,1))=YEAR(A463))*IF(ISNUMBER(K$2:K463),K$2:K463,0))),""))</f>
        <v/>
      </c>
      <c r="M463" s="21" t="str">
        <f>IF(A463="","",IFERROR(IF(SUMIF(N$2:N463,"CASA",K$2:K463)=0,"",SUMIF(N$2:N463,"CASA",K$2:K463)),""))</f>
        <v/>
      </c>
      <c r="N463" s="17" t="str">
        <f>IF(J463="","",IF(J463=0.2,"CASA",IF(Dati!G463="","",Dati!G463)))</f>
        <v/>
      </c>
    </row>
    <row r="464" spans="1:14" ht="15" customHeight="1" x14ac:dyDescent="0.2">
      <c r="A464" s="23" t="str">
        <f>IF(Dati!A464="","",Dati!A464)</f>
        <v/>
      </c>
      <c r="B464" s="17" t="str">
        <f>IF(Dati!B464="","",Dati!B464)</f>
        <v/>
      </c>
      <c r="C464" s="17" t="str">
        <f>IF(B464="","",IF(ISNUMBER(B463),IF(B464-B463&lt;0,B464,IF(B464-B463=0,"",B464-B463)),B464))</f>
        <v/>
      </c>
      <c r="D464" s="18" t="str">
        <f>IF(Dati!C464="","",IF(Dati!C464&gt;1,Dati!C464/100,Dati!C464))</f>
        <v/>
      </c>
      <c r="E464" s="18" t="str">
        <f>IF(Dati!D464="","",IF(Dati!D464&gt;1,Dati!D464/100,Dati!D464))</f>
        <v/>
      </c>
      <c r="F464" s="18" t="str">
        <f>IF(OR(D464="",E464=""),"",IF(OR(D464&gt;1,E464&gt;1),(E464-D464)/100,E464-D464))</f>
        <v/>
      </c>
      <c r="G464" s="17" t="str">
        <f>IF(F464="","",IF(64*F464=0,"",64*F464))</f>
        <v/>
      </c>
      <c r="H464" s="19" t="str">
        <f>IF(Dati!E464="","",Dati!E464)</f>
        <v/>
      </c>
      <c r="I464" s="19" t="str">
        <f>IFERROR(IF(OR(C464="",C464=0),"",H464/C464*100),"")</f>
        <v/>
      </c>
      <c r="J464" s="20" t="str">
        <f>IF(Dati!F464="","",Dati!F464)</f>
        <v/>
      </c>
      <c r="K464" s="19" t="str">
        <f>IF(OR(H464="",J464=""),"",IF(H464*J464=0,"",H464*J464))</f>
        <v/>
      </c>
      <c r="L464" s="19" t="str">
        <f>IF(A464="","",IFERROR(IF(SUMPRODUCT((ISNUMBER(A$2:A464))*(A$2:A464&gt;1000)*(MONTH(IF(ISNUMBER(A$2:A464),A$2:A464,1))=MONTH(A464))*(YEAR(IF(ISNUMBER(A$2:A464),A$2:A464,1))=YEAR(A464))*IF(ISNUMBER(K$2:K464),K$2:K464,0))=0,"",SUMPRODUCT((ISNUMBER(A$2:A464))*(A$2:A464&gt;1000)*(MONTH(IF(ISNUMBER(A$2:A464),A$2:A464,1))=MONTH(A464))*(YEAR(IF(ISNUMBER(A$2:A464),A$2:A464,1))=YEAR(A464))*IF(ISNUMBER(K$2:K464),K$2:K464,0))),""))</f>
        <v/>
      </c>
      <c r="M464" s="21" t="str">
        <f>IF(A464="","",IFERROR(IF(SUMIF(N$2:N464,"CASA",K$2:K464)=0,"",SUMIF(N$2:N464,"CASA",K$2:K464)),""))</f>
        <v/>
      </c>
      <c r="N464" s="17" t="str">
        <f>IF(J464="","",IF(J464=0.2,"CASA",IF(Dati!G464="","",Dati!G464)))</f>
        <v/>
      </c>
    </row>
    <row r="465" spans="1:14" ht="15" customHeight="1" x14ac:dyDescent="0.2">
      <c r="A465" s="23" t="str">
        <f>IF(Dati!A465="","",Dati!A465)</f>
        <v/>
      </c>
      <c r="B465" s="17" t="str">
        <f>IF(Dati!B465="","",Dati!B465)</f>
        <v/>
      </c>
      <c r="C465" s="17" t="str">
        <f>IF(B465="","",IF(ISNUMBER(B464),IF(B465-B464&lt;0,B465,IF(B465-B464=0,"",B465-B464)),B465))</f>
        <v/>
      </c>
      <c r="D465" s="18" t="str">
        <f>IF(Dati!C465="","",IF(Dati!C465&gt;1,Dati!C465/100,Dati!C465))</f>
        <v/>
      </c>
      <c r="E465" s="18" t="str">
        <f>IF(Dati!D465="","",IF(Dati!D465&gt;1,Dati!D465/100,Dati!D465))</f>
        <v/>
      </c>
      <c r="F465" s="18" t="str">
        <f>IF(OR(D465="",E465=""),"",IF(OR(D465&gt;1,E465&gt;1),(E465-D465)/100,E465-D465))</f>
        <v/>
      </c>
      <c r="G465" s="17" t="str">
        <f>IF(F465="","",IF(64*F465=0,"",64*F465))</f>
        <v/>
      </c>
      <c r="H465" s="19" t="str">
        <f>IF(Dati!E465="","",Dati!E465)</f>
        <v/>
      </c>
      <c r="I465" s="19" t="str">
        <f>IFERROR(IF(OR(C465="",C465=0),"",H465/C465*100),"")</f>
        <v/>
      </c>
      <c r="J465" s="20" t="str">
        <f>IF(Dati!F465="","",Dati!F465)</f>
        <v/>
      </c>
      <c r="K465" s="19" t="str">
        <f>IF(OR(H465="",J465=""),"",IF(H465*J465=0,"",H465*J465))</f>
        <v/>
      </c>
      <c r="L465" s="19" t="str">
        <f>IF(A465="","",IFERROR(IF(SUMPRODUCT((ISNUMBER(A$2:A465))*(A$2:A465&gt;1000)*(MONTH(IF(ISNUMBER(A$2:A465),A$2:A465,1))=MONTH(A465))*(YEAR(IF(ISNUMBER(A$2:A465),A$2:A465,1))=YEAR(A465))*IF(ISNUMBER(K$2:K465),K$2:K465,0))=0,"",SUMPRODUCT((ISNUMBER(A$2:A465))*(A$2:A465&gt;1000)*(MONTH(IF(ISNUMBER(A$2:A465),A$2:A465,1))=MONTH(A465))*(YEAR(IF(ISNUMBER(A$2:A465),A$2:A465,1))=YEAR(A465))*IF(ISNUMBER(K$2:K465),K$2:K465,0))),""))</f>
        <v/>
      </c>
      <c r="M465" s="21" t="str">
        <f>IF(A465="","",IFERROR(IF(SUMIF(N$2:N465,"CASA",K$2:K465)=0,"",SUMIF(N$2:N465,"CASA",K$2:K465)),""))</f>
        <v/>
      </c>
      <c r="N465" s="17" t="str">
        <f>IF(J465="","",IF(J465=0.2,"CASA",IF(Dati!G465="","",Dati!G465)))</f>
        <v/>
      </c>
    </row>
    <row r="466" spans="1:14" ht="15" customHeight="1" x14ac:dyDescent="0.2">
      <c r="A466" s="23" t="str">
        <f>IF(Dati!A466="","",Dati!A466)</f>
        <v/>
      </c>
      <c r="B466" s="17" t="str">
        <f>IF(Dati!B466="","",Dati!B466)</f>
        <v/>
      </c>
      <c r="C466" s="17" t="str">
        <f>IF(B466="","",IF(ISNUMBER(B465),IF(B466-B465&lt;0,B466,IF(B466-B465=0,"",B466-B465)),B466))</f>
        <v/>
      </c>
      <c r="D466" s="18" t="str">
        <f>IF(Dati!C466="","",IF(Dati!C466&gt;1,Dati!C466/100,Dati!C466))</f>
        <v/>
      </c>
      <c r="E466" s="18" t="str">
        <f>IF(Dati!D466="","",IF(Dati!D466&gt;1,Dati!D466/100,Dati!D466))</f>
        <v/>
      </c>
      <c r="F466" s="18" t="str">
        <f>IF(OR(D466="",E466=""),"",IF(OR(D466&gt;1,E466&gt;1),(E466-D466)/100,E466-D466))</f>
        <v/>
      </c>
      <c r="G466" s="17" t="str">
        <f>IF(F466="","",IF(64*F466=0,"",64*F466))</f>
        <v/>
      </c>
      <c r="H466" s="19" t="str">
        <f>IF(Dati!E466="","",Dati!E466)</f>
        <v/>
      </c>
      <c r="I466" s="19" t="str">
        <f>IFERROR(IF(OR(C466="",C466=0),"",H466/C466*100),"")</f>
        <v/>
      </c>
      <c r="J466" s="20" t="str">
        <f>IF(Dati!F466="","",Dati!F466)</f>
        <v/>
      </c>
      <c r="K466" s="19" t="str">
        <f>IF(OR(H466="",J466=""),"",IF(H466*J466=0,"",H466*J466))</f>
        <v/>
      </c>
      <c r="L466" s="19" t="str">
        <f>IF(A466="","",IFERROR(IF(SUMPRODUCT((ISNUMBER(A$2:A466))*(A$2:A466&gt;1000)*(MONTH(IF(ISNUMBER(A$2:A466),A$2:A466,1))=MONTH(A466))*(YEAR(IF(ISNUMBER(A$2:A466),A$2:A466,1))=YEAR(A466))*IF(ISNUMBER(K$2:K466),K$2:K466,0))=0,"",SUMPRODUCT((ISNUMBER(A$2:A466))*(A$2:A466&gt;1000)*(MONTH(IF(ISNUMBER(A$2:A466),A$2:A466,1))=MONTH(A466))*(YEAR(IF(ISNUMBER(A$2:A466),A$2:A466,1))=YEAR(A466))*IF(ISNUMBER(K$2:K466),K$2:K466,0))),""))</f>
        <v/>
      </c>
      <c r="M466" s="21" t="str">
        <f>IF(A466="","",IFERROR(IF(SUMIF(N$2:N466,"CASA",K$2:K466)=0,"",SUMIF(N$2:N466,"CASA",K$2:K466)),""))</f>
        <v/>
      </c>
      <c r="N466" s="17" t="str">
        <f>IF(J466="","",IF(J466=0.2,"CASA",IF(Dati!G466="","",Dati!G466)))</f>
        <v/>
      </c>
    </row>
    <row r="467" spans="1:14" ht="15" customHeight="1" x14ac:dyDescent="0.2">
      <c r="A467" s="23" t="str">
        <f>IF(Dati!A467="","",Dati!A467)</f>
        <v/>
      </c>
      <c r="B467" s="17" t="str">
        <f>IF(Dati!B467="","",Dati!B467)</f>
        <v/>
      </c>
      <c r="C467" s="17" t="str">
        <f>IF(B467="","",IF(ISNUMBER(B466),IF(B467-B466&lt;0,B467,IF(B467-B466=0,"",B467-B466)),B467))</f>
        <v/>
      </c>
      <c r="D467" s="18" t="str">
        <f>IF(Dati!C467="","",IF(Dati!C467&gt;1,Dati!C467/100,Dati!C467))</f>
        <v/>
      </c>
      <c r="E467" s="18" t="str">
        <f>IF(Dati!D467="","",IF(Dati!D467&gt;1,Dati!D467/100,Dati!D467))</f>
        <v/>
      </c>
      <c r="F467" s="18" t="str">
        <f>IF(OR(D467="",E467=""),"",IF(OR(D467&gt;1,E467&gt;1),(E467-D467)/100,E467-D467))</f>
        <v/>
      </c>
      <c r="G467" s="17" t="str">
        <f>IF(F467="","",IF(64*F467=0,"",64*F467))</f>
        <v/>
      </c>
      <c r="H467" s="19" t="str">
        <f>IF(Dati!E467="","",Dati!E467)</f>
        <v/>
      </c>
      <c r="I467" s="19" t="str">
        <f>IFERROR(IF(OR(C467="",C467=0),"",H467/C467*100),"")</f>
        <v/>
      </c>
      <c r="J467" s="20" t="str">
        <f>IF(Dati!F467="","",Dati!F467)</f>
        <v/>
      </c>
      <c r="K467" s="19" t="str">
        <f>IF(OR(H467="",J467=""),"",IF(H467*J467=0,"",H467*J467))</f>
        <v/>
      </c>
      <c r="L467" s="19" t="str">
        <f>IF(A467="","",IFERROR(IF(SUMPRODUCT((ISNUMBER(A$2:A467))*(A$2:A467&gt;1000)*(MONTH(IF(ISNUMBER(A$2:A467),A$2:A467,1))=MONTH(A467))*(YEAR(IF(ISNUMBER(A$2:A467),A$2:A467,1))=YEAR(A467))*IF(ISNUMBER(K$2:K467),K$2:K467,0))=0,"",SUMPRODUCT((ISNUMBER(A$2:A467))*(A$2:A467&gt;1000)*(MONTH(IF(ISNUMBER(A$2:A467),A$2:A467,1))=MONTH(A467))*(YEAR(IF(ISNUMBER(A$2:A467),A$2:A467,1))=YEAR(A467))*IF(ISNUMBER(K$2:K467),K$2:K467,0))),""))</f>
        <v/>
      </c>
      <c r="M467" s="21" t="str">
        <f>IF(A467="","",IFERROR(IF(SUMIF(N$2:N467,"CASA",K$2:K467)=0,"",SUMIF(N$2:N467,"CASA",K$2:K467)),""))</f>
        <v/>
      </c>
      <c r="N467" s="17" t="str">
        <f>IF(J467="","",IF(J467=0.2,"CASA",IF(Dati!G467="","",Dati!G467)))</f>
        <v/>
      </c>
    </row>
    <row r="468" spans="1:14" ht="15" customHeight="1" x14ac:dyDescent="0.2">
      <c r="A468" s="23" t="str">
        <f>IF(Dati!A468="","",Dati!A468)</f>
        <v/>
      </c>
      <c r="B468" s="17" t="str">
        <f>IF(Dati!B468="","",Dati!B468)</f>
        <v/>
      </c>
      <c r="C468" s="17" t="str">
        <f>IF(B468="","",IF(ISNUMBER(B467),IF(B468-B467&lt;0,B468,IF(B468-B467=0,"",B468-B467)),B468))</f>
        <v/>
      </c>
      <c r="D468" s="18" t="str">
        <f>IF(Dati!C468="","",IF(Dati!C468&gt;1,Dati!C468/100,Dati!C468))</f>
        <v/>
      </c>
      <c r="E468" s="18" t="str">
        <f>IF(Dati!D468="","",IF(Dati!D468&gt;1,Dati!D468/100,Dati!D468))</f>
        <v/>
      </c>
      <c r="F468" s="18" t="str">
        <f>IF(OR(D468="",E468=""),"",IF(OR(D468&gt;1,E468&gt;1),(E468-D468)/100,E468-D468))</f>
        <v/>
      </c>
      <c r="G468" s="17" t="str">
        <f>IF(F468="","",IF(64*F468=0,"",64*F468))</f>
        <v/>
      </c>
      <c r="H468" s="19" t="str">
        <f>IF(Dati!E468="","",Dati!E468)</f>
        <v/>
      </c>
      <c r="I468" s="19" t="str">
        <f>IFERROR(IF(OR(C468="",C468=0),"",H468/C468*100),"")</f>
        <v/>
      </c>
      <c r="J468" s="20" t="str">
        <f>IF(Dati!F468="","",Dati!F468)</f>
        <v/>
      </c>
      <c r="K468" s="19" t="str">
        <f>IF(OR(H468="",J468=""),"",IF(H468*J468=0,"",H468*J468))</f>
        <v/>
      </c>
      <c r="L468" s="19" t="str">
        <f>IF(A468="","",IFERROR(IF(SUMPRODUCT((ISNUMBER(A$2:A468))*(A$2:A468&gt;1000)*(MONTH(IF(ISNUMBER(A$2:A468),A$2:A468,1))=MONTH(A468))*(YEAR(IF(ISNUMBER(A$2:A468),A$2:A468,1))=YEAR(A468))*IF(ISNUMBER(K$2:K468),K$2:K468,0))=0,"",SUMPRODUCT((ISNUMBER(A$2:A468))*(A$2:A468&gt;1000)*(MONTH(IF(ISNUMBER(A$2:A468),A$2:A468,1))=MONTH(A468))*(YEAR(IF(ISNUMBER(A$2:A468),A$2:A468,1))=YEAR(A468))*IF(ISNUMBER(K$2:K468),K$2:K468,0))),""))</f>
        <v/>
      </c>
      <c r="M468" s="21" t="str">
        <f>IF(A468="","",IFERROR(IF(SUMIF(N$2:N468,"CASA",K$2:K468)=0,"",SUMIF(N$2:N468,"CASA",K$2:K468)),""))</f>
        <v/>
      </c>
      <c r="N468" s="17" t="str">
        <f>IF(J468="","",IF(J468=0.2,"CASA",IF(Dati!G468="","",Dati!G468)))</f>
        <v/>
      </c>
    </row>
    <row r="469" spans="1:14" ht="15" customHeight="1" x14ac:dyDescent="0.2">
      <c r="A469" s="23" t="str">
        <f>IF(Dati!A469="","",Dati!A469)</f>
        <v/>
      </c>
      <c r="B469" s="17" t="str">
        <f>IF(Dati!B469="","",Dati!B469)</f>
        <v/>
      </c>
      <c r="C469" s="17" t="str">
        <f>IF(B469="","",IF(ISNUMBER(B468),IF(B469-B468&lt;0,B469,IF(B469-B468=0,"",B469-B468)),B469))</f>
        <v/>
      </c>
      <c r="D469" s="18" t="str">
        <f>IF(Dati!C469="","",IF(Dati!C469&gt;1,Dati!C469/100,Dati!C469))</f>
        <v/>
      </c>
      <c r="E469" s="18" t="str">
        <f>IF(Dati!D469="","",IF(Dati!D469&gt;1,Dati!D469/100,Dati!D469))</f>
        <v/>
      </c>
      <c r="F469" s="18" t="str">
        <f>IF(OR(D469="",E469=""),"",IF(OR(D469&gt;1,E469&gt;1),(E469-D469)/100,E469-D469))</f>
        <v/>
      </c>
      <c r="G469" s="17" t="str">
        <f>IF(F469="","",IF(64*F469=0,"",64*F469))</f>
        <v/>
      </c>
      <c r="H469" s="19" t="str">
        <f>IF(Dati!E469="","",Dati!E469)</f>
        <v/>
      </c>
      <c r="I469" s="19" t="str">
        <f>IFERROR(IF(OR(C469="",C469=0),"",H469/C469*100),"")</f>
        <v/>
      </c>
      <c r="J469" s="20" t="str">
        <f>IF(Dati!F469="","",Dati!F469)</f>
        <v/>
      </c>
      <c r="K469" s="19" t="str">
        <f>IF(OR(H469="",J469=""),"",IF(H469*J469=0,"",H469*J469))</f>
        <v/>
      </c>
      <c r="L469" s="19" t="str">
        <f>IF(A469="","",IFERROR(IF(SUMPRODUCT((ISNUMBER(A$2:A469))*(A$2:A469&gt;1000)*(MONTH(IF(ISNUMBER(A$2:A469),A$2:A469,1))=MONTH(A469))*(YEAR(IF(ISNUMBER(A$2:A469),A$2:A469,1))=YEAR(A469))*IF(ISNUMBER(K$2:K469),K$2:K469,0))=0,"",SUMPRODUCT((ISNUMBER(A$2:A469))*(A$2:A469&gt;1000)*(MONTH(IF(ISNUMBER(A$2:A469),A$2:A469,1))=MONTH(A469))*(YEAR(IF(ISNUMBER(A$2:A469),A$2:A469,1))=YEAR(A469))*IF(ISNUMBER(K$2:K469),K$2:K469,0))),""))</f>
        <v/>
      </c>
      <c r="M469" s="21" t="str">
        <f>IF(A469="","",IFERROR(IF(SUMIF(N$2:N469,"CASA",K$2:K469)=0,"",SUMIF(N$2:N469,"CASA",K$2:K469)),""))</f>
        <v/>
      </c>
      <c r="N469" s="17" t="str">
        <f>IF(J469="","",IF(J469=0.2,"CASA",IF(Dati!G469="","",Dati!G469)))</f>
        <v/>
      </c>
    </row>
    <row r="470" spans="1:14" ht="15" customHeight="1" x14ac:dyDescent="0.2">
      <c r="A470" s="23" t="str">
        <f>IF(Dati!A470="","",Dati!A470)</f>
        <v/>
      </c>
      <c r="B470" s="17" t="str">
        <f>IF(Dati!B470="","",Dati!B470)</f>
        <v/>
      </c>
      <c r="C470" s="17" t="str">
        <f>IF(B470="","",IF(ISNUMBER(B469),IF(B470-B469&lt;0,B470,IF(B470-B469=0,"",B470-B469)),B470))</f>
        <v/>
      </c>
      <c r="D470" s="18" t="str">
        <f>IF(Dati!C470="","",IF(Dati!C470&gt;1,Dati!C470/100,Dati!C470))</f>
        <v/>
      </c>
      <c r="E470" s="18" t="str">
        <f>IF(Dati!D470="","",IF(Dati!D470&gt;1,Dati!D470/100,Dati!D470))</f>
        <v/>
      </c>
      <c r="F470" s="18" t="str">
        <f>IF(OR(D470="",E470=""),"",IF(OR(D470&gt;1,E470&gt;1),(E470-D470)/100,E470-D470))</f>
        <v/>
      </c>
      <c r="G470" s="17" t="str">
        <f>IF(F470="","",IF(64*F470=0,"",64*F470))</f>
        <v/>
      </c>
      <c r="H470" s="19" t="str">
        <f>IF(Dati!E470="","",Dati!E470)</f>
        <v/>
      </c>
      <c r="I470" s="19" t="str">
        <f>IFERROR(IF(OR(C470="",C470=0),"",H470/C470*100),"")</f>
        <v/>
      </c>
      <c r="J470" s="20" t="str">
        <f>IF(Dati!F470="","",Dati!F470)</f>
        <v/>
      </c>
      <c r="K470" s="19" t="str">
        <f>IF(OR(H470="",J470=""),"",IF(H470*J470=0,"",H470*J470))</f>
        <v/>
      </c>
      <c r="L470" s="19" t="str">
        <f>IF(A470="","",IFERROR(IF(SUMPRODUCT((ISNUMBER(A$2:A470))*(A$2:A470&gt;1000)*(MONTH(IF(ISNUMBER(A$2:A470),A$2:A470,1))=MONTH(A470))*(YEAR(IF(ISNUMBER(A$2:A470),A$2:A470,1))=YEAR(A470))*IF(ISNUMBER(K$2:K470),K$2:K470,0))=0,"",SUMPRODUCT((ISNUMBER(A$2:A470))*(A$2:A470&gt;1000)*(MONTH(IF(ISNUMBER(A$2:A470),A$2:A470,1))=MONTH(A470))*(YEAR(IF(ISNUMBER(A$2:A470),A$2:A470,1))=YEAR(A470))*IF(ISNUMBER(K$2:K470),K$2:K470,0))),""))</f>
        <v/>
      </c>
      <c r="M470" s="21" t="str">
        <f>IF(A470="","",IFERROR(IF(SUMIF(N$2:N470,"CASA",K$2:K470)=0,"",SUMIF(N$2:N470,"CASA",K$2:K470)),""))</f>
        <v/>
      </c>
      <c r="N470" s="17" t="str">
        <f>IF(J470="","",IF(J470=0.2,"CASA",IF(Dati!G470="","",Dati!G470)))</f>
        <v/>
      </c>
    </row>
    <row r="471" spans="1:14" ht="15" customHeight="1" x14ac:dyDescent="0.2">
      <c r="A471" s="23" t="str">
        <f>IF(Dati!A471="","",Dati!A471)</f>
        <v/>
      </c>
      <c r="B471" s="17" t="str">
        <f>IF(Dati!B471="","",Dati!B471)</f>
        <v/>
      </c>
      <c r="C471" s="17" t="str">
        <f>IF(B471="","",IF(ISNUMBER(B470),IF(B471-B470&lt;0,B471,IF(B471-B470=0,"",B471-B470)),B471))</f>
        <v/>
      </c>
      <c r="D471" s="18" t="str">
        <f>IF(Dati!C471="","",IF(Dati!C471&gt;1,Dati!C471/100,Dati!C471))</f>
        <v/>
      </c>
      <c r="E471" s="18" t="str">
        <f>IF(Dati!D471="","",IF(Dati!D471&gt;1,Dati!D471/100,Dati!D471))</f>
        <v/>
      </c>
      <c r="F471" s="18" t="str">
        <f>IF(OR(D471="",E471=""),"",IF(OR(D471&gt;1,E471&gt;1),(E471-D471)/100,E471-D471))</f>
        <v/>
      </c>
      <c r="G471" s="17" t="str">
        <f>IF(F471="","",IF(64*F471=0,"",64*F471))</f>
        <v/>
      </c>
      <c r="H471" s="19" t="str">
        <f>IF(Dati!E471="","",Dati!E471)</f>
        <v/>
      </c>
      <c r="I471" s="19" t="str">
        <f>IFERROR(IF(OR(C471="",C471=0),"",H471/C471*100),"")</f>
        <v/>
      </c>
      <c r="J471" s="20" t="str">
        <f>IF(Dati!F471="","",Dati!F471)</f>
        <v/>
      </c>
      <c r="K471" s="19" t="str">
        <f>IF(OR(H471="",J471=""),"",IF(H471*J471=0,"",H471*J471))</f>
        <v/>
      </c>
      <c r="L471" s="19" t="str">
        <f>IF(A471="","",IFERROR(IF(SUMPRODUCT((ISNUMBER(A$2:A471))*(A$2:A471&gt;1000)*(MONTH(IF(ISNUMBER(A$2:A471),A$2:A471,1))=MONTH(A471))*(YEAR(IF(ISNUMBER(A$2:A471),A$2:A471,1))=YEAR(A471))*IF(ISNUMBER(K$2:K471),K$2:K471,0))=0,"",SUMPRODUCT((ISNUMBER(A$2:A471))*(A$2:A471&gt;1000)*(MONTH(IF(ISNUMBER(A$2:A471),A$2:A471,1))=MONTH(A471))*(YEAR(IF(ISNUMBER(A$2:A471),A$2:A471,1))=YEAR(A471))*IF(ISNUMBER(K$2:K471),K$2:K471,0))),""))</f>
        <v/>
      </c>
      <c r="M471" s="21" t="str">
        <f>IF(A471="","",IFERROR(IF(SUMIF(N$2:N471,"CASA",K$2:K471)=0,"",SUMIF(N$2:N471,"CASA",K$2:K471)),""))</f>
        <v/>
      </c>
      <c r="N471" s="17" t="str">
        <f>IF(J471="","",IF(J471=0.2,"CASA",IF(Dati!G471="","",Dati!G471)))</f>
        <v/>
      </c>
    </row>
    <row r="472" spans="1:14" ht="15" customHeight="1" x14ac:dyDescent="0.2">
      <c r="A472" s="23" t="str">
        <f>IF(Dati!A472="","",Dati!A472)</f>
        <v/>
      </c>
      <c r="B472" s="17" t="str">
        <f>IF(Dati!B472="","",Dati!B472)</f>
        <v/>
      </c>
      <c r="C472" s="17" t="str">
        <f>IF(B472="","",IF(ISNUMBER(B471),IF(B472-B471&lt;0,B472,IF(B472-B471=0,"",B472-B471)),B472))</f>
        <v/>
      </c>
      <c r="D472" s="18" t="str">
        <f>IF(Dati!C472="","",IF(Dati!C472&gt;1,Dati!C472/100,Dati!C472))</f>
        <v/>
      </c>
      <c r="E472" s="18" t="str">
        <f>IF(Dati!D472="","",IF(Dati!D472&gt;1,Dati!D472/100,Dati!D472))</f>
        <v/>
      </c>
      <c r="F472" s="18" t="str">
        <f>IF(OR(D472="",E472=""),"",IF(OR(D472&gt;1,E472&gt;1),(E472-D472)/100,E472-D472))</f>
        <v/>
      </c>
      <c r="G472" s="17" t="str">
        <f>IF(F472="","",IF(64*F472=0,"",64*F472))</f>
        <v/>
      </c>
      <c r="H472" s="19" t="str">
        <f>IF(Dati!E472="","",Dati!E472)</f>
        <v/>
      </c>
      <c r="I472" s="19" t="str">
        <f>IFERROR(IF(OR(C472="",C472=0),"",H472/C472*100),"")</f>
        <v/>
      </c>
      <c r="J472" s="20" t="str">
        <f>IF(Dati!F472="","",Dati!F472)</f>
        <v/>
      </c>
      <c r="K472" s="19" t="str">
        <f>IF(OR(H472="",J472=""),"",IF(H472*J472=0,"",H472*J472))</f>
        <v/>
      </c>
      <c r="L472" s="19" t="str">
        <f>IF(A472="","",IFERROR(IF(SUMPRODUCT((ISNUMBER(A$2:A472))*(A$2:A472&gt;1000)*(MONTH(IF(ISNUMBER(A$2:A472),A$2:A472,1))=MONTH(A472))*(YEAR(IF(ISNUMBER(A$2:A472),A$2:A472,1))=YEAR(A472))*IF(ISNUMBER(K$2:K472),K$2:K472,0))=0,"",SUMPRODUCT((ISNUMBER(A$2:A472))*(A$2:A472&gt;1000)*(MONTH(IF(ISNUMBER(A$2:A472),A$2:A472,1))=MONTH(A472))*(YEAR(IF(ISNUMBER(A$2:A472),A$2:A472,1))=YEAR(A472))*IF(ISNUMBER(K$2:K472),K$2:K472,0))),""))</f>
        <v/>
      </c>
      <c r="M472" s="21" t="str">
        <f>IF(A472="","",IFERROR(IF(SUMIF(N$2:N472,"CASA",K$2:K472)=0,"",SUMIF(N$2:N472,"CASA",K$2:K472)),""))</f>
        <v/>
      </c>
      <c r="N472" s="17" t="str">
        <f>IF(J472="","",IF(J472=0.2,"CASA",IF(Dati!G472="","",Dati!G472)))</f>
        <v/>
      </c>
    </row>
    <row r="473" spans="1:14" ht="15" customHeight="1" x14ac:dyDescent="0.2">
      <c r="A473" s="23" t="str">
        <f>IF(Dati!A473="","",Dati!A473)</f>
        <v/>
      </c>
      <c r="B473" s="17" t="str">
        <f>IF(Dati!B473="","",Dati!B473)</f>
        <v/>
      </c>
      <c r="C473" s="17" t="str">
        <f>IF(B473="","",IF(ISNUMBER(B472),IF(B473-B472&lt;0,B473,IF(B473-B472=0,"",B473-B472)),B473))</f>
        <v/>
      </c>
      <c r="D473" s="18" t="str">
        <f>IF(Dati!C473="","",IF(Dati!C473&gt;1,Dati!C473/100,Dati!C473))</f>
        <v/>
      </c>
      <c r="E473" s="18" t="str">
        <f>IF(Dati!D473="","",IF(Dati!D473&gt;1,Dati!D473/100,Dati!D473))</f>
        <v/>
      </c>
      <c r="F473" s="18" t="str">
        <f>IF(OR(D473="",E473=""),"",IF(OR(D473&gt;1,E473&gt;1),(E473-D473)/100,E473-D473))</f>
        <v/>
      </c>
      <c r="G473" s="17" t="str">
        <f>IF(F473="","",IF(64*F473=0,"",64*F473))</f>
        <v/>
      </c>
      <c r="H473" s="19" t="str">
        <f>IF(Dati!E473="","",Dati!E473)</f>
        <v/>
      </c>
      <c r="I473" s="19" t="str">
        <f>IFERROR(IF(OR(C473="",C473=0),"",H473/C473*100),"")</f>
        <v/>
      </c>
      <c r="J473" s="20" t="str">
        <f>IF(Dati!F473="","",Dati!F473)</f>
        <v/>
      </c>
      <c r="K473" s="19" t="str">
        <f>IF(OR(H473="",J473=""),"",IF(H473*J473=0,"",H473*J473))</f>
        <v/>
      </c>
      <c r="L473" s="19" t="str">
        <f>IF(A473="","",IFERROR(IF(SUMPRODUCT((ISNUMBER(A$2:A473))*(A$2:A473&gt;1000)*(MONTH(IF(ISNUMBER(A$2:A473),A$2:A473,1))=MONTH(A473))*(YEAR(IF(ISNUMBER(A$2:A473),A$2:A473,1))=YEAR(A473))*IF(ISNUMBER(K$2:K473),K$2:K473,0))=0,"",SUMPRODUCT((ISNUMBER(A$2:A473))*(A$2:A473&gt;1000)*(MONTH(IF(ISNUMBER(A$2:A473),A$2:A473,1))=MONTH(A473))*(YEAR(IF(ISNUMBER(A$2:A473),A$2:A473,1))=YEAR(A473))*IF(ISNUMBER(K$2:K473),K$2:K473,0))),""))</f>
        <v/>
      </c>
      <c r="M473" s="21" t="str">
        <f>IF(A473="","",IFERROR(IF(SUMIF(N$2:N473,"CASA",K$2:K473)=0,"",SUMIF(N$2:N473,"CASA",K$2:K473)),""))</f>
        <v/>
      </c>
      <c r="N473" s="17" t="str">
        <f>IF(J473="","",IF(J473=0.2,"CASA",IF(Dati!G473="","",Dati!G473)))</f>
        <v/>
      </c>
    </row>
    <row r="474" spans="1:14" ht="15" customHeight="1" x14ac:dyDescent="0.2">
      <c r="A474" s="23" t="str">
        <f>IF(Dati!A474="","",Dati!A474)</f>
        <v/>
      </c>
      <c r="B474" s="17" t="str">
        <f>IF(Dati!B474="","",Dati!B474)</f>
        <v/>
      </c>
      <c r="C474" s="17" t="str">
        <f>IF(B474="","",IF(ISNUMBER(B473),IF(B474-B473&lt;0,B474,IF(B474-B473=0,"",B474-B473)),B474))</f>
        <v/>
      </c>
      <c r="D474" s="18" t="str">
        <f>IF(Dati!C474="","",IF(Dati!C474&gt;1,Dati!C474/100,Dati!C474))</f>
        <v/>
      </c>
      <c r="E474" s="18" t="str">
        <f>IF(Dati!D474="","",IF(Dati!D474&gt;1,Dati!D474/100,Dati!D474))</f>
        <v/>
      </c>
      <c r="F474" s="18" t="str">
        <f>IF(OR(D474="",E474=""),"",IF(OR(D474&gt;1,E474&gt;1),(E474-D474)/100,E474-D474))</f>
        <v/>
      </c>
      <c r="G474" s="17" t="str">
        <f>IF(F474="","",IF(64*F474=0,"",64*F474))</f>
        <v/>
      </c>
      <c r="H474" s="19" t="str">
        <f>IF(Dati!E474="","",Dati!E474)</f>
        <v/>
      </c>
      <c r="I474" s="19" t="str">
        <f>IFERROR(IF(OR(C474="",C474=0),"",H474/C474*100),"")</f>
        <v/>
      </c>
      <c r="J474" s="20" t="str">
        <f>IF(Dati!F474="","",Dati!F474)</f>
        <v/>
      </c>
      <c r="K474" s="19" t="str">
        <f>IF(OR(H474="",J474=""),"",IF(H474*J474=0,"",H474*J474))</f>
        <v/>
      </c>
      <c r="L474" s="19" t="str">
        <f>IF(A474="","",IFERROR(IF(SUMPRODUCT((ISNUMBER(A$2:A474))*(A$2:A474&gt;1000)*(MONTH(IF(ISNUMBER(A$2:A474),A$2:A474,1))=MONTH(A474))*(YEAR(IF(ISNUMBER(A$2:A474),A$2:A474,1))=YEAR(A474))*IF(ISNUMBER(K$2:K474),K$2:K474,0))=0,"",SUMPRODUCT((ISNUMBER(A$2:A474))*(A$2:A474&gt;1000)*(MONTH(IF(ISNUMBER(A$2:A474),A$2:A474,1))=MONTH(A474))*(YEAR(IF(ISNUMBER(A$2:A474),A$2:A474,1))=YEAR(A474))*IF(ISNUMBER(K$2:K474),K$2:K474,0))),""))</f>
        <v/>
      </c>
      <c r="M474" s="21" t="str">
        <f>IF(A474="","",IFERROR(IF(SUMIF(N$2:N474,"CASA",K$2:K474)=0,"",SUMIF(N$2:N474,"CASA",K$2:K474)),""))</f>
        <v/>
      </c>
      <c r="N474" s="17" t="str">
        <f>IF(J474="","",IF(J474=0.2,"CASA",IF(Dati!G474="","",Dati!G474)))</f>
        <v/>
      </c>
    </row>
    <row r="475" spans="1:14" ht="15" customHeight="1" x14ac:dyDescent="0.2">
      <c r="A475" s="23" t="str">
        <f>IF(Dati!A475="","",Dati!A475)</f>
        <v/>
      </c>
      <c r="B475" s="17" t="str">
        <f>IF(Dati!B475="","",Dati!B475)</f>
        <v/>
      </c>
      <c r="C475" s="17" t="str">
        <f>IF(B475="","",IF(ISNUMBER(B474),IF(B475-B474&lt;0,B475,IF(B475-B474=0,"",B475-B474)),B475))</f>
        <v/>
      </c>
      <c r="D475" s="18" t="str">
        <f>IF(Dati!C475="","",IF(Dati!C475&gt;1,Dati!C475/100,Dati!C475))</f>
        <v/>
      </c>
      <c r="E475" s="18" t="str">
        <f>IF(Dati!D475="","",IF(Dati!D475&gt;1,Dati!D475/100,Dati!D475))</f>
        <v/>
      </c>
      <c r="F475" s="18" t="str">
        <f>IF(OR(D475="",E475=""),"",IF(OR(D475&gt;1,E475&gt;1),(E475-D475)/100,E475-D475))</f>
        <v/>
      </c>
      <c r="G475" s="17" t="str">
        <f>IF(F475="","",IF(64*F475=0,"",64*F475))</f>
        <v/>
      </c>
      <c r="H475" s="19" t="str">
        <f>IF(Dati!E475="","",Dati!E475)</f>
        <v/>
      </c>
      <c r="I475" s="19" t="str">
        <f>IFERROR(IF(OR(C475="",C475=0),"",H475/C475*100),"")</f>
        <v/>
      </c>
      <c r="J475" s="20" t="str">
        <f>IF(Dati!F475="","",Dati!F475)</f>
        <v/>
      </c>
      <c r="K475" s="19" t="str">
        <f>IF(OR(H475="",J475=""),"",IF(H475*J475=0,"",H475*J475))</f>
        <v/>
      </c>
      <c r="L475" s="19" t="str">
        <f>IF(A475="","",IFERROR(IF(SUMPRODUCT((ISNUMBER(A$2:A475))*(A$2:A475&gt;1000)*(MONTH(IF(ISNUMBER(A$2:A475),A$2:A475,1))=MONTH(A475))*(YEAR(IF(ISNUMBER(A$2:A475),A$2:A475,1))=YEAR(A475))*IF(ISNUMBER(K$2:K475),K$2:K475,0))=0,"",SUMPRODUCT((ISNUMBER(A$2:A475))*(A$2:A475&gt;1000)*(MONTH(IF(ISNUMBER(A$2:A475),A$2:A475,1))=MONTH(A475))*(YEAR(IF(ISNUMBER(A$2:A475),A$2:A475,1))=YEAR(A475))*IF(ISNUMBER(K$2:K475),K$2:K475,0))),""))</f>
        <v/>
      </c>
      <c r="M475" s="21" t="str">
        <f>IF(A475="","",IFERROR(IF(SUMIF(N$2:N475,"CASA",K$2:K475)=0,"",SUMIF(N$2:N475,"CASA",K$2:K475)),""))</f>
        <v/>
      </c>
      <c r="N475" s="17" t="str">
        <f>IF(J475="","",IF(J475=0.2,"CASA",IF(Dati!G475="","",Dati!G475)))</f>
        <v/>
      </c>
    </row>
    <row r="476" spans="1:14" ht="15" customHeight="1" x14ac:dyDescent="0.2">
      <c r="A476" s="23" t="str">
        <f>IF(Dati!A476="","",Dati!A476)</f>
        <v/>
      </c>
      <c r="B476" s="17" t="str">
        <f>IF(Dati!B476="","",Dati!B476)</f>
        <v/>
      </c>
      <c r="C476" s="17" t="str">
        <f>IF(B476="","",IF(ISNUMBER(B475),IF(B476-B475&lt;0,B476,IF(B476-B475=0,"",B476-B475)),B476))</f>
        <v/>
      </c>
      <c r="D476" s="18" t="str">
        <f>IF(Dati!C476="","",IF(Dati!C476&gt;1,Dati!C476/100,Dati!C476))</f>
        <v/>
      </c>
      <c r="E476" s="18" t="str">
        <f>IF(Dati!D476="","",IF(Dati!D476&gt;1,Dati!D476/100,Dati!D476))</f>
        <v/>
      </c>
      <c r="F476" s="18" t="str">
        <f>IF(OR(D476="",E476=""),"",IF(OR(D476&gt;1,E476&gt;1),(E476-D476)/100,E476-D476))</f>
        <v/>
      </c>
      <c r="G476" s="17" t="str">
        <f>IF(F476="","",IF(64*F476=0,"",64*F476))</f>
        <v/>
      </c>
      <c r="H476" s="19" t="str">
        <f>IF(Dati!E476="","",Dati!E476)</f>
        <v/>
      </c>
      <c r="I476" s="19" t="str">
        <f>IFERROR(IF(OR(C476="",C476=0),"",H476/C476*100),"")</f>
        <v/>
      </c>
      <c r="J476" s="20" t="str">
        <f>IF(Dati!F476="","",Dati!F476)</f>
        <v/>
      </c>
      <c r="K476" s="19" t="str">
        <f>IF(OR(H476="",J476=""),"",IF(H476*J476=0,"",H476*J476))</f>
        <v/>
      </c>
      <c r="L476" s="19" t="str">
        <f>IF(A476="","",IFERROR(IF(SUMPRODUCT((ISNUMBER(A$2:A476))*(A$2:A476&gt;1000)*(MONTH(IF(ISNUMBER(A$2:A476),A$2:A476,1))=MONTH(A476))*(YEAR(IF(ISNUMBER(A$2:A476),A$2:A476,1))=YEAR(A476))*IF(ISNUMBER(K$2:K476),K$2:K476,0))=0,"",SUMPRODUCT((ISNUMBER(A$2:A476))*(A$2:A476&gt;1000)*(MONTH(IF(ISNUMBER(A$2:A476),A$2:A476,1))=MONTH(A476))*(YEAR(IF(ISNUMBER(A$2:A476),A$2:A476,1))=YEAR(A476))*IF(ISNUMBER(K$2:K476),K$2:K476,0))),""))</f>
        <v/>
      </c>
      <c r="M476" s="21" t="str">
        <f>IF(A476="","",IFERROR(IF(SUMIF(N$2:N476,"CASA",K$2:K476)=0,"",SUMIF(N$2:N476,"CASA",K$2:K476)),""))</f>
        <v/>
      </c>
      <c r="N476" s="17" t="str">
        <f>IF(J476="","",IF(J476=0.2,"CASA",IF(Dati!G476="","",Dati!G476)))</f>
        <v/>
      </c>
    </row>
    <row r="477" spans="1:14" ht="15" customHeight="1" x14ac:dyDescent="0.2">
      <c r="A477" s="23" t="str">
        <f>IF(Dati!A477="","",Dati!A477)</f>
        <v/>
      </c>
      <c r="B477" s="17" t="str">
        <f>IF(Dati!B477="","",Dati!B477)</f>
        <v/>
      </c>
      <c r="C477" s="17" t="str">
        <f>IF(B477="","",IF(ISNUMBER(B476),IF(B477-B476&lt;0,B477,IF(B477-B476=0,"",B477-B476)),B477))</f>
        <v/>
      </c>
      <c r="D477" s="18" t="str">
        <f>IF(Dati!C477="","",IF(Dati!C477&gt;1,Dati!C477/100,Dati!C477))</f>
        <v/>
      </c>
      <c r="E477" s="18" t="str">
        <f>IF(Dati!D477="","",IF(Dati!D477&gt;1,Dati!D477/100,Dati!D477))</f>
        <v/>
      </c>
      <c r="F477" s="18" t="str">
        <f>IF(OR(D477="",E477=""),"",IF(OR(D477&gt;1,E477&gt;1),(E477-D477)/100,E477-D477))</f>
        <v/>
      </c>
      <c r="G477" s="17" t="str">
        <f>IF(F477="","",IF(64*F477=0,"",64*F477))</f>
        <v/>
      </c>
      <c r="H477" s="19" t="str">
        <f>IF(Dati!E477="","",Dati!E477)</f>
        <v/>
      </c>
      <c r="I477" s="19" t="str">
        <f>IFERROR(IF(OR(C477="",C477=0),"",H477/C477*100),"")</f>
        <v/>
      </c>
      <c r="J477" s="20" t="str">
        <f>IF(Dati!F477="","",Dati!F477)</f>
        <v/>
      </c>
      <c r="K477" s="19" t="str">
        <f>IF(OR(H477="",J477=""),"",IF(H477*J477=0,"",H477*J477))</f>
        <v/>
      </c>
      <c r="L477" s="19" t="str">
        <f>IF(A477="","",IFERROR(IF(SUMPRODUCT((ISNUMBER(A$2:A477))*(A$2:A477&gt;1000)*(MONTH(IF(ISNUMBER(A$2:A477),A$2:A477,1))=MONTH(A477))*(YEAR(IF(ISNUMBER(A$2:A477),A$2:A477,1))=YEAR(A477))*IF(ISNUMBER(K$2:K477),K$2:K477,0))=0,"",SUMPRODUCT((ISNUMBER(A$2:A477))*(A$2:A477&gt;1000)*(MONTH(IF(ISNUMBER(A$2:A477),A$2:A477,1))=MONTH(A477))*(YEAR(IF(ISNUMBER(A$2:A477),A$2:A477,1))=YEAR(A477))*IF(ISNUMBER(K$2:K477),K$2:K477,0))),""))</f>
        <v/>
      </c>
      <c r="M477" s="21" t="str">
        <f>IF(A477="","",IFERROR(IF(SUMIF(N$2:N477,"CASA",K$2:K477)=0,"",SUMIF(N$2:N477,"CASA",K$2:K477)),""))</f>
        <v/>
      </c>
      <c r="N477" s="17" t="str">
        <f>IF(J477="","",IF(J477=0.2,"CASA",IF(Dati!G477="","",Dati!G477)))</f>
        <v/>
      </c>
    </row>
    <row r="478" spans="1:14" ht="15" customHeight="1" x14ac:dyDescent="0.2">
      <c r="A478" s="23" t="str">
        <f>IF(Dati!A478="","",Dati!A478)</f>
        <v/>
      </c>
      <c r="B478" s="17" t="str">
        <f>IF(Dati!B478="","",Dati!B478)</f>
        <v/>
      </c>
      <c r="C478" s="17" t="str">
        <f>IF(B478="","",IF(ISNUMBER(B477),IF(B478-B477&lt;0,B478,IF(B478-B477=0,"",B478-B477)),B478))</f>
        <v/>
      </c>
      <c r="D478" s="18" t="str">
        <f>IF(Dati!C478="","",IF(Dati!C478&gt;1,Dati!C478/100,Dati!C478))</f>
        <v/>
      </c>
      <c r="E478" s="18" t="str">
        <f>IF(Dati!D478="","",IF(Dati!D478&gt;1,Dati!D478/100,Dati!D478))</f>
        <v/>
      </c>
      <c r="F478" s="18" t="str">
        <f>IF(OR(D478="",E478=""),"",IF(OR(D478&gt;1,E478&gt;1),(E478-D478)/100,E478-D478))</f>
        <v/>
      </c>
      <c r="G478" s="17" t="str">
        <f>IF(F478="","",IF(64*F478=0,"",64*F478))</f>
        <v/>
      </c>
      <c r="H478" s="19" t="str">
        <f>IF(Dati!E478="","",Dati!E478)</f>
        <v/>
      </c>
      <c r="I478" s="19" t="str">
        <f>IFERROR(IF(OR(C478="",C478=0),"",H478/C478*100),"")</f>
        <v/>
      </c>
      <c r="J478" s="20" t="str">
        <f>IF(Dati!F478="","",Dati!F478)</f>
        <v/>
      </c>
      <c r="K478" s="19" t="str">
        <f>IF(OR(H478="",J478=""),"",IF(H478*J478=0,"",H478*J478))</f>
        <v/>
      </c>
      <c r="L478" s="19" t="str">
        <f>IF(A478="","",IFERROR(IF(SUMPRODUCT((ISNUMBER(A$2:A478))*(A$2:A478&gt;1000)*(MONTH(IF(ISNUMBER(A$2:A478),A$2:A478,1))=MONTH(A478))*(YEAR(IF(ISNUMBER(A$2:A478),A$2:A478,1))=YEAR(A478))*IF(ISNUMBER(K$2:K478),K$2:K478,0))=0,"",SUMPRODUCT((ISNUMBER(A$2:A478))*(A$2:A478&gt;1000)*(MONTH(IF(ISNUMBER(A$2:A478),A$2:A478,1))=MONTH(A478))*(YEAR(IF(ISNUMBER(A$2:A478),A$2:A478,1))=YEAR(A478))*IF(ISNUMBER(K$2:K478),K$2:K478,0))),""))</f>
        <v/>
      </c>
      <c r="M478" s="21" t="str">
        <f>IF(A478="","",IFERROR(IF(SUMIF(N$2:N478,"CASA",K$2:K478)=0,"",SUMIF(N$2:N478,"CASA",K$2:K478)),""))</f>
        <v/>
      </c>
      <c r="N478" s="17" t="str">
        <f>IF(J478="","",IF(J478=0.2,"CASA",IF(Dati!G478="","",Dati!G478)))</f>
        <v/>
      </c>
    </row>
    <row r="479" spans="1:14" ht="15" customHeight="1" x14ac:dyDescent="0.2">
      <c r="A479" s="23" t="str">
        <f>IF(Dati!A479="","",Dati!A479)</f>
        <v/>
      </c>
      <c r="B479" s="17" t="str">
        <f>IF(Dati!B479="","",Dati!B479)</f>
        <v/>
      </c>
      <c r="C479" s="17" t="str">
        <f>IF(B479="","",IF(ISNUMBER(B478),IF(B479-B478&lt;0,B479,IF(B479-B478=0,"",B479-B478)),B479))</f>
        <v/>
      </c>
      <c r="D479" s="18" t="str">
        <f>IF(Dati!C479="","",IF(Dati!C479&gt;1,Dati!C479/100,Dati!C479))</f>
        <v/>
      </c>
      <c r="E479" s="18" t="str">
        <f>IF(Dati!D479="","",IF(Dati!D479&gt;1,Dati!D479/100,Dati!D479))</f>
        <v/>
      </c>
      <c r="F479" s="18" t="str">
        <f>IF(OR(D479="",E479=""),"",IF(OR(D479&gt;1,E479&gt;1),(E479-D479)/100,E479-D479))</f>
        <v/>
      </c>
      <c r="G479" s="17" t="str">
        <f>IF(F479="","",IF(64*F479=0,"",64*F479))</f>
        <v/>
      </c>
      <c r="H479" s="19" t="str">
        <f>IF(Dati!E479="","",Dati!E479)</f>
        <v/>
      </c>
      <c r="I479" s="19" t="str">
        <f>IFERROR(IF(OR(C479="",C479=0),"",H479/C479*100),"")</f>
        <v/>
      </c>
      <c r="J479" s="20" t="str">
        <f>IF(Dati!F479="","",Dati!F479)</f>
        <v/>
      </c>
      <c r="K479" s="19" t="str">
        <f>IF(OR(H479="",J479=""),"",IF(H479*J479=0,"",H479*J479))</f>
        <v/>
      </c>
      <c r="L479" s="19" t="str">
        <f>IF(A479="","",IFERROR(IF(SUMPRODUCT((ISNUMBER(A$2:A479))*(A$2:A479&gt;1000)*(MONTH(IF(ISNUMBER(A$2:A479),A$2:A479,1))=MONTH(A479))*(YEAR(IF(ISNUMBER(A$2:A479),A$2:A479,1))=YEAR(A479))*IF(ISNUMBER(K$2:K479),K$2:K479,0))=0,"",SUMPRODUCT((ISNUMBER(A$2:A479))*(A$2:A479&gt;1000)*(MONTH(IF(ISNUMBER(A$2:A479),A$2:A479,1))=MONTH(A479))*(YEAR(IF(ISNUMBER(A$2:A479),A$2:A479,1))=YEAR(A479))*IF(ISNUMBER(K$2:K479),K$2:K479,0))),""))</f>
        <v/>
      </c>
      <c r="M479" s="21" t="str">
        <f>IF(A479="","",IFERROR(IF(SUMIF(N$2:N479,"CASA",K$2:K479)=0,"",SUMIF(N$2:N479,"CASA",K$2:K479)),""))</f>
        <v/>
      </c>
      <c r="N479" s="17" t="str">
        <f>IF(J479="","",IF(J479=0.2,"CASA",IF(Dati!G479="","",Dati!G479)))</f>
        <v/>
      </c>
    </row>
    <row r="480" spans="1:14" ht="15" customHeight="1" x14ac:dyDescent="0.2">
      <c r="A480" s="23" t="str">
        <f>IF(Dati!A480="","",Dati!A480)</f>
        <v/>
      </c>
      <c r="B480" s="17" t="str">
        <f>IF(Dati!B480="","",Dati!B480)</f>
        <v/>
      </c>
      <c r="C480" s="17" t="str">
        <f>IF(B480="","",IF(ISNUMBER(B479),IF(B480-B479&lt;0,B480,IF(B480-B479=0,"",B480-B479)),B480))</f>
        <v/>
      </c>
      <c r="D480" s="18" t="str">
        <f>IF(Dati!C480="","",IF(Dati!C480&gt;1,Dati!C480/100,Dati!C480))</f>
        <v/>
      </c>
      <c r="E480" s="18" t="str">
        <f>IF(Dati!D480="","",IF(Dati!D480&gt;1,Dati!D480/100,Dati!D480))</f>
        <v/>
      </c>
      <c r="F480" s="18" t="str">
        <f>IF(OR(D480="",E480=""),"",IF(OR(D480&gt;1,E480&gt;1),(E480-D480)/100,E480-D480))</f>
        <v/>
      </c>
      <c r="G480" s="17" t="str">
        <f>IF(F480="","",IF(64*F480=0,"",64*F480))</f>
        <v/>
      </c>
      <c r="H480" s="19" t="str">
        <f>IF(Dati!E480="","",Dati!E480)</f>
        <v/>
      </c>
      <c r="I480" s="19" t="str">
        <f>IFERROR(IF(OR(C480="",C480=0),"",H480/C480*100),"")</f>
        <v/>
      </c>
      <c r="J480" s="20" t="str">
        <f>IF(Dati!F480="","",Dati!F480)</f>
        <v/>
      </c>
      <c r="K480" s="19" t="str">
        <f>IF(OR(H480="",J480=""),"",IF(H480*J480=0,"",H480*J480))</f>
        <v/>
      </c>
      <c r="L480" s="19" t="str">
        <f>IF(A480="","",IFERROR(IF(SUMPRODUCT((ISNUMBER(A$2:A480))*(A$2:A480&gt;1000)*(MONTH(IF(ISNUMBER(A$2:A480),A$2:A480,1))=MONTH(A480))*(YEAR(IF(ISNUMBER(A$2:A480),A$2:A480,1))=YEAR(A480))*IF(ISNUMBER(K$2:K480),K$2:K480,0))=0,"",SUMPRODUCT((ISNUMBER(A$2:A480))*(A$2:A480&gt;1000)*(MONTH(IF(ISNUMBER(A$2:A480),A$2:A480,1))=MONTH(A480))*(YEAR(IF(ISNUMBER(A$2:A480),A$2:A480,1))=YEAR(A480))*IF(ISNUMBER(K$2:K480),K$2:K480,0))),""))</f>
        <v/>
      </c>
      <c r="M480" s="21" t="str">
        <f>IF(A480="","",IFERROR(IF(SUMIF(N$2:N480,"CASA",K$2:K480)=0,"",SUMIF(N$2:N480,"CASA",K$2:K480)),""))</f>
        <v/>
      </c>
      <c r="N480" s="17" t="str">
        <f>IF(J480="","",IF(J480=0.2,"CASA",IF(Dati!G480="","",Dati!G480)))</f>
        <v/>
      </c>
    </row>
    <row r="481" spans="1:14" ht="15" customHeight="1" x14ac:dyDescent="0.2">
      <c r="A481" s="23" t="str">
        <f>IF(Dati!A481="","",Dati!A481)</f>
        <v/>
      </c>
      <c r="B481" s="17" t="str">
        <f>IF(Dati!B481="","",Dati!B481)</f>
        <v/>
      </c>
      <c r="C481" s="17" t="str">
        <f>IF(B481="","",IF(ISNUMBER(B480),IF(B481-B480&lt;0,B481,IF(B481-B480=0,"",B481-B480)),B481))</f>
        <v/>
      </c>
      <c r="D481" s="18" t="str">
        <f>IF(Dati!C481="","",IF(Dati!C481&gt;1,Dati!C481/100,Dati!C481))</f>
        <v/>
      </c>
      <c r="E481" s="18" t="str">
        <f>IF(Dati!D481="","",IF(Dati!D481&gt;1,Dati!D481/100,Dati!D481))</f>
        <v/>
      </c>
      <c r="F481" s="18" t="str">
        <f>IF(OR(D481="",E481=""),"",IF(OR(D481&gt;1,E481&gt;1),(E481-D481)/100,E481-D481))</f>
        <v/>
      </c>
      <c r="G481" s="17" t="str">
        <f>IF(F481="","",IF(64*F481=0,"",64*F481))</f>
        <v/>
      </c>
      <c r="H481" s="19" t="str">
        <f>IF(Dati!E481="","",Dati!E481)</f>
        <v/>
      </c>
      <c r="I481" s="19" t="str">
        <f>IFERROR(IF(OR(C481="",C481=0),"",H481/C481*100),"")</f>
        <v/>
      </c>
      <c r="J481" s="20" t="str">
        <f>IF(Dati!F481="","",Dati!F481)</f>
        <v/>
      </c>
      <c r="K481" s="19" t="str">
        <f>IF(OR(H481="",J481=""),"",IF(H481*J481=0,"",H481*J481))</f>
        <v/>
      </c>
      <c r="L481" s="19" t="str">
        <f>IF(A481="","",IFERROR(IF(SUMPRODUCT((ISNUMBER(A$2:A481))*(A$2:A481&gt;1000)*(MONTH(IF(ISNUMBER(A$2:A481),A$2:A481,1))=MONTH(A481))*(YEAR(IF(ISNUMBER(A$2:A481),A$2:A481,1))=YEAR(A481))*IF(ISNUMBER(K$2:K481),K$2:K481,0))=0,"",SUMPRODUCT((ISNUMBER(A$2:A481))*(A$2:A481&gt;1000)*(MONTH(IF(ISNUMBER(A$2:A481),A$2:A481,1))=MONTH(A481))*(YEAR(IF(ISNUMBER(A$2:A481),A$2:A481,1))=YEAR(A481))*IF(ISNUMBER(K$2:K481),K$2:K481,0))),""))</f>
        <v/>
      </c>
      <c r="M481" s="21" t="str">
        <f>IF(A481="","",IFERROR(IF(SUMIF(N$2:N481,"CASA",K$2:K481)=0,"",SUMIF(N$2:N481,"CASA",K$2:K481)),""))</f>
        <v/>
      </c>
      <c r="N481" s="17" t="str">
        <f>IF(J481="","",IF(J481=0.2,"CASA",IF(Dati!G481="","",Dati!G481)))</f>
        <v/>
      </c>
    </row>
    <row r="482" spans="1:14" ht="15" customHeight="1" x14ac:dyDescent="0.2">
      <c r="A482" s="23" t="str">
        <f>IF(Dati!A482="","",Dati!A482)</f>
        <v/>
      </c>
      <c r="B482" s="17" t="str">
        <f>IF(Dati!B482="","",Dati!B482)</f>
        <v/>
      </c>
      <c r="C482" s="17" t="str">
        <f>IF(B482="","",IF(ISNUMBER(B481),IF(B482-B481&lt;0,B482,IF(B482-B481=0,"",B482-B481)),B482))</f>
        <v/>
      </c>
      <c r="D482" s="18" t="str">
        <f>IF(Dati!C482="","",IF(Dati!C482&gt;1,Dati!C482/100,Dati!C482))</f>
        <v/>
      </c>
      <c r="E482" s="18" t="str">
        <f>IF(Dati!D482="","",IF(Dati!D482&gt;1,Dati!D482/100,Dati!D482))</f>
        <v/>
      </c>
      <c r="F482" s="18" t="str">
        <f>IF(OR(D482="",E482=""),"",IF(OR(D482&gt;1,E482&gt;1),(E482-D482)/100,E482-D482))</f>
        <v/>
      </c>
      <c r="G482" s="17" t="str">
        <f>IF(F482="","",IF(64*F482=0,"",64*F482))</f>
        <v/>
      </c>
      <c r="H482" s="19" t="str">
        <f>IF(Dati!E482="","",Dati!E482)</f>
        <v/>
      </c>
      <c r="I482" s="19" t="str">
        <f>IFERROR(IF(OR(C482="",C482=0),"",H482/C482*100),"")</f>
        <v/>
      </c>
      <c r="J482" s="20" t="str">
        <f>IF(Dati!F482="","",Dati!F482)</f>
        <v/>
      </c>
      <c r="K482" s="19" t="str">
        <f>IF(OR(H482="",J482=""),"",IF(H482*J482=0,"",H482*J482))</f>
        <v/>
      </c>
      <c r="L482" s="19" t="str">
        <f>IF(A482="","",IFERROR(IF(SUMPRODUCT((ISNUMBER(A$2:A482))*(A$2:A482&gt;1000)*(MONTH(IF(ISNUMBER(A$2:A482),A$2:A482,1))=MONTH(A482))*(YEAR(IF(ISNUMBER(A$2:A482),A$2:A482,1))=YEAR(A482))*IF(ISNUMBER(K$2:K482),K$2:K482,0))=0,"",SUMPRODUCT((ISNUMBER(A$2:A482))*(A$2:A482&gt;1000)*(MONTH(IF(ISNUMBER(A$2:A482),A$2:A482,1))=MONTH(A482))*(YEAR(IF(ISNUMBER(A$2:A482),A$2:A482,1))=YEAR(A482))*IF(ISNUMBER(K$2:K482),K$2:K482,0))),""))</f>
        <v/>
      </c>
      <c r="M482" s="21" t="str">
        <f>IF(A482="","",IFERROR(IF(SUMIF(N$2:N482,"CASA",K$2:K482)=0,"",SUMIF(N$2:N482,"CASA",K$2:K482)),""))</f>
        <v/>
      </c>
      <c r="N482" s="17" t="str">
        <f>IF(J482="","",IF(J482=0.2,"CASA",IF(Dati!G482="","",Dati!G482)))</f>
        <v/>
      </c>
    </row>
    <row r="483" spans="1:14" ht="15" customHeight="1" x14ac:dyDescent="0.2">
      <c r="A483" s="23" t="str">
        <f>IF(Dati!A483="","",Dati!A483)</f>
        <v/>
      </c>
      <c r="B483" s="17" t="str">
        <f>IF(Dati!B483="","",Dati!B483)</f>
        <v/>
      </c>
      <c r="C483" s="17" t="str">
        <f>IF(B483="","",IF(ISNUMBER(B482),IF(B483-B482&lt;0,B483,IF(B483-B482=0,"",B483-B482)),B483))</f>
        <v/>
      </c>
      <c r="D483" s="18" t="str">
        <f>IF(Dati!C483="","",IF(Dati!C483&gt;1,Dati!C483/100,Dati!C483))</f>
        <v/>
      </c>
      <c r="E483" s="18" t="str">
        <f>IF(Dati!D483="","",IF(Dati!D483&gt;1,Dati!D483/100,Dati!D483))</f>
        <v/>
      </c>
      <c r="F483" s="18" t="str">
        <f>IF(OR(D483="",E483=""),"",IF(OR(D483&gt;1,E483&gt;1),(E483-D483)/100,E483-D483))</f>
        <v/>
      </c>
      <c r="G483" s="17" t="str">
        <f>IF(F483="","",IF(64*F483=0,"",64*F483))</f>
        <v/>
      </c>
      <c r="H483" s="19" t="str">
        <f>IF(Dati!E483="","",Dati!E483)</f>
        <v/>
      </c>
      <c r="I483" s="19" t="str">
        <f>IFERROR(IF(OR(C483="",C483=0),"",H483/C483*100),"")</f>
        <v/>
      </c>
      <c r="J483" s="20" t="str">
        <f>IF(Dati!F483="","",Dati!F483)</f>
        <v/>
      </c>
      <c r="K483" s="19" t="str">
        <f>IF(OR(H483="",J483=""),"",IF(H483*J483=0,"",H483*J483))</f>
        <v/>
      </c>
      <c r="L483" s="19" t="str">
        <f>IF(A483="","",IFERROR(IF(SUMPRODUCT((ISNUMBER(A$2:A483))*(A$2:A483&gt;1000)*(MONTH(IF(ISNUMBER(A$2:A483),A$2:A483,1))=MONTH(A483))*(YEAR(IF(ISNUMBER(A$2:A483),A$2:A483,1))=YEAR(A483))*IF(ISNUMBER(K$2:K483),K$2:K483,0))=0,"",SUMPRODUCT((ISNUMBER(A$2:A483))*(A$2:A483&gt;1000)*(MONTH(IF(ISNUMBER(A$2:A483),A$2:A483,1))=MONTH(A483))*(YEAR(IF(ISNUMBER(A$2:A483),A$2:A483,1))=YEAR(A483))*IF(ISNUMBER(K$2:K483),K$2:K483,0))),""))</f>
        <v/>
      </c>
      <c r="M483" s="21" t="str">
        <f>IF(A483="","",IFERROR(IF(SUMIF(N$2:N483,"CASA",K$2:K483)=0,"",SUMIF(N$2:N483,"CASA",K$2:K483)),""))</f>
        <v/>
      </c>
      <c r="N483" s="17" t="str">
        <f>IF(J483="","",IF(J483=0.2,"CASA",IF(Dati!G483="","",Dati!G483)))</f>
        <v/>
      </c>
    </row>
    <row r="484" spans="1:14" ht="15" customHeight="1" x14ac:dyDescent="0.2">
      <c r="A484" s="23" t="str">
        <f>IF(Dati!A484="","",Dati!A484)</f>
        <v/>
      </c>
      <c r="B484" s="17" t="str">
        <f>IF(Dati!B484="","",Dati!B484)</f>
        <v/>
      </c>
      <c r="C484" s="17" t="str">
        <f>IF(B484="","",IF(ISNUMBER(B483),IF(B484-B483&lt;0,B484,IF(B484-B483=0,"",B484-B483)),B484))</f>
        <v/>
      </c>
      <c r="D484" s="18" t="str">
        <f>IF(Dati!C484="","",IF(Dati!C484&gt;1,Dati!C484/100,Dati!C484))</f>
        <v/>
      </c>
      <c r="E484" s="18" t="str">
        <f>IF(Dati!D484="","",IF(Dati!D484&gt;1,Dati!D484/100,Dati!D484))</f>
        <v/>
      </c>
      <c r="F484" s="18" t="str">
        <f>IF(OR(D484="",E484=""),"",IF(OR(D484&gt;1,E484&gt;1),(E484-D484)/100,E484-D484))</f>
        <v/>
      </c>
      <c r="G484" s="17" t="str">
        <f>IF(F484="","",IF(64*F484=0,"",64*F484))</f>
        <v/>
      </c>
      <c r="H484" s="19" t="str">
        <f>IF(Dati!E484="","",Dati!E484)</f>
        <v/>
      </c>
      <c r="I484" s="19" t="str">
        <f>IFERROR(IF(OR(C484="",C484=0),"",H484/C484*100),"")</f>
        <v/>
      </c>
      <c r="J484" s="20" t="str">
        <f>IF(Dati!F484="","",Dati!F484)</f>
        <v/>
      </c>
      <c r="K484" s="19" t="str">
        <f>IF(OR(H484="",J484=""),"",IF(H484*J484=0,"",H484*J484))</f>
        <v/>
      </c>
      <c r="L484" s="19" t="str">
        <f>IF(A484="","",IFERROR(IF(SUMPRODUCT((ISNUMBER(A$2:A484))*(A$2:A484&gt;1000)*(MONTH(IF(ISNUMBER(A$2:A484),A$2:A484,1))=MONTH(A484))*(YEAR(IF(ISNUMBER(A$2:A484),A$2:A484,1))=YEAR(A484))*IF(ISNUMBER(K$2:K484),K$2:K484,0))=0,"",SUMPRODUCT((ISNUMBER(A$2:A484))*(A$2:A484&gt;1000)*(MONTH(IF(ISNUMBER(A$2:A484),A$2:A484,1))=MONTH(A484))*(YEAR(IF(ISNUMBER(A$2:A484),A$2:A484,1))=YEAR(A484))*IF(ISNUMBER(K$2:K484),K$2:K484,0))),""))</f>
        <v/>
      </c>
      <c r="M484" s="21" t="str">
        <f>IF(A484="","",IFERROR(IF(SUMIF(N$2:N484,"CASA",K$2:K484)=0,"",SUMIF(N$2:N484,"CASA",K$2:K484)),""))</f>
        <v/>
      </c>
      <c r="N484" s="17" t="str">
        <f>IF(J484="","",IF(J484=0.2,"CASA",IF(Dati!G484="","",Dati!G484)))</f>
        <v/>
      </c>
    </row>
    <row r="485" spans="1:14" ht="15" customHeight="1" x14ac:dyDescent="0.2">
      <c r="A485" s="23" t="str">
        <f>IF(Dati!A485="","",Dati!A485)</f>
        <v/>
      </c>
      <c r="B485" s="17" t="str">
        <f>IF(Dati!B485="","",Dati!B485)</f>
        <v/>
      </c>
      <c r="C485" s="17" t="str">
        <f>IF(B485="","",IF(ISNUMBER(B484),IF(B485-B484&lt;0,B485,IF(B485-B484=0,"",B485-B484)),B485))</f>
        <v/>
      </c>
      <c r="D485" s="18" t="str">
        <f>IF(Dati!C485="","",IF(Dati!C485&gt;1,Dati!C485/100,Dati!C485))</f>
        <v/>
      </c>
      <c r="E485" s="18" t="str">
        <f>IF(Dati!D485="","",IF(Dati!D485&gt;1,Dati!D485/100,Dati!D485))</f>
        <v/>
      </c>
      <c r="F485" s="18" t="str">
        <f>IF(OR(D485="",E485=""),"",IF(OR(D485&gt;1,E485&gt;1),(E485-D485)/100,E485-D485))</f>
        <v/>
      </c>
      <c r="G485" s="17" t="str">
        <f>IF(F485="","",IF(64*F485=0,"",64*F485))</f>
        <v/>
      </c>
      <c r="H485" s="19" t="str">
        <f>IF(Dati!E485="","",Dati!E485)</f>
        <v/>
      </c>
      <c r="I485" s="19" t="str">
        <f>IFERROR(IF(OR(C485="",C485=0),"",H485/C485*100),"")</f>
        <v/>
      </c>
      <c r="J485" s="20" t="str">
        <f>IF(Dati!F485="","",Dati!F485)</f>
        <v/>
      </c>
      <c r="K485" s="19" t="str">
        <f>IF(OR(H485="",J485=""),"",IF(H485*J485=0,"",H485*J485))</f>
        <v/>
      </c>
      <c r="L485" s="19" t="str">
        <f>IF(A485="","",IFERROR(IF(SUMPRODUCT((ISNUMBER(A$2:A485))*(A$2:A485&gt;1000)*(MONTH(IF(ISNUMBER(A$2:A485),A$2:A485,1))=MONTH(A485))*(YEAR(IF(ISNUMBER(A$2:A485),A$2:A485,1))=YEAR(A485))*IF(ISNUMBER(K$2:K485),K$2:K485,0))=0,"",SUMPRODUCT((ISNUMBER(A$2:A485))*(A$2:A485&gt;1000)*(MONTH(IF(ISNUMBER(A$2:A485),A$2:A485,1))=MONTH(A485))*(YEAR(IF(ISNUMBER(A$2:A485),A$2:A485,1))=YEAR(A485))*IF(ISNUMBER(K$2:K485),K$2:K485,0))),""))</f>
        <v/>
      </c>
      <c r="M485" s="21" t="str">
        <f>IF(A485="","",IFERROR(IF(SUMIF(N$2:N485,"CASA",K$2:K485)=0,"",SUMIF(N$2:N485,"CASA",K$2:K485)),""))</f>
        <v/>
      </c>
      <c r="N485" s="17" t="str">
        <f>IF(J485="","",IF(J485=0.2,"CASA",IF(Dati!G485="","",Dati!G485)))</f>
        <v/>
      </c>
    </row>
    <row r="486" spans="1:14" ht="15" customHeight="1" x14ac:dyDescent="0.2">
      <c r="A486" s="23" t="str">
        <f>IF(Dati!A486="","",Dati!A486)</f>
        <v/>
      </c>
      <c r="B486" s="17" t="str">
        <f>IF(Dati!B486="","",Dati!B486)</f>
        <v/>
      </c>
      <c r="C486" s="17" t="str">
        <f>IF(B486="","",IF(ISNUMBER(B485),IF(B486-B485&lt;0,B486,IF(B486-B485=0,"",B486-B485)),B486))</f>
        <v/>
      </c>
      <c r="D486" s="18" t="str">
        <f>IF(Dati!C486="","",IF(Dati!C486&gt;1,Dati!C486/100,Dati!C486))</f>
        <v/>
      </c>
      <c r="E486" s="18" t="str">
        <f>IF(Dati!D486="","",IF(Dati!D486&gt;1,Dati!D486/100,Dati!D486))</f>
        <v/>
      </c>
      <c r="F486" s="18" t="str">
        <f>IF(OR(D486="",E486=""),"",IF(OR(D486&gt;1,E486&gt;1),(E486-D486)/100,E486-D486))</f>
        <v/>
      </c>
      <c r="G486" s="17" t="str">
        <f>IF(F486="","",IF(64*F486=0,"",64*F486))</f>
        <v/>
      </c>
      <c r="H486" s="19" t="str">
        <f>IF(Dati!E486="","",Dati!E486)</f>
        <v/>
      </c>
      <c r="I486" s="19" t="str">
        <f>IFERROR(IF(OR(C486="",C486=0),"",H486/C486*100),"")</f>
        <v/>
      </c>
      <c r="J486" s="20" t="str">
        <f>IF(Dati!F486="","",Dati!F486)</f>
        <v/>
      </c>
      <c r="K486" s="19" t="str">
        <f>IF(OR(H486="",J486=""),"",IF(H486*J486=0,"",H486*J486))</f>
        <v/>
      </c>
      <c r="L486" s="19" t="str">
        <f>IF(A486="","",IFERROR(IF(SUMPRODUCT((ISNUMBER(A$2:A486))*(A$2:A486&gt;1000)*(MONTH(IF(ISNUMBER(A$2:A486),A$2:A486,1))=MONTH(A486))*(YEAR(IF(ISNUMBER(A$2:A486),A$2:A486,1))=YEAR(A486))*IF(ISNUMBER(K$2:K486),K$2:K486,0))=0,"",SUMPRODUCT((ISNUMBER(A$2:A486))*(A$2:A486&gt;1000)*(MONTH(IF(ISNUMBER(A$2:A486),A$2:A486,1))=MONTH(A486))*(YEAR(IF(ISNUMBER(A$2:A486),A$2:A486,1))=YEAR(A486))*IF(ISNUMBER(K$2:K486),K$2:K486,0))),""))</f>
        <v/>
      </c>
      <c r="M486" s="21" t="str">
        <f>IF(A486="","",IFERROR(IF(SUMIF(N$2:N486,"CASA",K$2:K486)=0,"",SUMIF(N$2:N486,"CASA",K$2:K486)),""))</f>
        <v/>
      </c>
      <c r="N486" s="17" t="str">
        <f>IF(J486="","",IF(J486=0.2,"CASA",IF(Dati!G486="","",Dati!G486)))</f>
        <v/>
      </c>
    </row>
    <row r="487" spans="1:14" ht="15" customHeight="1" x14ac:dyDescent="0.2">
      <c r="A487" s="23" t="str">
        <f>IF(Dati!A487="","",Dati!A487)</f>
        <v/>
      </c>
      <c r="B487" s="17" t="str">
        <f>IF(Dati!B487="","",Dati!B487)</f>
        <v/>
      </c>
      <c r="C487" s="17" t="str">
        <f>IF(B487="","",IF(ISNUMBER(B486),IF(B487-B486&lt;0,B487,IF(B487-B486=0,"",B487-B486)),B487))</f>
        <v/>
      </c>
      <c r="D487" s="18" t="str">
        <f>IF(Dati!C487="","",IF(Dati!C487&gt;1,Dati!C487/100,Dati!C487))</f>
        <v/>
      </c>
      <c r="E487" s="18" t="str">
        <f>IF(Dati!D487="","",IF(Dati!D487&gt;1,Dati!D487/100,Dati!D487))</f>
        <v/>
      </c>
      <c r="F487" s="18" t="str">
        <f>IF(OR(D487="",E487=""),"",IF(OR(D487&gt;1,E487&gt;1),(E487-D487)/100,E487-D487))</f>
        <v/>
      </c>
      <c r="G487" s="17" t="str">
        <f>IF(F487="","",IF(64*F487=0,"",64*F487))</f>
        <v/>
      </c>
      <c r="H487" s="19" t="str">
        <f>IF(Dati!E487="","",Dati!E487)</f>
        <v/>
      </c>
      <c r="I487" s="19" t="str">
        <f>IFERROR(IF(OR(C487="",C487=0),"",H487/C487*100),"")</f>
        <v/>
      </c>
      <c r="J487" s="20" t="str">
        <f>IF(Dati!F487="","",Dati!F487)</f>
        <v/>
      </c>
      <c r="K487" s="19" t="str">
        <f>IF(OR(H487="",J487=""),"",IF(H487*J487=0,"",H487*J487))</f>
        <v/>
      </c>
      <c r="L487" s="19" t="str">
        <f>IF(A487="","",IFERROR(IF(SUMPRODUCT((ISNUMBER(A$2:A487))*(A$2:A487&gt;1000)*(MONTH(IF(ISNUMBER(A$2:A487),A$2:A487,1))=MONTH(A487))*(YEAR(IF(ISNUMBER(A$2:A487),A$2:A487,1))=YEAR(A487))*IF(ISNUMBER(K$2:K487),K$2:K487,0))=0,"",SUMPRODUCT((ISNUMBER(A$2:A487))*(A$2:A487&gt;1000)*(MONTH(IF(ISNUMBER(A$2:A487),A$2:A487,1))=MONTH(A487))*(YEAR(IF(ISNUMBER(A$2:A487),A$2:A487,1))=YEAR(A487))*IF(ISNUMBER(K$2:K487),K$2:K487,0))),""))</f>
        <v/>
      </c>
      <c r="M487" s="21" t="str">
        <f>IF(A487="","",IFERROR(IF(SUMIF(N$2:N487,"CASA",K$2:K487)=0,"",SUMIF(N$2:N487,"CASA",K$2:K487)),""))</f>
        <v/>
      </c>
      <c r="N487" s="17" t="str">
        <f>IF(J487="","",IF(J487=0.2,"CASA",IF(Dati!G487="","",Dati!G487)))</f>
        <v/>
      </c>
    </row>
    <row r="488" spans="1:14" ht="15" customHeight="1" x14ac:dyDescent="0.2">
      <c r="A488" s="23" t="str">
        <f>IF(Dati!A488="","",Dati!A488)</f>
        <v/>
      </c>
      <c r="B488" s="17" t="str">
        <f>IF(Dati!B488="","",Dati!B488)</f>
        <v/>
      </c>
      <c r="C488" s="17" t="str">
        <f>IF(B488="","",IF(ISNUMBER(B487),IF(B488-B487&lt;0,B488,IF(B488-B487=0,"",B488-B487)),B488))</f>
        <v/>
      </c>
      <c r="D488" s="18" t="str">
        <f>IF(Dati!C488="","",IF(Dati!C488&gt;1,Dati!C488/100,Dati!C488))</f>
        <v/>
      </c>
      <c r="E488" s="18" t="str">
        <f>IF(Dati!D488="","",IF(Dati!D488&gt;1,Dati!D488/100,Dati!D488))</f>
        <v/>
      </c>
      <c r="F488" s="18" t="str">
        <f>IF(OR(D488="",E488=""),"",IF(OR(D488&gt;1,E488&gt;1),(E488-D488)/100,E488-D488))</f>
        <v/>
      </c>
      <c r="G488" s="17" t="str">
        <f>IF(F488="","",IF(64*F488=0,"",64*F488))</f>
        <v/>
      </c>
      <c r="H488" s="19" t="str">
        <f>IF(Dati!E488="","",Dati!E488)</f>
        <v/>
      </c>
      <c r="I488" s="19" t="str">
        <f>IFERROR(IF(OR(C488="",C488=0),"",H488/C488*100),"")</f>
        <v/>
      </c>
      <c r="J488" s="20" t="str">
        <f>IF(Dati!F488="","",Dati!F488)</f>
        <v/>
      </c>
      <c r="K488" s="19" t="str">
        <f>IF(OR(H488="",J488=""),"",IF(H488*J488=0,"",H488*J488))</f>
        <v/>
      </c>
      <c r="L488" s="19" t="str">
        <f>IF(A488="","",IFERROR(IF(SUMPRODUCT((ISNUMBER(A$2:A488))*(A$2:A488&gt;1000)*(MONTH(IF(ISNUMBER(A$2:A488),A$2:A488,1))=MONTH(A488))*(YEAR(IF(ISNUMBER(A$2:A488),A$2:A488,1))=YEAR(A488))*IF(ISNUMBER(K$2:K488),K$2:K488,0))=0,"",SUMPRODUCT((ISNUMBER(A$2:A488))*(A$2:A488&gt;1000)*(MONTH(IF(ISNUMBER(A$2:A488),A$2:A488,1))=MONTH(A488))*(YEAR(IF(ISNUMBER(A$2:A488),A$2:A488,1))=YEAR(A488))*IF(ISNUMBER(K$2:K488),K$2:K488,0))),""))</f>
        <v/>
      </c>
      <c r="M488" s="21" t="str">
        <f>IF(A488="","",IFERROR(IF(SUMIF(N$2:N488,"CASA",K$2:K488)=0,"",SUMIF(N$2:N488,"CASA",K$2:K488)),""))</f>
        <v/>
      </c>
      <c r="N488" s="17" t="str">
        <f>IF(J488="","",IF(J488=0.2,"CASA",IF(Dati!G488="","",Dati!G488)))</f>
        <v/>
      </c>
    </row>
    <row r="489" spans="1:14" ht="15" customHeight="1" x14ac:dyDescent="0.2">
      <c r="A489" s="23" t="str">
        <f>IF(Dati!A489="","",Dati!A489)</f>
        <v/>
      </c>
      <c r="B489" s="17" t="str">
        <f>IF(Dati!B489="","",Dati!B489)</f>
        <v/>
      </c>
      <c r="C489" s="17" t="str">
        <f>IF(B489="","",IF(ISNUMBER(B488),IF(B489-B488&lt;0,B489,IF(B489-B488=0,"",B489-B488)),B489))</f>
        <v/>
      </c>
      <c r="D489" s="18" t="str">
        <f>IF(Dati!C489="","",IF(Dati!C489&gt;1,Dati!C489/100,Dati!C489))</f>
        <v/>
      </c>
      <c r="E489" s="18" t="str">
        <f>IF(Dati!D489="","",IF(Dati!D489&gt;1,Dati!D489/100,Dati!D489))</f>
        <v/>
      </c>
      <c r="F489" s="18" t="str">
        <f>IF(OR(D489="",E489=""),"",IF(OR(D489&gt;1,E489&gt;1),(E489-D489)/100,E489-D489))</f>
        <v/>
      </c>
      <c r="G489" s="17" t="str">
        <f>IF(F489="","",IF(64*F489=0,"",64*F489))</f>
        <v/>
      </c>
      <c r="H489" s="19" t="str">
        <f>IF(Dati!E489="","",Dati!E489)</f>
        <v/>
      </c>
      <c r="I489" s="19" t="str">
        <f>IFERROR(IF(OR(C489="",C489=0),"",H489/C489*100),"")</f>
        <v/>
      </c>
      <c r="J489" s="20" t="str">
        <f>IF(Dati!F489="","",Dati!F489)</f>
        <v/>
      </c>
      <c r="K489" s="19" t="str">
        <f>IF(OR(H489="",J489=""),"",IF(H489*J489=0,"",H489*J489))</f>
        <v/>
      </c>
      <c r="L489" s="19" t="str">
        <f>IF(A489="","",IFERROR(IF(SUMPRODUCT((ISNUMBER(A$2:A489))*(A$2:A489&gt;1000)*(MONTH(IF(ISNUMBER(A$2:A489),A$2:A489,1))=MONTH(A489))*(YEAR(IF(ISNUMBER(A$2:A489),A$2:A489,1))=YEAR(A489))*IF(ISNUMBER(K$2:K489),K$2:K489,0))=0,"",SUMPRODUCT((ISNUMBER(A$2:A489))*(A$2:A489&gt;1000)*(MONTH(IF(ISNUMBER(A$2:A489),A$2:A489,1))=MONTH(A489))*(YEAR(IF(ISNUMBER(A$2:A489),A$2:A489,1))=YEAR(A489))*IF(ISNUMBER(K$2:K489),K$2:K489,0))),""))</f>
        <v/>
      </c>
      <c r="M489" s="21" t="str">
        <f>IF(A489="","",IFERROR(IF(SUMIF(N$2:N489,"CASA",K$2:K489)=0,"",SUMIF(N$2:N489,"CASA",K$2:K489)),""))</f>
        <v/>
      </c>
      <c r="N489" s="17" t="str">
        <f>IF(J489="","",IF(J489=0.2,"CASA",IF(Dati!G489="","",Dati!G489)))</f>
        <v/>
      </c>
    </row>
    <row r="490" spans="1:14" ht="15" customHeight="1" x14ac:dyDescent="0.2">
      <c r="A490" s="23" t="str">
        <f>IF(Dati!A490="","",Dati!A490)</f>
        <v/>
      </c>
      <c r="B490" s="17" t="str">
        <f>IF(Dati!B490="","",Dati!B490)</f>
        <v/>
      </c>
      <c r="C490" s="17" t="str">
        <f>IF(B490="","",IF(ISNUMBER(B489),IF(B490-B489&lt;0,B490,IF(B490-B489=0,"",B490-B489)),B490))</f>
        <v/>
      </c>
      <c r="D490" s="18" t="str">
        <f>IF(Dati!C490="","",IF(Dati!C490&gt;1,Dati!C490/100,Dati!C490))</f>
        <v/>
      </c>
      <c r="E490" s="18" t="str">
        <f>IF(Dati!D490="","",IF(Dati!D490&gt;1,Dati!D490/100,Dati!D490))</f>
        <v/>
      </c>
      <c r="F490" s="18" t="str">
        <f>IF(OR(D490="",E490=""),"",IF(OR(D490&gt;1,E490&gt;1),(E490-D490)/100,E490-D490))</f>
        <v/>
      </c>
      <c r="G490" s="17" t="str">
        <f>IF(F490="","",IF(64*F490=0,"",64*F490))</f>
        <v/>
      </c>
      <c r="H490" s="19" t="str">
        <f>IF(Dati!E490="","",Dati!E490)</f>
        <v/>
      </c>
      <c r="I490" s="19" t="str">
        <f>IFERROR(IF(OR(C490="",C490=0),"",H490/C490*100),"")</f>
        <v/>
      </c>
      <c r="J490" s="20" t="str">
        <f>IF(Dati!F490="","",Dati!F490)</f>
        <v/>
      </c>
      <c r="K490" s="19" t="str">
        <f>IF(OR(H490="",J490=""),"",IF(H490*J490=0,"",H490*J490))</f>
        <v/>
      </c>
      <c r="L490" s="19" t="str">
        <f>IF(A490="","",IFERROR(IF(SUMPRODUCT((ISNUMBER(A$2:A490))*(A$2:A490&gt;1000)*(MONTH(IF(ISNUMBER(A$2:A490),A$2:A490,1))=MONTH(A490))*(YEAR(IF(ISNUMBER(A$2:A490),A$2:A490,1))=YEAR(A490))*IF(ISNUMBER(K$2:K490),K$2:K490,0))=0,"",SUMPRODUCT((ISNUMBER(A$2:A490))*(A$2:A490&gt;1000)*(MONTH(IF(ISNUMBER(A$2:A490),A$2:A490,1))=MONTH(A490))*(YEAR(IF(ISNUMBER(A$2:A490),A$2:A490,1))=YEAR(A490))*IF(ISNUMBER(K$2:K490),K$2:K490,0))),""))</f>
        <v/>
      </c>
      <c r="M490" s="21" t="str">
        <f>IF(A490="","",IFERROR(IF(SUMIF(N$2:N490,"CASA",K$2:K490)=0,"",SUMIF(N$2:N490,"CASA",K$2:K490)),""))</f>
        <v/>
      </c>
      <c r="N490" s="17" t="str">
        <f>IF(J490="","",IF(J490=0.2,"CASA",IF(Dati!G490="","",Dati!G490)))</f>
        <v/>
      </c>
    </row>
    <row r="491" spans="1:14" ht="15" customHeight="1" x14ac:dyDescent="0.2">
      <c r="A491" s="23" t="str">
        <f>IF(Dati!A491="","",Dati!A491)</f>
        <v/>
      </c>
      <c r="B491" s="17" t="str">
        <f>IF(Dati!B491="","",Dati!B491)</f>
        <v/>
      </c>
      <c r="C491" s="17" t="str">
        <f>IF(B491="","",IF(ISNUMBER(B490),IF(B491-B490&lt;0,B491,IF(B491-B490=0,"",B491-B490)),B491))</f>
        <v/>
      </c>
      <c r="D491" s="18" t="str">
        <f>IF(Dati!C491="","",IF(Dati!C491&gt;1,Dati!C491/100,Dati!C491))</f>
        <v/>
      </c>
      <c r="E491" s="18" t="str">
        <f>IF(Dati!D491="","",IF(Dati!D491&gt;1,Dati!D491/100,Dati!D491))</f>
        <v/>
      </c>
      <c r="F491" s="18" t="str">
        <f>IF(OR(D491="",E491=""),"",IF(OR(D491&gt;1,E491&gt;1),(E491-D491)/100,E491-D491))</f>
        <v/>
      </c>
      <c r="G491" s="17" t="str">
        <f>IF(F491="","",IF(64*F491=0,"",64*F491))</f>
        <v/>
      </c>
      <c r="H491" s="19" t="str">
        <f>IF(Dati!E491="","",Dati!E491)</f>
        <v/>
      </c>
      <c r="I491" s="19" t="str">
        <f>IFERROR(IF(OR(C491="",C491=0),"",H491/C491*100),"")</f>
        <v/>
      </c>
      <c r="J491" s="20" t="str">
        <f>IF(Dati!F491="","",Dati!F491)</f>
        <v/>
      </c>
      <c r="K491" s="19" t="str">
        <f>IF(OR(H491="",J491=""),"",IF(H491*J491=0,"",H491*J491))</f>
        <v/>
      </c>
      <c r="L491" s="19" t="str">
        <f>IF(A491="","",IFERROR(IF(SUMPRODUCT((ISNUMBER(A$2:A491))*(A$2:A491&gt;1000)*(MONTH(IF(ISNUMBER(A$2:A491),A$2:A491,1))=MONTH(A491))*(YEAR(IF(ISNUMBER(A$2:A491),A$2:A491,1))=YEAR(A491))*IF(ISNUMBER(K$2:K491),K$2:K491,0))=0,"",SUMPRODUCT((ISNUMBER(A$2:A491))*(A$2:A491&gt;1000)*(MONTH(IF(ISNUMBER(A$2:A491),A$2:A491,1))=MONTH(A491))*(YEAR(IF(ISNUMBER(A$2:A491),A$2:A491,1))=YEAR(A491))*IF(ISNUMBER(K$2:K491),K$2:K491,0))),""))</f>
        <v/>
      </c>
      <c r="M491" s="21" t="str">
        <f>IF(A491="","",IFERROR(IF(SUMIF(N$2:N491,"CASA",K$2:K491)=0,"",SUMIF(N$2:N491,"CASA",K$2:K491)),""))</f>
        <v/>
      </c>
      <c r="N491" s="17" t="str">
        <f>IF(J491="","",IF(J491=0.2,"CASA",IF(Dati!G491="","",Dati!G491)))</f>
        <v/>
      </c>
    </row>
    <row r="492" spans="1:14" ht="15" customHeight="1" x14ac:dyDescent="0.2">
      <c r="A492" s="23" t="str">
        <f>IF(Dati!A492="","",Dati!A492)</f>
        <v/>
      </c>
      <c r="B492" s="17" t="str">
        <f>IF(Dati!B492="","",Dati!B492)</f>
        <v/>
      </c>
      <c r="C492" s="17" t="str">
        <f>IF(B492="","",IF(ISNUMBER(B491),IF(B492-B491&lt;0,B492,IF(B492-B491=0,"",B492-B491)),B492))</f>
        <v/>
      </c>
      <c r="D492" s="18" t="str">
        <f>IF(Dati!C492="","",IF(Dati!C492&gt;1,Dati!C492/100,Dati!C492))</f>
        <v/>
      </c>
      <c r="E492" s="18" t="str">
        <f>IF(Dati!D492="","",IF(Dati!D492&gt;1,Dati!D492/100,Dati!D492))</f>
        <v/>
      </c>
      <c r="F492" s="18" t="str">
        <f>IF(OR(D492="",E492=""),"",IF(OR(D492&gt;1,E492&gt;1),(E492-D492)/100,E492-D492))</f>
        <v/>
      </c>
      <c r="G492" s="17" t="str">
        <f>IF(F492="","",IF(64*F492=0,"",64*F492))</f>
        <v/>
      </c>
      <c r="H492" s="19" t="str">
        <f>IF(Dati!E492="","",Dati!E492)</f>
        <v/>
      </c>
      <c r="I492" s="19" t="str">
        <f>IFERROR(IF(OR(C492="",C492=0),"",H492/C492*100),"")</f>
        <v/>
      </c>
      <c r="J492" s="20" t="str">
        <f>IF(Dati!F492="","",Dati!F492)</f>
        <v/>
      </c>
      <c r="K492" s="19" t="str">
        <f>IF(OR(H492="",J492=""),"",IF(H492*J492=0,"",H492*J492))</f>
        <v/>
      </c>
      <c r="L492" s="19" t="str">
        <f>IF(A492="","",IFERROR(IF(SUMPRODUCT((ISNUMBER(A$2:A492))*(A$2:A492&gt;1000)*(MONTH(IF(ISNUMBER(A$2:A492),A$2:A492,1))=MONTH(A492))*(YEAR(IF(ISNUMBER(A$2:A492),A$2:A492,1))=YEAR(A492))*IF(ISNUMBER(K$2:K492),K$2:K492,0))=0,"",SUMPRODUCT((ISNUMBER(A$2:A492))*(A$2:A492&gt;1000)*(MONTH(IF(ISNUMBER(A$2:A492),A$2:A492,1))=MONTH(A492))*(YEAR(IF(ISNUMBER(A$2:A492),A$2:A492,1))=YEAR(A492))*IF(ISNUMBER(K$2:K492),K$2:K492,0))),""))</f>
        <v/>
      </c>
      <c r="M492" s="21" t="str">
        <f>IF(A492="","",IFERROR(IF(SUMIF(N$2:N492,"CASA",K$2:K492)=0,"",SUMIF(N$2:N492,"CASA",K$2:K492)),""))</f>
        <v/>
      </c>
      <c r="N492" s="17" t="str">
        <f>IF(J492="","",IF(J492=0.2,"CASA",IF(Dati!G492="","",Dati!G492)))</f>
        <v/>
      </c>
    </row>
    <row r="493" spans="1:14" ht="15" customHeight="1" x14ac:dyDescent="0.2">
      <c r="A493" s="23" t="str">
        <f>IF(Dati!A493="","",Dati!A493)</f>
        <v/>
      </c>
      <c r="B493" s="17" t="str">
        <f>IF(Dati!B493="","",Dati!B493)</f>
        <v/>
      </c>
      <c r="C493" s="17" t="str">
        <f>IF(B493="","",IF(ISNUMBER(B492),IF(B493-B492&lt;0,B493,IF(B493-B492=0,"",B493-B492)),B493))</f>
        <v/>
      </c>
      <c r="D493" s="18" t="str">
        <f>IF(Dati!C493="","",IF(Dati!C493&gt;1,Dati!C493/100,Dati!C493))</f>
        <v/>
      </c>
      <c r="E493" s="18" t="str">
        <f>IF(Dati!D493="","",IF(Dati!D493&gt;1,Dati!D493/100,Dati!D493))</f>
        <v/>
      </c>
      <c r="F493" s="18" t="str">
        <f>IF(OR(D493="",E493=""),"",IF(OR(D493&gt;1,E493&gt;1),(E493-D493)/100,E493-D493))</f>
        <v/>
      </c>
      <c r="G493" s="17" t="str">
        <f>IF(F493="","",IF(64*F493=0,"",64*F493))</f>
        <v/>
      </c>
      <c r="H493" s="19" t="str">
        <f>IF(Dati!E493="","",Dati!E493)</f>
        <v/>
      </c>
      <c r="I493" s="19" t="str">
        <f>IFERROR(IF(OR(C493="",C493=0),"",H493/C493*100),"")</f>
        <v/>
      </c>
      <c r="J493" s="20" t="str">
        <f>IF(Dati!F493="","",Dati!F493)</f>
        <v/>
      </c>
      <c r="K493" s="19" t="str">
        <f>IF(OR(H493="",J493=""),"",IF(H493*J493=0,"",H493*J493))</f>
        <v/>
      </c>
      <c r="L493" s="19" t="str">
        <f>IF(A493="","",IFERROR(IF(SUMPRODUCT((ISNUMBER(A$2:A493))*(A$2:A493&gt;1000)*(MONTH(IF(ISNUMBER(A$2:A493),A$2:A493,1))=MONTH(A493))*(YEAR(IF(ISNUMBER(A$2:A493),A$2:A493,1))=YEAR(A493))*IF(ISNUMBER(K$2:K493),K$2:K493,0))=0,"",SUMPRODUCT((ISNUMBER(A$2:A493))*(A$2:A493&gt;1000)*(MONTH(IF(ISNUMBER(A$2:A493),A$2:A493,1))=MONTH(A493))*(YEAR(IF(ISNUMBER(A$2:A493),A$2:A493,1))=YEAR(A493))*IF(ISNUMBER(K$2:K493),K$2:K493,0))),""))</f>
        <v/>
      </c>
      <c r="M493" s="21" t="str">
        <f>IF(A493="","",IFERROR(IF(SUMIF(N$2:N493,"CASA",K$2:K493)=0,"",SUMIF(N$2:N493,"CASA",K$2:K493)),""))</f>
        <v/>
      </c>
      <c r="N493" s="17" t="str">
        <f>IF(J493="","",IF(J493=0.2,"CASA",IF(Dati!G493="","",Dati!G493)))</f>
        <v/>
      </c>
    </row>
    <row r="494" spans="1:14" ht="15" customHeight="1" x14ac:dyDescent="0.2">
      <c r="A494" s="23" t="str">
        <f>IF(Dati!A494="","",Dati!A494)</f>
        <v/>
      </c>
      <c r="B494" s="17" t="str">
        <f>IF(Dati!B494="","",Dati!B494)</f>
        <v/>
      </c>
      <c r="C494" s="17" t="str">
        <f>IF(B494="","",IF(ISNUMBER(B493),IF(B494-B493&lt;0,B494,IF(B494-B493=0,"",B494-B493)),B494))</f>
        <v/>
      </c>
      <c r="D494" s="18" t="str">
        <f>IF(Dati!C494="","",IF(Dati!C494&gt;1,Dati!C494/100,Dati!C494))</f>
        <v/>
      </c>
      <c r="E494" s="18" t="str">
        <f>IF(Dati!D494="","",IF(Dati!D494&gt;1,Dati!D494/100,Dati!D494))</f>
        <v/>
      </c>
      <c r="F494" s="18" t="str">
        <f>IF(OR(D494="",E494=""),"",IF(OR(D494&gt;1,E494&gt;1),(E494-D494)/100,E494-D494))</f>
        <v/>
      </c>
      <c r="G494" s="17" t="str">
        <f>IF(F494="","",IF(64*F494=0,"",64*F494))</f>
        <v/>
      </c>
      <c r="H494" s="19" t="str">
        <f>IF(Dati!E494="","",Dati!E494)</f>
        <v/>
      </c>
      <c r="I494" s="19" t="str">
        <f>IFERROR(IF(OR(C494="",C494=0),"",H494/C494*100),"")</f>
        <v/>
      </c>
      <c r="J494" s="20" t="str">
        <f>IF(Dati!F494="","",Dati!F494)</f>
        <v/>
      </c>
      <c r="K494" s="19" t="str">
        <f>IF(OR(H494="",J494=""),"",IF(H494*J494=0,"",H494*J494))</f>
        <v/>
      </c>
      <c r="L494" s="19" t="str">
        <f>IF(A494="","",IFERROR(IF(SUMPRODUCT((ISNUMBER(A$2:A494))*(A$2:A494&gt;1000)*(MONTH(IF(ISNUMBER(A$2:A494),A$2:A494,1))=MONTH(A494))*(YEAR(IF(ISNUMBER(A$2:A494),A$2:A494,1))=YEAR(A494))*IF(ISNUMBER(K$2:K494),K$2:K494,0))=0,"",SUMPRODUCT((ISNUMBER(A$2:A494))*(A$2:A494&gt;1000)*(MONTH(IF(ISNUMBER(A$2:A494),A$2:A494,1))=MONTH(A494))*(YEAR(IF(ISNUMBER(A$2:A494),A$2:A494,1))=YEAR(A494))*IF(ISNUMBER(K$2:K494),K$2:K494,0))),""))</f>
        <v/>
      </c>
      <c r="M494" s="21" t="str">
        <f>IF(A494="","",IFERROR(IF(SUMIF(N$2:N494,"CASA",K$2:K494)=0,"",SUMIF(N$2:N494,"CASA",K$2:K494)),""))</f>
        <v/>
      </c>
      <c r="N494" s="17" t="str">
        <f>IF(J494="","",IF(J494=0.2,"CASA",IF(Dati!G494="","",Dati!G494)))</f>
        <v/>
      </c>
    </row>
    <row r="495" spans="1:14" ht="15" customHeight="1" x14ac:dyDescent="0.2">
      <c r="A495" s="23" t="str">
        <f>IF(Dati!A495="","",Dati!A495)</f>
        <v/>
      </c>
      <c r="B495" s="17" t="str">
        <f>IF(Dati!B495="","",Dati!B495)</f>
        <v/>
      </c>
      <c r="C495" s="17" t="str">
        <f>IF(B495="","",IF(ISNUMBER(B494),IF(B495-B494&lt;0,B495,IF(B495-B494=0,"",B495-B494)),B495))</f>
        <v/>
      </c>
      <c r="D495" s="18" t="str">
        <f>IF(Dati!C495="","",IF(Dati!C495&gt;1,Dati!C495/100,Dati!C495))</f>
        <v/>
      </c>
      <c r="E495" s="18" t="str">
        <f>IF(Dati!D495="","",IF(Dati!D495&gt;1,Dati!D495/100,Dati!D495))</f>
        <v/>
      </c>
      <c r="F495" s="18" t="str">
        <f>IF(OR(D495="",E495=""),"",IF(OR(D495&gt;1,E495&gt;1),(E495-D495)/100,E495-D495))</f>
        <v/>
      </c>
      <c r="G495" s="17" t="str">
        <f>IF(F495="","",IF(64*F495=0,"",64*F495))</f>
        <v/>
      </c>
      <c r="H495" s="19" t="str">
        <f>IF(Dati!E495="","",Dati!E495)</f>
        <v/>
      </c>
      <c r="I495" s="19" t="str">
        <f>IFERROR(IF(OR(C495="",C495=0),"",H495/C495*100),"")</f>
        <v/>
      </c>
      <c r="J495" s="20" t="str">
        <f>IF(Dati!F495="","",Dati!F495)</f>
        <v/>
      </c>
      <c r="K495" s="19" t="str">
        <f>IF(OR(H495="",J495=""),"",IF(H495*J495=0,"",H495*J495))</f>
        <v/>
      </c>
      <c r="L495" s="19" t="str">
        <f>IF(A495="","",IFERROR(IF(SUMPRODUCT((ISNUMBER(A$2:A495))*(A$2:A495&gt;1000)*(MONTH(IF(ISNUMBER(A$2:A495),A$2:A495,1))=MONTH(A495))*(YEAR(IF(ISNUMBER(A$2:A495),A$2:A495,1))=YEAR(A495))*IF(ISNUMBER(K$2:K495),K$2:K495,0))=0,"",SUMPRODUCT((ISNUMBER(A$2:A495))*(A$2:A495&gt;1000)*(MONTH(IF(ISNUMBER(A$2:A495),A$2:A495,1))=MONTH(A495))*(YEAR(IF(ISNUMBER(A$2:A495),A$2:A495,1))=YEAR(A495))*IF(ISNUMBER(K$2:K495),K$2:K495,0))),""))</f>
        <v/>
      </c>
      <c r="M495" s="21" t="str">
        <f>IF(A495="","",IFERROR(IF(SUMIF(N$2:N495,"CASA",K$2:K495)=0,"",SUMIF(N$2:N495,"CASA",K$2:K495)),""))</f>
        <v/>
      </c>
      <c r="N495" s="17" t="str">
        <f>IF(J495="","",IF(J495=0.2,"CASA",IF(Dati!G495="","",Dati!G495)))</f>
        <v/>
      </c>
    </row>
    <row r="496" spans="1:14" ht="15" customHeight="1" x14ac:dyDescent="0.2">
      <c r="A496" s="23" t="str">
        <f>IF(Dati!A496="","",Dati!A496)</f>
        <v/>
      </c>
      <c r="B496" s="17" t="str">
        <f>IF(Dati!B496="","",Dati!B496)</f>
        <v/>
      </c>
      <c r="C496" s="17" t="str">
        <f>IF(B496="","",IF(ISNUMBER(B495),IF(B496-B495&lt;0,B496,IF(B496-B495=0,"",B496-B495)),B496))</f>
        <v/>
      </c>
      <c r="D496" s="18" t="str">
        <f>IF(Dati!C496="","",IF(Dati!C496&gt;1,Dati!C496/100,Dati!C496))</f>
        <v/>
      </c>
      <c r="E496" s="18" t="str">
        <f>IF(Dati!D496="","",IF(Dati!D496&gt;1,Dati!D496/100,Dati!D496))</f>
        <v/>
      </c>
      <c r="F496" s="18" t="str">
        <f>IF(OR(D496="",E496=""),"",IF(OR(D496&gt;1,E496&gt;1),(E496-D496)/100,E496-D496))</f>
        <v/>
      </c>
      <c r="G496" s="17" t="str">
        <f>IF(F496="","",IF(64*F496=0,"",64*F496))</f>
        <v/>
      </c>
      <c r="H496" s="19" t="str">
        <f>IF(Dati!E496="","",Dati!E496)</f>
        <v/>
      </c>
      <c r="I496" s="19" t="str">
        <f>IFERROR(IF(OR(C496="",C496=0),"",H496/C496*100),"")</f>
        <v/>
      </c>
      <c r="J496" s="20" t="str">
        <f>IF(Dati!F496="","",Dati!F496)</f>
        <v/>
      </c>
      <c r="K496" s="19" t="str">
        <f>IF(OR(H496="",J496=""),"",IF(H496*J496=0,"",H496*J496))</f>
        <v/>
      </c>
      <c r="L496" s="19" t="str">
        <f>IF(A496="","",IFERROR(IF(SUMPRODUCT((ISNUMBER(A$2:A496))*(A$2:A496&gt;1000)*(MONTH(IF(ISNUMBER(A$2:A496),A$2:A496,1))=MONTH(A496))*(YEAR(IF(ISNUMBER(A$2:A496),A$2:A496,1))=YEAR(A496))*IF(ISNUMBER(K$2:K496),K$2:K496,0))=0,"",SUMPRODUCT((ISNUMBER(A$2:A496))*(A$2:A496&gt;1000)*(MONTH(IF(ISNUMBER(A$2:A496),A$2:A496,1))=MONTH(A496))*(YEAR(IF(ISNUMBER(A$2:A496),A$2:A496,1))=YEAR(A496))*IF(ISNUMBER(K$2:K496),K$2:K496,0))),""))</f>
        <v/>
      </c>
      <c r="M496" s="21" t="str">
        <f>IF(A496="","",IFERROR(IF(SUMIF(N$2:N496,"CASA",K$2:K496)=0,"",SUMIF(N$2:N496,"CASA",K$2:K496)),""))</f>
        <v/>
      </c>
      <c r="N496" s="17" t="str">
        <f>IF(J496="","",IF(J496=0.2,"CASA",IF(Dati!G496="","",Dati!G496)))</f>
        <v/>
      </c>
    </row>
    <row r="497" spans="1:14" ht="15" customHeight="1" x14ac:dyDescent="0.2">
      <c r="A497" s="23" t="str">
        <f>IF(Dati!A497="","",Dati!A497)</f>
        <v/>
      </c>
      <c r="B497" s="17" t="str">
        <f>IF(Dati!B497="","",Dati!B497)</f>
        <v/>
      </c>
      <c r="C497" s="17" t="str">
        <f>IF(B497="","",IF(ISNUMBER(B496),IF(B497-B496&lt;0,B497,IF(B497-B496=0,"",B497-B496)),B497))</f>
        <v/>
      </c>
      <c r="D497" s="18" t="str">
        <f>IF(Dati!C497="","",IF(Dati!C497&gt;1,Dati!C497/100,Dati!C497))</f>
        <v/>
      </c>
      <c r="E497" s="18" t="str">
        <f>IF(Dati!D497="","",IF(Dati!D497&gt;1,Dati!D497/100,Dati!D497))</f>
        <v/>
      </c>
      <c r="F497" s="18" t="str">
        <f>IF(OR(D497="",E497=""),"",IF(OR(D497&gt;1,E497&gt;1),(E497-D497)/100,E497-D497))</f>
        <v/>
      </c>
      <c r="G497" s="17" t="str">
        <f>IF(F497="","",IF(64*F497=0,"",64*F497))</f>
        <v/>
      </c>
      <c r="H497" s="19" t="str">
        <f>IF(Dati!E497="","",Dati!E497)</f>
        <v/>
      </c>
      <c r="I497" s="19" t="str">
        <f>IFERROR(IF(OR(C497="",C497=0),"",H497/C497*100),"")</f>
        <v/>
      </c>
      <c r="J497" s="20" t="str">
        <f>IF(Dati!F497="","",Dati!F497)</f>
        <v/>
      </c>
      <c r="K497" s="19" t="str">
        <f>IF(OR(H497="",J497=""),"",IF(H497*J497=0,"",H497*J497))</f>
        <v/>
      </c>
      <c r="L497" s="19" t="str">
        <f>IF(A497="","",IFERROR(IF(SUMPRODUCT((ISNUMBER(A$2:A497))*(A$2:A497&gt;1000)*(MONTH(IF(ISNUMBER(A$2:A497),A$2:A497,1))=MONTH(A497))*(YEAR(IF(ISNUMBER(A$2:A497),A$2:A497,1))=YEAR(A497))*IF(ISNUMBER(K$2:K497),K$2:K497,0))=0,"",SUMPRODUCT((ISNUMBER(A$2:A497))*(A$2:A497&gt;1000)*(MONTH(IF(ISNUMBER(A$2:A497),A$2:A497,1))=MONTH(A497))*(YEAR(IF(ISNUMBER(A$2:A497),A$2:A497,1))=YEAR(A497))*IF(ISNUMBER(K$2:K497),K$2:K497,0))),""))</f>
        <v/>
      </c>
      <c r="M497" s="21" t="str">
        <f>IF(A497="","",IFERROR(IF(SUMIF(N$2:N497,"CASA",K$2:K497)=0,"",SUMIF(N$2:N497,"CASA",K$2:K497)),""))</f>
        <v/>
      </c>
      <c r="N497" s="17" t="str">
        <f>IF(J497="","",IF(J497=0.2,"CASA",IF(Dati!G497="","",Dati!G497)))</f>
        <v/>
      </c>
    </row>
    <row r="498" spans="1:14" ht="15" customHeight="1" x14ac:dyDescent="0.2">
      <c r="A498" s="23" t="str">
        <f>IF(Dati!A498="","",Dati!A498)</f>
        <v/>
      </c>
      <c r="B498" s="17" t="str">
        <f>IF(Dati!B498="","",Dati!B498)</f>
        <v/>
      </c>
      <c r="C498" s="17" t="str">
        <f>IF(B498="","",IF(ISNUMBER(B497),IF(B498-B497&lt;0,B498,IF(B498-B497=0,"",B498-B497)),B498))</f>
        <v/>
      </c>
      <c r="D498" s="18" t="str">
        <f>IF(Dati!C498="","",IF(Dati!C498&gt;1,Dati!C498/100,Dati!C498))</f>
        <v/>
      </c>
      <c r="E498" s="18" t="str">
        <f>IF(Dati!D498="","",IF(Dati!D498&gt;1,Dati!D498/100,Dati!D498))</f>
        <v/>
      </c>
      <c r="F498" s="18" t="str">
        <f>IF(OR(D498="",E498=""),"",IF(OR(D498&gt;1,E498&gt;1),(E498-D498)/100,E498-D498))</f>
        <v/>
      </c>
      <c r="G498" s="17" t="str">
        <f>IF(F498="","",IF(64*F498=0,"",64*F498))</f>
        <v/>
      </c>
      <c r="H498" s="19" t="str">
        <f>IF(Dati!E498="","",Dati!E498)</f>
        <v/>
      </c>
      <c r="I498" s="19" t="str">
        <f>IFERROR(IF(OR(C498="",C498=0),"",H498/C498*100),"")</f>
        <v/>
      </c>
      <c r="J498" s="20" t="str">
        <f>IF(Dati!F498="","",Dati!F498)</f>
        <v/>
      </c>
      <c r="K498" s="19" t="str">
        <f>IF(OR(H498="",J498=""),"",IF(H498*J498=0,"",H498*J498))</f>
        <v/>
      </c>
      <c r="L498" s="19" t="str">
        <f>IF(A498="","",IFERROR(IF(SUMPRODUCT((ISNUMBER(A$2:A498))*(A$2:A498&gt;1000)*(MONTH(IF(ISNUMBER(A$2:A498),A$2:A498,1))=MONTH(A498))*(YEAR(IF(ISNUMBER(A$2:A498),A$2:A498,1))=YEAR(A498))*IF(ISNUMBER(K$2:K498),K$2:K498,0))=0,"",SUMPRODUCT((ISNUMBER(A$2:A498))*(A$2:A498&gt;1000)*(MONTH(IF(ISNUMBER(A$2:A498),A$2:A498,1))=MONTH(A498))*(YEAR(IF(ISNUMBER(A$2:A498),A$2:A498,1))=YEAR(A498))*IF(ISNUMBER(K$2:K498),K$2:K498,0))),""))</f>
        <v/>
      </c>
      <c r="M498" s="21" t="str">
        <f>IF(A498="","",IFERROR(IF(SUMIF(N$2:N498,"CASA",K$2:K498)=0,"",SUMIF(N$2:N498,"CASA",K$2:K498)),""))</f>
        <v/>
      </c>
      <c r="N498" s="17" t="str">
        <f>IF(J498="","",IF(J498=0.2,"CASA",IF(Dati!G498="","",Dati!G498)))</f>
        <v/>
      </c>
    </row>
    <row r="499" spans="1:14" ht="15" customHeight="1" x14ac:dyDescent="0.2">
      <c r="A499" s="23" t="str">
        <f>IF(Dati!A499="","",Dati!A499)</f>
        <v/>
      </c>
      <c r="B499" s="17" t="str">
        <f>IF(Dati!B499="","",Dati!B499)</f>
        <v/>
      </c>
      <c r="C499" s="17" t="str">
        <f>IF(B499="","",IF(ISNUMBER(B498),IF(B499-B498&lt;0,B499,IF(B499-B498=0,"",B499-B498)),B499))</f>
        <v/>
      </c>
      <c r="D499" s="18" t="str">
        <f>IF(Dati!C499="","",IF(Dati!C499&gt;1,Dati!C499/100,Dati!C499))</f>
        <v/>
      </c>
      <c r="E499" s="18" t="str">
        <f>IF(Dati!D499="","",IF(Dati!D499&gt;1,Dati!D499/100,Dati!D499))</f>
        <v/>
      </c>
      <c r="F499" s="18" t="str">
        <f>IF(OR(D499="",E499=""),"",IF(OR(D499&gt;1,E499&gt;1),(E499-D499)/100,E499-D499))</f>
        <v/>
      </c>
      <c r="G499" s="17" t="str">
        <f>IF(F499="","",IF(64*F499=0,"",64*F499))</f>
        <v/>
      </c>
      <c r="H499" s="19" t="str">
        <f>IF(Dati!E499="","",Dati!E499)</f>
        <v/>
      </c>
      <c r="I499" s="19" t="str">
        <f>IFERROR(IF(OR(C499="",C499=0),"",H499/C499*100),"")</f>
        <v/>
      </c>
      <c r="J499" s="20" t="str">
        <f>IF(Dati!F499="","",Dati!F499)</f>
        <v/>
      </c>
      <c r="K499" s="19" t="str">
        <f>IF(OR(H499="",J499=""),"",IF(H499*J499=0,"",H499*J499))</f>
        <v/>
      </c>
      <c r="L499" s="19" t="str">
        <f>IF(A499="","",IFERROR(IF(SUMPRODUCT((ISNUMBER(A$2:A499))*(A$2:A499&gt;1000)*(MONTH(IF(ISNUMBER(A$2:A499),A$2:A499,1))=MONTH(A499))*(YEAR(IF(ISNUMBER(A$2:A499),A$2:A499,1))=YEAR(A499))*IF(ISNUMBER(K$2:K499),K$2:K499,0))=0,"",SUMPRODUCT((ISNUMBER(A$2:A499))*(A$2:A499&gt;1000)*(MONTH(IF(ISNUMBER(A$2:A499),A$2:A499,1))=MONTH(A499))*(YEAR(IF(ISNUMBER(A$2:A499),A$2:A499,1))=YEAR(A499))*IF(ISNUMBER(K$2:K499),K$2:K499,0))),""))</f>
        <v/>
      </c>
      <c r="M499" s="21" t="str">
        <f>IF(A499="","",IFERROR(IF(SUMIF(N$2:N499,"CASA",K$2:K499)=0,"",SUMIF(N$2:N499,"CASA",K$2:K499)),""))</f>
        <v/>
      </c>
      <c r="N499" s="17" t="str">
        <f>IF(J499="","",IF(J499=0.2,"CASA",IF(Dati!G499="","",Dati!G499)))</f>
        <v/>
      </c>
    </row>
    <row r="500" spans="1:14" ht="15" customHeight="1" x14ac:dyDescent="0.2">
      <c r="A500" s="23" t="str">
        <f>IF(Dati!A500="","",Dati!A500)</f>
        <v/>
      </c>
      <c r="B500" s="17" t="str">
        <f>IF(Dati!B500="","",Dati!B500)</f>
        <v/>
      </c>
      <c r="C500" s="17" t="str">
        <f>IF(B500="","",IF(ISNUMBER(B499),IF(B500-B499&lt;0,B500,IF(B500-B499=0,"",B500-B499)),B500))</f>
        <v/>
      </c>
      <c r="D500" s="18" t="str">
        <f>IF(Dati!C500="","",IF(Dati!C500&gt;1,Dati!C500/100,Dati!C500))</f>
        <v/>
      </c>
      <c r="E500" s="18" t="str">
        <f>IF(Dati!D500="","",IF(Dati!D500&gt;1,Dati!D500/100,Dati!D500))</f>
        <v/>
      </c>
      <c r="F500" s="18" t="str">
        <f>IF(OR(D500="",E500=""),"",IF(OR(D500&gt;1,E500&gt;1),(E500-D500)/100,E500-D500))</f>
        <v/>
      </c>
      <c r="G500" s="17" t="str">
        <f>IF(F500="","",IF(64*F500=0,"",64*F500))</f>
        <v/>
      </c>
      <c r="H500" s="19" t="str">
        <f>IF(Dati!E500="","",Dati!E500)</f>
        <v/>
      </c>
      <c r="I500" s="19" t="str">
        <f>IFERROR(IF(OR(C500="",C500=0),"",H500/C500*100),"")</f>
        <v/>
      </c>
      <c r="J500" s="20" t="str">
        <f>IF(Dati!F500="","",Dati!F500)</f>
        <v/>
      </c>
      <c r="K500" s="19" t="str">
        <f>IF(OR(H500="",J500=""),"",IF(H500*J500=0,"",H500*J500))</f>
        <v/>
      </c>
      <c r="L500" s="19" t="str">
        <f>IF(A500="","",IFERROR(IF(SUMPRODUCT((ISNUMBER(A$2:A500))*(A$2:A500&gt;1000)*(MONTH(IF(ISNUMBER(A$2:A500),A$2:A500,1))=MONTH(A500))*(YEAR(IF(ISNUMBER(A$2:A500),A$2:A500,1))=YEAR(A500))*IF(ISNUMBER(K$2:K500),K$2:K500,0))=0,"",SUMPRODUCT((ISNUMBER(A$2:A500))*(A$2:A500&gt;1000)*(MONTH(IF(ISNUMBER(A$2:A500),A$2:A500,1))=MONTH(A500))*(YEAR(IF(ISNUMBER(A$2:A500),A$2:A500,1))=YEAR(A500))*IF(ISNUMBER(K$2:K500),K$2:K500,0))),""))</f>
        <v/>
      </c>
      <c r="M500" s="21" t="str">
        <f>IF(A500="","",IFERROR(IF(SUMIF(N$2:N500,"CASA",K$2:K500)=0,"",SUMIF(N$2:N500,"CASA",K$2:K500)),""))</f>
        <v/>
      </c>
      <c r="N500" s="17" t="str">
        <f>IF(J500="","",IF(J500=0.2,"CASA",IF(Dati!G500="","",Dati!G500)))</f>
        <v/>
      </c>
    </row>
    <row r="501" spans="1:14" ht="15" customHeight="1" x14ac:dyDescent="0.2">
      <c r="A501" s="23" t="str">
        <f>IF(Dati!A501="","",Dati!A501)</f>
        <v/>
      </c>
      <c r="B501" s="17" t="str">
        <f>IF(Dati!B501="","",Dati!B501)</f>
        <v/>
      </c>
      <c r="C501" s="17" t="str">
        <f>IF(B501="","",IF(ISNUMBER(B500),IF(B501-B500&lt;0,B501,IF(B501-B500=0,"",B501-B500)),B501))</f>
        <v/>
      </c>
      <c r="D501" s="18" t="str">
        <f>IF(Dati!C501="","",IF(Dati!C501&gt;1,Dati!C501/100,Dati!C501))</f>
        <v/>
      </c>
      <c r="E501" s="18" t="str">
        <f>IF(Dati!D501="","",IF(Dati!D501&gt;1,Dati!D501/100,Dati!D501))</f>
        <v/>
      </c>
      <c r="F501" s="18" t="str">
        <f>IF(OR(D501="",E501=""),"",IF(OR(D501&gt;1,E501&gt;1),(E501-D501)/100,E501-D501))</f>
        <v/>
      </c>
      <c r="G501" s="17" t="str">
        <f>IF(F501="","",IF(64*F501=0,"",64*F501))</f>
        <v/>
      </c>
      <c r="H501" s="19" t="str">
        <f>IF(Dati!E501="","",Dati!E501)</f>
        <v/>
      </c>
      <c r="I501" s="19" t="str">
        <f>IFERROR(IF(OR(C501="",C501=0),"",H501/C501*100),"")</f>
        <v/>
      </c>
      <c r="J501" s="20" t="str">
        <f>IF(Dati!F501="","",Dati!F501)</f>
        <v/>
      </c>
      <c r="K501" s="19" t="str">
        <f>IF(OR(H501="",J501=""),"",IF(H501*J501=0,"",H501*J501))</f>
        <v/>
      </c>
      <c r="L501" s="19" t="str">
        <f>IF(A501="","",IFERROR(IF(SUMPRODUCT((ISNUMBER(A$2:A501))*(A$2:A501&gt;1000)*(MONTH(IF(ISNUMBER(A$2:A501),A$2:A501,1))=MONTH(A501))*(YEAR(IF(ISNUMBER(A$2:A501),A$2:A501,1))=YEAR(A501))*IF(ISNUMBER(K$2:K501),K$2:K501,0))=0,"",SUMPRODUCT((ISNUMBER(A$2:A501))*(A$2:A501&gt;1000)*(MONTH(IF(ISNUMBER(A$2:A501),A$2:A501,1))=MONTH(A501))*(YEAR(IF(ISNUMBER(A$2:A501),A$2:A501,1))=YEAR(A501))*IF(ISNUMBER(K$2:K501),K$2:K501,0))),""))</f>
        <v/>
      </c>
      <c r="M501" s="21" t="str">
        <f>IF(A501="","",IFERROR(IF(SUMIF(N$2:N501,"CASA",K$2:K501)=0,"",SUMIF(N$2:N501,"CASA",K$2:K501)),""))</f>
        <v/>
      </c>
      <c r="N501" s="17" t="str">
        <f>IF(J501="","",IF(J501=0.2,"CASA",IF(Dati!G501="","",Dati!G501)))</f>
        <v/>
      </c>
    </row>
    <row r="502" spans="1:14" ht="15" customHeight="1" x14ac:dyDescent="0.2">
      <c r="A502" s="23" t="str">
        <f>IF(Dati!A502="","",Dati!A502)</f>
        <v/>
      </c>
      <c r="B502" s="17" t="str">
        <f>IF(Dati!B502="","",Dati!B502)</f>
        <v/>
      </c>
      <c r="C502" s="17" t="str">
        <f>IF(B502="","",IF(ISNUMBER(B501),IF(B502-B501&lt;0,B502,IF(B502-B501=0,"",B502-B501)),B502))</f>
        <v/>
      </c>
      <c r="D502" s="18" t="str">
        <f>IF(Dati!C502="","",IF(Dati!C502&gt;1,Dati!C502/100,Dati!C502))</f>
        <v/>
      </c>
      <c r="E502" s="18" t="str">
        <f>IF(Dati!D502="","",IF(Dati!D502&gt;1,Dati!D502/100,Dati!D502))</f>
        <v/>
      </c>
      <c r="F502" s="18" t="str">
        <f>IF(OR(D502="",E502=""),"",IF(OR(D502&gt;1,E502&gt;1),(E502-D502)/100,E502-D502))</f>
        <v/>
      </c>
      <c r="G502" s="17" t="str">
        <f>IF(F502="","",IF(64*F502=0,"",64*F502))</f>
        <v/>
      </c>
      <c r="H502" s="19" t="str">
        <f>IF(Dati!E502="","",Dati!E502)</f>
        <v/>
      </c>
      <c r="I502" s="19" t="str">
        <f>IFERROR(IF(OR(C502="",C502=0),"",H502/C502*100),"")</f>
        <v/>
      </c>
      <c r="J502" s="20" t="str">
        <f>IF(Dati!F502="","",Dati!F502)</f>
        <v/>
      </c>
      <c r="K502" s="19" t="str">
        <f>IF(OR(H502="",J502=""),"",IF(H502*J502=0,"",H502*J502))</f>
        <v/>
      </c>
      <c r="L502" s="19" t="str">
        <f>IF(A502="","",IFERROR(IF(SUMPRODUCT((ISNUMBER(A$2:A502))*(A$2:A502&gt;1000)*(MONTH(IF(ISNUMBER(A$2:A502),A$2:A502,1))=MONTH(A502))*(YEAR(IF(ISNUMBER(A$2:A502),A$2:A502,1))=YEAR(A502))*IF(ISNUMBER(K$2:K502),K$2:K502,0))=0,"",SUMPRODUCT((ISNUMBER(A$2:A502))*(A$2:A502&gt;1000)*(MONTH(IF(ISNUMBER(A$2:A502),A$2:A502,1))=MONTH(A502))*(YEAR(IF(ISNUMBER(A$2:A502),A$2:A502,1))=YEAR(A502))*IF(ISNUMBER(K$2:K502),K$2:K502,0))),""))</f>
        <v/>
      </c>
      <c r="M502" s="21" t="str">
        <f>IF(A502="","",IFERROR(IF(SUMIF(N$2:N502,"CASA",K$2:K502)=0,"",SUMIF(N$2:N502,"CASA",K$2:K502)),""))</f>
        <v/>
      </c>
      <c r="N502" s="17" t="str">
        <f>IF(J502="","",IF(J502=0.2,"CASA",IF(Dati!G502="","",Dati!G502)))</f>
        <v/>
      </c>
    </row>
    <row r="503" spans="1:14" ht="15" customHeight="1" x14ac:dyDescent="0.2">
      <c r="A503" s="23" t="str">
        <f>IF(Dati!A503="","",Dati!A503)</f>
        <v/>
      </c>
      <c r="B503" s="17" t="str">
        <f>IF(Dati!B503="","",Dati!B503)</f>
        <v/>
      </c>
      <c r="C503" s="17" t="str">
        <f>IF(B503="","",IF(ISNUMBER(B502),IF(B503-B502&lt;0,B503,IF(B503-B502=0,"",B503-B502)),B503))</f>
        <v/>
      </c>
      <c r="D503" s="18" t="str">
        <f>IF(Dati!C503="","",IF(Dati!C503&gt;1,Dati!C503/100,Dati!C503))</f>
        <v/>
      </c>
      <c r="E503" s="18" t="str">
        <f>IF(Dati!D503="","",IF(Dati!D503&gt;1,Dati!D503/100,Dati!D503))</f>
        <v/>
      </c>
      <c r="F503" s="18" t="str">
        <f>IF(OR(D503="",E503=""),"",IF(OR(D503&gt;1,E503&gt;1),(E503-D503)/100,E503-D503))</f>
        <v/>
      </c>
      <c r="G503" s="17" t="str">
        <f>IF(F503="","",IF(64*F503=0,"",64*F503))</f>
        <v/>
      </c>
      <c r="H503" s="19" t="str">
        <f>IF(Dati!E503="","",Dati!E503)</f>
        <v/>
      </c>
      <c r="I503" s="19" t="str">
        <f>IFERROR(IF(OR(C503="",C503=0),"",H503/C503*100),"")</f>
        <v/>
      </c>
      <c r="J503" s="20" t="str">
        <f>IF(Dati!F503="","",Dati!F503)</f>
        <v/>
      </c>
      <c r="K503" s="19" t="str">
        <f>IF(OR(H503="",J503=""),"",IF(H503*J503=0,"",H503*J503))</f>
        <v/>
      </c>
      <c r="L503" s="19" t="str">
        <f>IF(A503="","",IFERROR(IF(SUMPRODUCT((ISNUMBER(A$2:A503))*(A$2:A503&gt;1000)*(MONTH(IF(ISNUMBER(A$2:A503),A$2:A503,1))=MONTH(A503))*(YEAR(IF(ISNUMBER(A$2:A503),A$2:A503,1))=YEAR(A503))*IF(ISNUMBER(K$2:K503),K$2:K503,0))=0,"",SUMPRODUCT((ISNUMBER(A$2:A503))*(A$2:A503&gt;1000)*(MONTH(IF(ISNUMBER(A$2:A503),A$2:A503,1))=MONTH(A503))*(YEAR(IF(ISNUMBER(A$2:A503),A$2:A503,1))=YEAR(A503))*IF(ISNUMBER(K$2:K503),K$2:K503,0))),""))</f>
        <v/>
      </c>
      <c r="M503" s="21" t="str">
        <f>IF(A503="","",IFERROR(IF(SUMIF(N$2:N503,"CASA",K$2:K503)=0,"",SUMIF(N$2:N503,"CASA",K$2:K503)),""))</f>
        <v/>
      </c>
      <c r="N503" s="17" t="str">
        <f>IF(J503="","",IF(J503=0.2,"CASA",IF(Dati!G503="","",Dati!G503)))</f>
        <v/>
      </c>
    </row>
    <row r="504" spans="1:14" ht="15" customHeight="1" x14ac:dyDescent="0.2">
      <c r="A504" s="23" t="str">
        <f>IF(Dati!A504="","",Dati!A504)</f>
        <v/>
      </c>
      <c r="B504" s="17" t="str">
        <f>IF(Dati!B504="","",Dati!B504)</f>
        <v/>
      </c>
      <c r="C504" s="17" t="str">
        <f>IF(B504="","",IF(ISNUMBER(B503),IF(B504-B503&lt;0,B504,IF(B504-B503=0,"",B504-B503)),B504))</f>
        <v/>
      </c>
      <c r="D504" s="18" t="str">
        <f>IF(Dati!C504="","",IF(Dati!C504&gt;1,Dati!C504/100,Dati!C504))</f>
        <v/>
      </c>
      <c r="E504" s="18" t="str">
        <f>IF(Dati!D504="","",IF(Dati!D504&gt;1,Dati!D504/100,Dati!D504))</f>
        <v/>
      </c>
      <c r="F504" s="18" t="str">
        <f>IF(OR(D504="",E504=""),"",IF(OR(D504&gt;1,E504&gt;1),(E504-D504)/100,E504-D504))</f>
        <v/>
      </c>
      <c r="G504" s="17" t="str">
        <f>IF(F504="","",IF(64*F504=0,"",64*F504))</f>
        <v/>
      </c>
      <c r="H504" s="19" t="str">
        <f>IF(Dati!E504="","",Dati!E504)</f>
        <v/>
      </c>
      <c r="I504" s="19" t="str">
        <f>IFERROR(IF(OR(C504="",C504=0),"",H504/C504*100),"")</f>
        <v/>
      </c>
      <c r="J504" s="20" t="str">
        <f>IF(Dati!F504="","",Dati!F504)</f>
        <v/>
      </c>
      <c r="K504" s="19" t="str">
        <f>IF(OR(H504="",J504=""),"",IF(H504*J504=0,"",H504*J504))</f>
        <v/>
      </c>
      <c r="L504" s="19" t="str">
        <f>IF(A504="","",IFERROR(IF(SUMPRODUCT((ISNUMBER(A$2:A504))*(A$2:A504&gt;1000)*(MONTH(IF(ISNUMBER(A$2:A504),A$2:A504,1))=MONTH(A504))*(YEAR(IF(ISNUMBER(A$2:A504),A$2:A504,1))=YEAR(A504))*IF(ISNUMBER(K$2:K504),K$2:K504,0))=0,"",SUMPRODUCT((ISNUMBER(A$2:A504))*(A$2:A504&gt;1000)*(MONTH(IF(ISNUMBER(A$2:A504),A$2:A504,1))=MONTH(A504))*(YEAR(IF(ISNUMBER(A$2:A504),A$2:A504,1))=YEAR(A504))*IF(ISNUMBER(K$2:K504),K$2:K504,0))),""))</f>
        <v/>
      </c>
      <c r="M504" s="21" t="str">
        <f>IF(A504="","",IFERROR(IF(SUMIF(N$2:N504,"CASA",K$2:K504)=0,"",SUMIF(N$2:N504,"CASA",K$2:K504)),""))</f>
        <v/>
      </c>
      <c r="N504" s="17" t="str">
        <f>IF(J504="","",IF(J504=0.2,"CASA",IF(Dati!G504="","",Dati!G504)))</f>
        <v/>
      </c>
    </row>
    <row r="505" spans="1:14" ht="15" customHeight="1" x14ac:dyDescent="0.2">
      <c r="A505" s="23" t="str">
        <f>IF(Dati!A505="","",Dati!A505)</f>
        <v/>
      </c>
      <c r="B505" s="17" t="str">
        <f>IF(Dati!B505="","",Dati!B505)</f>
        <v/>
      </c>
      <c r="C505" s="17" t="str">
        <f>IF(B505="","",IF(ISNUMBER(B504),IF(B505-B504&lt;0,B505,IF(B505-B504=0,"",B505-B504)),B505))</f>
        <v/>
      </c>
      <c r="D505" s="18" t="str">
        <f>IF(Dati!C505="","",IF(Dati!C505&gt;1,Dati!C505/100,Dati!C505))</f>
        <v/>
      </c>
      <c r="E505" s="18" t="str">
        <f>IF(Dati!D505="","",IF(Dati!D505&gt;1,Dati!D505/100,Dati!D505))</f>
        <v/>
      </c>
      <c r="F505" s="18" t="str">
        <f>IF(OR(D505="",E505=""),"",IF(OR(D505&gt;1,E505&gt;1),(E505-D505)/100,E505-D505))</f>
        <v/>
      </c>
      <c r="G505" s="17" t="str">
        <f>IF(F505="","",IF(64*F505=0,"",64*F505))</f>
        <v/>
      </c>
      <c r="H505" s="19" t="str">
        <f>IF(Dati!E505="","",Dati!E505)</f>
        <v/>
      </c>
      <c r="I505" s="19" t="str">
        <f>IFERROR(IF(OR(C505="",C505=0),"",H505/C505*100),"")</f>
        <v/>
      </c>
      <c r="J505" s="20" t="str">
        <f>IF(Dati!F505="","",Dati!F505)</f>
        <v/>
      </c>
      <c r="K505" s="19" t="str">
        <f>IF(OR(H505="",J505=""),"",IF(H505*J505=0,"",H505*J505))</f>
        <v/>
      </c>
      <c r="L505" s="19" t="str">
        <f>IF(A505="","",IFERROR(IF(SUMPRODUCT((ISNUMBER(A$2:A505))*(A$2:A505&gt;1000)*(MONTH(IF(ISNUMBER(A$2:A505),A$2:A505,1))=MONTH(A505))*(YEAR(IF(ISNUMBER(A$2:A505),A$2:A505,1))=YEAR(A505))*IF(ISNUMBER(K$2:K505),K$2:K505,0))=0,"",SUMPRODUCT((ISNUMBER(A$2:A505))*(A$2:A505&gt;1000)*(MONTH(IF(ISNUMBER(A$2:A505),A$2:A505,1))=MONTH(A505))*(YEAR(IF(ISNUMBER(A$2:A505),A$2:A505,1))=YEAR(A505))*IF(ISNUMBER(K$2:K505),K$2:K505,0))),""))</f>
        <v/>
      </c>
      <c r="M505" s="21" t="str">
        <f>IF(A505="","",IFERROR(IF(SUMIF(N$2:N505,"CASA",K$2:K505)=0,"",SUMIF(N$2:N505,"CASA",K$2:K505)),""))</f>
        <v/>
      </c>
      <c r="N505" s="17" t="str">
        <f>IF(J505="","",IF(J505=0.2,"CASA",IF(Dati!G505="","",Dati!G505)))</f>
        <v/>
      </c>
    </row>
    <row r="506" spans="1:14" ht="15" customHeight="1" x14ac:dyDescent="0.2">
      <c r="A506" s="23" t="str">
        <f>IF(Dati!A506="","",Dati!A506)</f>
        <v/>
      </c>
      <c r="B506" s="17" t="str">
        <f>IF(Dati!B506="","",Dati!B506)</f>
        <v/>
      </c>
      <c r="C506" s="17" t="str">
        <f>IF(B506="","",IF(ISNUMBER(B505),IF(B506-B505&lt;0,B506,IF(B506-B505=0,"",B506-B505)),B506))</f>
        <v/>
      </c>
      <c r="D506" s="18" t="str">
        <f>IF(Dati!C506="","",IF(Dati!C506&gt;1,Dati!C506/100,Dati!C506))</f>
        <v/>
      </c>
      <c r="E506" s="18" t="str">
        <f>IF(Dati!D506="","",IF(Dati!D506&gt;1,Dati!D506/100,Dati!D506))</f>
        <v/>
      </c>
      <c r="F506" s="18" t="str">
        <f>IF(OR(D506="",E506=""),"",IF(OR(D506&gt;1,E506&gt;1),(E506-D506)/100,E506-D506))</f>
        <v/>
      </c>
      <c r="G506" s="17" t="str">
        <f>IF(F506="","",IF(64*F506=0,"",64*F506))</f>
        <v/>
      </c>
      <c r="H506" s="19" t="str">
        <f>IF(Dati!E506="","",Dati!E506)</f>
        <v/>
      </c>
      <c r="I506" s="19" t="str">
        <f>IFERROR(IF(OR(C506="",C506=0),"",H506/C506*100),"")</f>
        <v/>
      </c>
      <c r="J506" s="20" t="str">
        <f>IF(Dati!F506="","",Dati!F506)</f>
        <v/>
      </c>
      <c r="K506" s="19" t="str">
        <f>IF(OR(H506="",J506=""),"",IF(H506*J506=0,"",H506*J506))</f>
        <v/>
      </c>
      <c r="L506" s="19" t="str">
        <f>IF(A506="","",IFERROR(IF(SUMPRODUCT((ISNUMBER(A$2:A506))*(A$2:A506&gt;1000)*(MONTH(IF(ISNUMBER(A$2:A506),A$2:A506,1))=MONTH(A506))*(YEAR(IF(ISNUMBER(A$2:A506),A$2:A506,1))=YEAR(A506))*IF(ISNUMBER(K$2:K506),K$2:K506,0))=0,"",SUMPRODUCT((ISNUMBER(A$2:A506))*(A$2:A506&gt;1000)*(MONTH(IF(ISNUMBER(A$2:A506),A$2:A506,1))=MONTH(A506))*(YEAR(IF(ISNUMBER(A$2:A506),A$2:A506,1))=YEAR(A506))*IF(ISNUMBER(K$2:K506),K$2:K506,0))),""))</f>
        <v/>
      </c>
      <c r="M506" s="21" t="str">
        <f>IF(A506="","",IFERROR(IF(SUMIF(N$2:N506,"CASA",K$2:K506)=0,"",SUMIF(N$2:N506,"CASA",K$2:K506)),""))</f>
        <v/>
      </c>
      <c r="N506" s="17" t="str">
        <f>IF(J506="","",IF(J506=0.2,"CASA",IF(Dati!G506="","",Dati!G506)))</f>
        <v/>
      </c>
    </row>
    <row r="507" spans="1:14" ht="15" customHeight="1" x14ac:dyDescent="0.2">
      <c r="A507" s="23" t="str">
        <f>IF(Dati!A507="","",Dati!A507)</f>
        <v/>
      </c>
      <c r="B507" s="17" t="str">
        <f>IF(Dati!B507="","",Dati!B507)</f>
        <v/>
      </c>
      <c r="C507" s="17" t="str">
        <f>IF(B507="","",IF(ISNUMBER(B506),IF(B507-B506&lt;0,B507,IF(B507-B506=0,"",B507-B506)),B507))</f>
        <v/>
      </c>
      <c r="D507" s="18" t="str">
        <f>IF(Dati!C507="","",IF(Dati!C507&gt;1,Dati!C507/100,Dati!C507))</f>
        <v/>
      </c>
      <c r="E507" s="18" t="str">
        <f>IF(Dati!D507="","",IF(Dati!D507&gt;1,Dati!D507/100,Dati!D507))</f>
        <v/>
      </c>
      <c r="F507" s="18" t="str">
        <f>IF(OR(D507="",E507=""),"",IF(OR(D507&gt;1,E507&gt;1),(E507-D507)/100,E507-D507))</f>
        <v/>
      </c>
      <c r="G507" s="17" t="str">
        <f>IF(F507="","",IF(64*F507=0,"",64*F507))</f>
        <v/>
      </c>
      <c r="H507" s="19" t="str">
        <f>IF(Dati!E507="","",Dati!E507)</f>
        <v/>
      </c>
      <c r="I507" s="19" t="str">
        <f>IFERROR(IF(OR(C507="",C507=0),"",H507/C507*100),"")</f>
        <v/>
      </c>
      <c r="J507" s="20" t="str">
        <f>IF(Dati!F507="","",Dati!F507)</f>
        <v/>
      </c>
      <c r="K507" s="19" t="str">
        <f>IF(OR(H507="",J507=""),"",IF(H507*J507=0,"",H507*J507))</f>
        <v/>
      </c>
      <c r="L507" s="19" t="str">
        <f>IF(A507="","",IFERROR(IF(SUMPRODUCT((ISNUMBER(A$2:A507))*(A$2:A507&gt;1000)*(MONTH(IF(ISNUMBER(A$2:A507),A$2:A507,1))=MONTH(A507))*(YEAR(IF(ISNUMBER(A$2:A507),A$2:A507,1))=YEAR(A507))*IF(ISNUMBER(K$2:K507),K$2:K507,0))=0,"",SUMPRODUCT((ISNUMBER(A$2:A507))*(A$2:A507&gt;1000)*(MONTH(IF(ISNUMBER(A$2:A507),A$2:A507,1))=MONTH(A507))*(YEAR(IF(ISNUMBER(A$2:A507),A$2:A507,1))=YEAR(A507))*IF(ISNUMBER(K$2:K507),K$2:K507,0))),""))</f>
        <v/>
      </c>
      <c r="M507" s="21" t="str">
        <f>IF(A507="","",IFERROR(IF(SUMIF(N$2:N507,"CASA",K$2:K507)=0,"",SUMIF(N$2:N507,"CASA",K$2:K507)),""))</f>
        <v/>
      </c>
      <c r="N507" s="17" t="str">
        <f>IF(J507="","",IF(J507=0.2,"CASA",IF(Dati!G507="","",Dati!G507)))</f>
        <v/>
      </c>
    </row>
    <row r="508" spans="1:14" ht="15" customHeight="1" x14ac:dyDescent="0.2">
      <c r="A508" s="23" t="str">
        <f>IF(Dati!A508="","",Dati!A508)</f>
        <v/>
      </c>
      <c r="B508" s="17" t="str">
        <f>IF(Dati!B508="","",Dati!B508)</f>
        <v/>
      </c>
      <c r="C508" s="17" t="str">
        <f>IF(B508="","",IF(ISNUMBER(B507),IF(B508-B507&lt;0,B508,IF(B508-B507=0,"",B508-B507)),B508))</f>
        <v/>
      </c>
      <c r="D508" s="18" t="str">
        <f>IF(Dati!C508="","",IF(Dati!C508&gt;1,Dati!C508/100,Dati!C508))</f>
        <v/>
      </c>
      <c r="E508" s="18" t="str">
        <f>IF(Dati!D508="","",IF(Dati!D508&gt;1,Dati!D508/100,Dati!D508))</f>
        <v/>
      </c>
      <c r="F508" s="18" t="str">
        <f>IF(OR(D508="",E508=""),"",IF(OR(D508&gt;1,E508&gt;1),(E508-D508)/100,E508-D508))</f>
        <v/>
      </c>
      <c r="G508" s="17" t="str">
        <f>IF(F508="","",IF(64*F508=0,"",64*F508))</f>
        <v/>
      </c>
      <c r="H508" s="19" t="str">
        <f>IF(Dati!E508="","",Dati!E508)</f>
        <v/>
      </c>
      <c r="I508" s="19" t="str">
        <f>IFERROR(IF(OR(C508="",C508=0),"",H508/C508*100),"")</f>
        <v/>
      </c>
      <c r="J508" s="20" t="str">
        <f>IF(Dati!F508="","",Dati!F508)</f>
        <v/>
      </c>
      <c r="K508" s="19" t="str">
        <f>IF(OR(H508="",J508=""),"",IF(H508*J508=0,"",H508*J508))</f>
        <v/>
      </c>
      <c r="L508" s="19" t="str">
        <f>IF(A508="","",IFERROR(IF(SUMPRODUCT((ISNUMBER(A$2:A508))*(A$2:A508&gt;1000)*(MONTH(IF(ISNUMBER(A$2:A508),A$2:A508,1))=MONTH(A508))*(YEAR(IF(ISNUMBER(A$2:A508),A$2:A508,1))=YEAR(A508))*IF(ISNUMBER(K$2:K508),K$2:K508,0))=0,"",SUMPRODUCT((ISNUMBER(A$2:A508))*(A$2:A508&gt;1000)*(MONTH(IF(ISNUMBER(A$2:A508),A$2:A508,1))=MONTH(A508))*(YEAR(IF(ISNUMBER(A$2:A508),A$2:A508,1))=YEAR(A508))*IF(ISNUMBER(K$2:K508),K$2:K508,0))),""))</f>
        <v/>
      </c>
      <c r="M508" s="21" t="str">
        <f>IF(A508="","",IFERROR(IF(SUMIF(N$2:N508,"CASA",K$2:K508)=0,"",SUMIF(N$2:N508,"CASA",K$2:K508)),""))</f>
        <v/>
      </c>
      <c r="N508" s="17" t="str">
        <f>IF(J508="","",IF(J508=0.2,"CASA",IF(Dati!G508="","",Dati!G508)))</f>
        <v/>
      </c>
    </row>
    <row r="509" spans="1:14" ht="15" customHeight="1" x14ac:dyDescent="0.2">
      <c r="A509" s="23" t="str">
        <f>IF(Dati!A509="","",Dati!A509)</f>
        <v/>
      </c>
      <c r="B509" s="17" t="str">
        <f>IF(Dati!B509="","",Dati!B509)</f>
        <v/>
      </c>
      <c r="C509" s="17" t="str">
        <f>IF(B509="","",IF(ISNUMBER(B508),IF(B509-B508&lt;0,B509,IF(B509-B508=0,"",B509-B508)),B509))</f>
        <v/>
      </c>
      <c r="D509" s="18" t="str">
        <f>IF(Dati!C509="","",IF(Dati!C509&gt;1,Dati!C509/100,Dati!C509))</f>
        <v/>
      </c>
      <c r="E509" s="18" t="str">
        <f>IF(Dati!D509="","",IF(Dati!D509&gt;1,Dati!D509/100,Dati!D509))</f>
        <v/>
      </c>
      <c r="F509" s="18" t="str">
        <f>IF(OR(D509="",E509=""),"",IF(OR(D509&gt;1,E509&gt;1),(E509-D509)/100,E509-D509))</f>
        <v/>
      </c>
      <c r="G509" s="17" t="str">
        <f>IF(F509="","",IF(64*F509=0,"",64*F509))</f>
        <v/>
      </c>
      <c r="H509" s="19" t="str">
        <f>IF(Dati!E509="","",Dati!E509)</f>
        <v/>
      </c>
      <c r="I509" s="19" t="str">
        <f>IFERROR(IF(OR(C509="",C509=0),"",H509/C509*100),"")</f>
        <v/>
      </c>
      <c r="J509" s="20" t="str">
        <f>IF(Dati!F509="","",Dati!F509)</f>
        <v/>
      </c>
      <c r="K509" s="19" t="str">
        <f>IF(OR(H509="",J509=""),"",IF(H509*J509=0,"",H509*J509))</f>
        <v/>
      </c>
      <c r="L509" s="19" t="str">
        <f>IF(A509="","",IFERROR(IF(SUMPRODUCT((ISNUMBER(A$2:A509))*(A$2:A509&gt;1000)*(MONTH(IF(ISNUMBER(A$2:A509),A$2:A509,1))=MONTH(A509))*(YEAR(IF(ISNUMBER(A$2:A509),A$2:A509,1))=YEAR(A509))*IF(ISNUMBER(K$2:K509),K$2:K509,0))=0,"",SUMPRODUCT((ISNUMBER(A$2:A509))*(A$2:A509&gt;1000)*(MONTH(IF(ISNUMBER(A$2:A509),A$2:A509,1))=MONTH(A509))*(YEAR(IF(ISNUMBER(A$2:A509),A$2:A509,1))=YEAR(A509))*IF(ISNUMBER(K$2:K509),K$2:K509,0))),""))</f>
        <v/>
      </c>
      <c r="M509" s="21" t="str">
        <f>IF(A509="","",IFERROR(IF(SUMIF(N$2:N509,"CASA",K$2:K509)=0,"",SUMIF(N$2:N509,"CASA",K$2:K509)),""))</f>
        <v/>
      </c>
      <c r="N509" s="17" t="str">
        <f>IF(J509="","",IF(J509=0.2,"CASA",IF(Dati!G509="","",Dati!G509)))</f>
        <v/>
      </c>
    </row>
    <row r="510" spans="1:14" ht="15" customHeight="1" x14ac:dyDescent="0.2">
      <c r="A510" s="23" t="str">
        <f>IF(Dati!A510="","",Dati!A510)</f>
        <v/>
      </c>
      <c r="B510" s="17" t="str">
        <f>IF(Dati!B510="","",Dati!B510)</f>
        <v/>
      </c>
      <c r="C510" s="17" t="str">
        <f>IF(B510="","",IF(ISNUMBER(B509),IF(B510-B509&lt;0,B510,IF(B510-B509=0,"",B510-B509)),B510))</f>
        <v/>
      </c>
      <c r="D510" s="18" t="str">
        <f>IF(Dati!C510="","",IF(Dati!C510&gt;1,Dati!C510/100,Dati!C510))</f>
        <v/>
      </c>
      <c r="E510" s="18" t="str">
        <f>IF(Dati!D510="","",IF(Dati!D510&gt;1,Dati!D510/100,Dati!D510))</f>
        <v/>
      </c>
      <c r="F510" s="18" t="str">
        <f>IF(OR(D510="",E510=""),"",IF(OR(D510&gt;1,E510&gt;1),(E510-D510)/100,E510-D510))</f>
        <v/>
      </c>
      <c r="G510" s="17" t="str">
        <f>IF(F510="","",IF(64*F510=0,"",64*F510))</f>
        <v/>
      </c>
      <c r="H510" s="19" t="str">
        <f>IF(Dati!E510="","",Dati!E510)</f>
        <v/>
      </c>
      <c r="I510" s="19" t="str">
        <f>IFERROR(IF(OR(C510="",C510=0),"",H510/C510*100),"")</f>
        <v/>
      </c>
      <c r="J510" s="20" t="str">
        <f>IF(Dati!F510="","",Dati!F510)</f>
        <v/>
      </c>
      <c r="K510" s="19" t="str">
        <f>IF(OR(H510="",J510=""),"",IF(H510*J510=0,"",H510*J510))</f>
        <v/>
      </c>
      <c r="L510" s="19" t="str">
        <f>IF(A510="","",IFERROR(IF(SUMPRODUCT((ISNUMBER(A$2:A510))*(A$2:A510&gt;1000)*(MONTH(IF(ISNUMBER(A$2:A510),A$2:A510,1))=MONTH(A510))*(YEAR(IF(ISNUMBER(A$2:A510),A$2:A510,1))=YEAR(A510))*IF(ISNUMBER(K$2:K510),K$2:K510,0))=0,"",SUMPRODUCT((ISNUMBER(A$2:A510))*(A$2:A510&gt;1000)*(MONTH(IF(ISNUMBER(A$2:A510),A$2:A510,1))=MONTH(A510))*(YEAR(IF(ISNUMBER(A$2:A510),A$2:A510,1))=YEAR(A510))*IF(ISNUMBER(K$2:K510),K$2:K510,0))),""))</f>
        <v/>
      </c>
      <c r="M510" s="21" t="str">
        <f>IF(A510="","",IFERROR(IF(SUMIF(N$2:N510,"CASA",K$2:K510)=0,"",SUMIF(N$2:N510,"CASA",K$2:K510)),""))</f>
        <v/>
      </c>
      <c r="N510" s="17" t="str">
        <f>IF(J510="","",IF(J510=0.2,"CASA",IF(Dati!G510="","",Dati!G510)))</f>
        <v/>
      </c>
    </row>
    <row r="511" spans="1:14" ht="15" customHeight="1" x14ac:dyDescent="0.2">
      <c r="A511" s="23" t="str">
        <f>IF(Dati!A511="","",Dati!A511)</f>
        <v/>
      </c>
      <c r="B511" s="17" t="str">
        <f>IF(Dati!B511="","",Dati!B511)</f>
        <v/>
      </c>
      <c r="C511" s="17" t="str">
        <f>IF(B511="","",IF(ISNUMBER(B510),IF(B511-B510&lt;0,B511,IF(B511-B510=0,"",B511-B510)),B511))</f>
        <v/>
      </c>
      <c r="D511" s="18" t="str">
        <f>IF(Dati!C511="","",IF(Dati!C511&gt;1,Dati!C511/100,Dati!C511))</f>
        <v/>
      </c>
      <c r="E511" s="18" t="str">
        <f>IF(Dati!D511="","",IF(Dati!D511&gt;1,Dati!D511/100,Dati!D511))</f>
        <v/>
      </c>
      <c r="F511" s="18" t="str">
        <f>IF(OR(D511="",E511=""),"",IF(OR(D511&gt;1,E511&gt;1),(E511-D511)/100,E511-D511))</f>
        <v/>
      </c>
      <c r="G511" s="17" t="str">
        <f>IF(F511="","",IF(64*F511=0,"",64*F511))</f>
        <v/>
      </c>
      <c r="H511" s="19" t="str">
        <f>IF(Dati!E511="","",Dati!E511)</f>
        <v/>
      </c>
      <c r="I511" s="19" t="str">
        <f>IFERROR(IF(OR(C511="",C511=0),"",H511/C511*100),"")</f>
        <v/>
      </c>
      <c r="J511" s="20" t="str">
        <f>IF(Dati!F511="","",Dati!F511)</f>
        <v/>
      </c>
      <c r="K511" s="19" t="str">
        <f>IF(OR(H511="",J511=""),"",IF(H511*J511=0,"",H511*J511))</f>
        <v/>
      </c>
      <c r="L511" s="19" t="str">
        <f>IF(A511="","",IFERROR(IF(SUMPRODUCT((ISNUMBER(A$2:A511))*(A$2:A511&gt;1000)*(MONTH(IF(ISNUMBER(A$2:A511),A$2:A511,1))=MONTH(A511))*(YEAR(IF(ISNUMBER(A$2:A511),A$2:A511,1))=YEAR(A511))*IF(ISNUMBER(K$2:K511),K$2:K511,0))=0,"",SUMPRODUCT((ISNUMBER(A$2:A511))*(A$2:A511&gt;1000)*(MONTH(IF(ISNUMBER(A$2:A511),A$2:A511,1))=MONTH(A511))*(YEAR(IF(ISNUMBER(A$2:A511),A$2:A511,1))=YEAR(A511))*IF(ISNUMBER(K$2:K511),K$2:K511,0))),""))</f>
        <v/>
      </c>
      <c r="M511" s="21" t="str">
        <f>IF(A511="","",IFERROR(IF(SUMIF(N$2:N511,"CASA",K$2:K511)=0,"",SUMIF(N$2:N511,"CASA",K$2:K511)),""))</f>
        <v/>
      </c>
      <c r="N511" s="17" t="str">
        <f>IF(J511="","",IF(J511=0.2,"CASA",IF(Dati!G511="","",Dati!G511)))</f>
        <v/>
      </c>
    </row>
    <row r="512" spans="1:14" ht="15" customHeight="1" x14ac:dyDescent="0.2">
      <c r="A512" s="23" t="str">
        <f>IF(Dati!A512="","",Dati!A512)</f>
        <v/>
      </c>
      <c r="B512" s="17" t="str">
        <f>IF(Dati!B512="","",Dati!B512)</f>
        <v/>
      </c>
      <c r="C512" s="17" t="str">
        <f>IF(B512="","",IF(ISNUMBER(B511),IF(B512-B511&lt;0,B512,IF(B512-B511=0,"",B512-B511)),B512))</f>
        <v/>
      </c>
      <c r="D512" s="18" t="str">
        <f>IF(Dati!C512="","",IF(Dati!C512&gt;1,Dati!C512/100,Dati!C512))</f>
        <v/>
      </c>
      <c r="E512" s="18" t="str">
        <f>IF(Dati!D512="","",IF(Dati!D512&gt;1,Dati!D512/100,Dati!D512))</f>
        <v/>
      </c>
      <c r="F512" s="18" t="str">
        <f>IF(OR(D512="",E512=""),"",IF(OR(D512&gt;1,E512&gt;1),(E512-D512)/100,E512-D512))</f>
        <v/>
      </c>
      <c r="G512" s="17" t="str">
        <f>IF(F512="","",IF(64*F512=0,"",64*F512))</f>
        <v/>
      </c>
      <c r="H512" s="19" t="str">
        <f>IF(Dati!E512="","",Dati!E512)</f>
        <v/>
      </c>
      <c r="I512" s="19" t="str">
        <f>IFERROR(IF(OR(C512="",C512=0),"",H512/C512*100),"")</f>
        <v/>
      </c>
      <c r="J512" s="20" t="str">
        <f>IF(Dati!F512="","",Dati!F512)</f>
        <v/>
      </c>
      <c r="K512" s="19" t="str">
        <f>IF(OR(H512="",J512=""),"",IF(H512*J512=0,"",H512*J512))</f>
        <v/>
      </c>
      <c r="L512" s="19" t="str">
        <f>IF(A512="","",IFERROR(IF(SUMPRODUCT((ISNUMBER(A$2:A512))*(A$2:A512&gt;1000)*(MONTH(IF(ISNUMBER(A$2:A512),A$2:A512,1))=MONTH(A512))*(YEAR(IF(ISNUMBER(A$2:A512),A$2:A512,1))=YEAR(A512))*IF(ISNUMBER(K$2:K512),K$2:K512,0))=0,"",SUMPRODUCT((ISNUMBER(A$2:A512))*(A$2:A512&gt;1000)*(MONTH(IF(ISNUMBER(A$2:A512),A$2:A512,1))=MONTH(A512))*(YEAR(IF(ISNUMBER(A$2:A512),A$2:A512,1))=YEAR(A512))*IF(ISNUMBER(K$2:K512),K$2:K512,0))),""))</f>
        <v/>
      </c>
      <c r="M512" s="21" t="str">
        <f>IF(A512="","",IFERROR(IF(SUMIF(N$2:N512,"CASA",K$2:K512)=0,"",SUMIF(N$2:N512,"CASA",K$2:K512)),""))</f>
        <v/>
      </c>
      <c r="N512" s="17" t="str">
        <f>IF(J512="","",IF(J512=0.2,"CASA",IF(Dati!G512="","",Dati!G512)))</f>
        <v/>
      </c>
    </row>
    <row r="513" spans="1:14" ht="15" customHeight="1" x14ac:dyDescent="0.2">
      <c r="A513" s="23" t="str">
        <f>IF(Dati!A513="","",Dati!A513)</f>
        <v/>
      </c>
      <c r="B513" s="17" t="str">
        <f>IF(Dati!B513="","",Dati!B513)</f>
        <v/>
      </c>
      <c r="C513" s="17" t="str">
        <f>IF(B513="","",IF(ISNUMBER(B512),IF(B513-B512&lt;0,B513,IF(B513-B512=0,"",B513-B512)),B513))</f>
        <v/>
      </c>
      <c r="D513" s="18" t="str">
        <f>IF(Dati!C513="","",IF(Dati!C513&gt;1,Dati!C513/100,Dati!C513))</f>
        <v/>
      </c>
      <c r="E513" s="18" t="str">
        <f>IF(Dati!D513="","",IF(Dati!D513&gt;1,Dati!D513/100,Dati!D513))</f>
        <v/>
      </c>
      <c r="F513" s="18" t="str">
        <f>IF(OR(D513="",E513=""),"",IF(OR(D513&gt;1,E513&gt;1),(E513-D513)/100,E513-D513))</f>
        <v/>
      </c>
      <c r="G513" s="17" t="str">
        <f>IF(F513="","",IF(64*F513=0,"",64*F513))</f>
        <v/>
      </c>
      <c r="H513" s="19" t="str">
        <f>IF(Dati!E513="","",Dati!E513)</f>
        <v/>
      </c>
      <c r="I513" s="19" t="str">
        <f>IFERROR(IF(OR(C513="",C513=0),"",H513/C513*100),"")</f>
        <v/>
      </c>
      <c r="J513" s="20" t="str">
        <f>IF(Dati!F513="","",Dati!F513)</f>
        <v/>
      </c>
      <c r="K513" s="19" t="str">
        <f>IF(OR(H513="",J513=""),"",IF(H513*J513=0,"",H513*J513))</f>
        <v/>
      </c>
      <c r="L513" s="19" t="str">
        <f>IF(A513="","",IFERROR(IF(SUMPRODUCT((ISNUMBER(A$2:A513))*(A$2:A513&gt;1000)*(MONTH(IF(ISNUMBER(A$2:A513),A$2:A513,1))=MONTH(A513))*(YEAR(IF(ISNUMBER(A$2:A513),A$2:A513,1))=YEAR(A513))*IF(ISNUMBER(K$2:K513),K$2:K513,0))=0,"",SUMPRODUCT((ISNUMBER(A$2:A513))*(A$2:A513&gt;1000)*(MONTH(IF(ISNUMBER(A$2:A513),A$2:A513,1))=MONTH(A513))*(YEAR(IF(ISNUMBER(A$2:A513),A$2:A513,1))=YEAR(A513))*IF(ISNUMBER(K$2:K513),K$2:K513,0))),""))</f>
        <v/>
      </c>
      <c r="M513" s="21" t="str">
        <f>IF(A513="","",IFERROR(IF(SUMIF(N$2:N513,"CASA",K$2:K513)=0,"",SUMIF(N$2:N513,"CASA",K$2:K513)),""))</f>
        <v/>
      </c>
      <c r="N513" s="17" t="str">
        <f>IF(J513="","",IF(J513=0.2,"CASA",IF(Dati!G513="","",Dati!G513)))</f>
        <v/>
      </c>
    </row>
    <row r="514" spans="1:14" ht="15" customHeight="1" x14ac:dyDescent="0.2">
      <c r="A514" s="23" t="str">
        <f>IF(Dati!A514="","",Dati!A514)</f>
        <v/>
      </c>
      <c r="B514" s="17" t="str">
        <f>IF(Dati!B514="","",Dati!B514)</f>
        <v/>
      </c>
      <c r="C514" s="17" t="str">
        <f>IF(B514="","",IF(ISNUMBER(B513),IF(B514-B513&lt;0,B514,IF(B514-B513=0,"",B514-B513)),B514))</f>
        <v/>
      </c>
      <c r="D514" s="18" t="str">
        <f>IF(Dati!C514="","",IF(Dati!C514&gt;1,Dati!C514/100,Dati!C514))</f>
        <v/>
      </c>
      <c r="E514" s="18" t="str">
        <f>IF(Dati!D514="","",IF(Dati!D514&gt;1,Dati!D514/100,Dati!D514))</f>
        <v/>
      </c>
      <c r="F514" s="18" t="str">
        <f>IF(OR(D514="",E514=""),"",IF(OR(D514&gt;1,E514&gt;1),(E514-D514)/100,E514-D514))</f>
        <v/>
      </c>
      <c r="G514" s="17" t="str">
        <f>IF(F514="","",IF(64*F514=0,"",64*F514))</f>
        <v/>
      </c>
      <c r="H514" s="19" t="str">
        <f>IF(Dati!E514="","",Dati!E514)</f>
        <v/>
      </c>
      <c r="I514" s="19" t="str">
        <f>IFERROR(IF(OR(C514="",C514=0),"",H514/C514*100),"")</f>
        <v/>
      </c>
      <c r="J514" s="20" t="str">
        <f>IF(Dati!F514="","",Dati!F514)</f>
        <v/>
      </c>
      <c r="K514" s="19" t="str">
        <f>IF(OR(H514="",J514=""),"",IF(H514*J514=0,"",H514*J514))</f>
        <v/>
      </c>
      <c r="L514" s="19" t="str">
        <f>IF(A514="","",IFERROR(IF(SUMPRODUCT((ISNUMBER(A$2:A514))*(A$2:A514&gt;1000)*(MONTH(IF(ISNUMBER(A$2:A514),A$2:A514,1))=MONTH(A514))*(YEAR(IF(ISNUMBER(A$2:A514),A$2:A514,1))=YEAR(A514))*IF(ISNUMBER(K$2:K514),K$2:K514,0))=0,"",SUMPRODUCT((ISNUMBER(A$2:A514))*(A$2:A514&gt;1000)*(MONTH(IF(ISNUMBER(A$2:A514),A$2:A514,1))=MONTH(A514))*(YEAR(IF(ISNUMBER(A$2:A514),A$2:A514,1))=YEAR(A514))*IF(ISNUMBER(K$2:K514),K$2:K514,0))),""))</f>
        <v/>
      </c>
      <c r="M514" s="21" t="str">
        <f>IF(A514="","",IFERROR(IF(SUMIF(N$2:N514,"CASA",K$2:K514)=0,"",SUMIF(N$2:N514,"CASA",K$2:K514)),""))</f>
        <v/>
      </c>
      <c r="N514" s="17" t="str">
        <f>IF(J514="","",IF(J514=0.2,"CASA",IF(Dati!G514="","",Dati!G514)))</f>
        <v/>
      </c>
    </row>
    <row r="515" spans="1:14" ht="15" customHeight="1" x14ac:dyDescent="0.2">
      <c r="A515" s="23" t="str">
        <f>IF(Dati!A515="","",Dati!A515)</f>
        <v/>
      </c>
      <c r="B515" s="17" t="str">
        <f>IF(Dati!B515="","",Dati!B515)</f>
        <v/>
      </c>
      <c r="C515" s="17" t="str">
        <f>IF(B515="","",IF(ISNUMBER(B514),IF(B515-B514&lt;0,B515,IF(B515-B514=0,"",B515-B514)),B515))</f>
        <v/>
      </c>
      <c r="D515" s="18" t="str">
        <f>IF(Dati!C515="","",IF(Dati!C515&gt;1,Dati!C515/100,Dati!C515))</f>
        <v/>
      </c>
      <c r="E515" s="18" t="str">
        <f>IF(Dati!D515="","",IF(Dati!D515&gt;1,Dati!D515/100,Dati!D515))</f>
        <v/>
      </c>
      <c r="F515" s="18" t="str">
        <f>IF(OR(D515="",E515=""),"",IF(OR(D515&gt;1,E515&gt;1),(E515-D515)/100,E515-D515))</f>
        <v/>
      </c>
      <c r="G515" s="17" t="str">
        <f>IF(F515="","",IF(64*F515=0,"",64*F515))</f>
        <v/>
      </c>
      <c r="H515" s="19" t="str">
        <f>IF(Dati!E515="","",Dati!E515)</f>
        <v/>
      </c>
      <c r="I515" s="19" t="str">
        <f>IFERROR(IF(OR(C515="",C515=0),"",H515/C515*100),"")</f>
        <v/>
      </c>
      <c r="J515" s="20" t="str">
        <f>IF(Dati!F515="","",Dati!F515)</f>
        <v/>
      </c>
      <c r="K515" s="19" t="str">
        <f>IF(OR(H515="",J515=""),"",IF(H515*J515=0,"",H515*J515))</f>
        <v/>
      </c>
      <c r="L515" s="19" t="str">
        <f>IF(A515="","",IFERROR(IF(SUMPRODUCT((ISNUMBER(A$2:A515))*(A$2:A515&gt;1000)*(MONTH(IF(ISNUMBER(A$2:A515),A$2:A515,1))=MONTH(A515))*(YEAR(IF(ISNUMBER(A$2:A515),A$2:A515,1))=YEAR(A515))*IF(ISNUMBER(K$2:K515),K$2:K515,0))=0,"",SUMPRODUCT((ISNUMBER(A$2:A515))*(A$2:A515&gt;1000)*(MONTH(IF(ISNUMBER(A$2:A515),A$2:A515,1))=MONTH(A515))*(YEAR(IF(ISNUMBER(A$2:A515),A$2:A515,1))=YEAR(A515))*IF(ISNUMBER(K$2:K515),K$2:K515,0))),""))</f>
        <v/>
      </c>
      <c r="M515" s="21" t="str">
        <f>IF(A515="","",IFERROR(IF(SUMIF(N$2:N515,"CASA",K$2:K515)=0,"",SUMIF(N$2:N515,"CASA",K$2:K515)),""))</f>
        <v/>
      </c>
      <c r="N515" s="17" t="str">
        <f>IF(J515="","",IF(J515=0.2,"CASA",IF(Dati!G515="","",Dati!G515)))</f>
        <v/>
      </c>
    </row>
    <row r="516" spans="1:14" ht="15" customHeight="1" x14ac:dyDescent="0.2">
      <c r="A516" s="23" t="str">
        <f>IF(Dati!A516="","",Dati!A516)</f>
        <v/>
      </c>
      <c r="B516" s="17" t="str">
        <f>IF(Dati!B516="","",Dati!B516)</f>
        <v/>
      </c>
      <c r="C516" s="17" t="str">
        <f>IF(B516="","",IF(ISNUMBER(B515),IF(B516-B515&lt;0,B516,IF(B516-B515=0,"",B516-B515)),B516))</f>
        <v/>
      </c>
      <c r="D516" s="18" t="str">
        <f>IF(Dati!C516="","",IF(Dati!C516&gt;1,Dati!C516/100,Dati!C516))</f>
        <v/>
      </c>
      <c r="E516" s="18" t="str">
        <f>IF(Dati!D516="","",IF(Dati!D516&gt;1,Dati!D516/100,Dati!D516))</f>
        <v/>
      </c>
      <c r="F516" s="18" t="str">
        <f>IF(OR(D516="",E516=""),"",IF(OR(D516&gt;1,E516&gt;1),(E516-D516)/100,E516-D516))</f>
        <v/>
      </c>
      <c r="G516" s="17" t="str">
        <f>IF(F516="","",IF(64*F516=0,"",64*F516))</f>
        <v/>
      </c>
      <c r="H516" s="19" t="str">
        <f>IF(Dati!E516="","",Dati!E516)</f>
        <v/>
      </c>
      <c r="I516" s="19" t="str">
        <f>IFERROR(IF(OR(C516="",C516=0),"",H516/C516*100),"")</f>
        <v/>
      </c>
      <c r="J516" s="20" t="str">
        <f>IF(Dati!F516="","",Dati!F516)</f>
        <v/>
      </c>
      <c r="K516" s="19" t="str">
        <f>IF(OR(H516="",J516=""),"",IF(H516*J516=0,"",H516*J516))</f>
        <v/>
      </c>
      <c r="L516" s="19" t="str">
        <f>IF(A516="","",IFERROR(IF(SUMPRODUCT((ISNUMBER(A$2:A516))*(A$2:A516&gt;1000)*(MONTH(IF(ISNUMBER(A$2:A516),A$2:A516,1))=MONTH(A516))*(YEAR(IF(ISNUMBER(A$2:A516),A$2:A516,1))=YEAR(A516))*IF(ISNUMBER(K$2:K516),K$2:K516,0))=0,"",SUMPRODUCT((ISNUMBER(A$2:A516))*(A$2:A516&gt;1000)*(MONTH(IF(ISNUMBER(A$2:A516),A$2:A516,1))=MONTH(A516))*(YEAR(IF(ISNUMBER(A$2:A516),A$2:A516,1))=YEAR(A516))*IF(ISNUMBER(K$2:K516),K$2:K516,0))),""))</f>
        <v/>
      </c>
      <c r="M516" s="21" t="str">
        <f>IF(A516="","",IFERROR(IF(SUMIF(N$2:N516,"CASA",K$2:K516)=0,"",SUMIF(N$2:N516,"CASA",K$2:K516)),""))</f>
        <v/>
      </c>
      <c r="N516" s="17" t="str">
        <f>IF(J516="","",IF(J516=0.2,"CASA",IF(Dati!G516="","",Dati!G516)))</f>
        <v/>
      </c>
    </row>
    <row r="517" spans="1:14" ht="15" customHeight="1" x14ac:dyDescent="0.2">
      <c r="A517" s="23" t="str">
        <f>IF(Dati!A517="","",Dati!A517)</f>
        <v/>
      </c>
      <c r="B517" s="17" t="str">
        <f>IF(Dati!B517="","",Dati!B517)</f>
        <v/>
      </c>
      <c r="C517" s="17" t="str">
        <f>IF(B517="","",IF(ISNUMBER(B516),IF(B517-B516&lt;0,B517,IF(B517-B516=0,"",B517-B516)),B517))</f>
        <v/>
      </c>
      <c r="D517" s="18" t="str">
        <f>IF(Dati!C517="","",IF(Dati!C517&gt;1,Dati!C517/100,Dati!C517))</f>
        <v/>
      </c>
      <c r="E517" s="18" t="str">
        <f>IF(Dati!D517="","",IF(Dati!D517&gt;1,Dati!D517/100,Dati!D517))</f>
        <v/>
      </c>
      <c r="F517" s="18" t="str">
        <f>IF(OR(D517="",E517=""),"",IF(OR(D517&gt;1,E517&gt;1),(E517-D517)/100,E517-D517))</f>
        <v/>
      </c>
      <c r="G517" s="17" t="str">
        <f>IF(F517="","",IF(64*F517=0,"",64*F517))</f>
        <v/>
      </c>
      <c r="H517" s="19" t="str">
        <f>IF(Dati!E517="","",Dati!E517)</f>
        <v/>
      </c>
      <c r="I517" s="19" t="str">
        <f>IFERROR(IF(OR(C517="",C517=0),"",H517/C517*100),"")</f>
        <v/>
      </c>
      <c r="J517" s="20" t="str">
        <f>IF(Dati!F517="","",Dati!F517)</f>
        <v/>
      </c>
      <c r="K517" s="19" t="str">
        <f>IF(OR(H517="",J517=""),"",IF(H517*J517=0,"",H517*J517))</f>
        <v/>
      </c>
      <c r="L517" s="19" t="str">
        <f>IF(A517="","",IFERROR(IF(SUMPRODUCT((ISNUMBER(A$2:A517))*(A$2:A517&gt;1000)*(MONTH(IF(ISNUMBER(A$2:A517),A$2:A517,1))=MONTH(A517))*(YEAR(IF(ISNUMBER(A$2:A517),A$2:A517,1))=YEAR(A517))*IF(ISNUMBER(K$2:K517),K$2:K517,0))=0,"",SUMPRODUCT((ISNUMBER(A$2:A517))*(A$2:A517&gt;1000)*(MONTH(IF(ISNUMBER(A$2:A517),A$2:A517,1))=MONTH(A517))*(YEAR(IF(ISNUMBER(A$2:A517),A$2:A517,1))=YEAR(A517))*IF(ISNUMBER(K$2:K517),K$2:K517,0))),""))</f>
        <v/>
      </c>
      <c r="M517" s="21" t="str">
        <f>IF(A517="","",IFERROR(IF(SUMIF(N$2:N517,"CASA",K$2:K517)=0,"",SUMIF(N$2:N517,"CASA",K$2:K517)),""))</f>
        <v/>
      </c>
      <c r="N517" s="17" t="str">
        <f>IF(J517="","",IF(J517=0.2,"CASA",IF(Dati!G517="","",Dati!G517)))</f>
        <v/>
      </c>
    </row>
    <row r="518" spans="1:14" ht="15" customHeight="1" x14ac:dyDescent="0.2">
      <c r="A518" s="23" t="str">
        <f>IF(Dati!A518="","",Dati!A518)</f>
        <v/>
      </c>
      <c r="B518" s="17" t="str">
        <f>IF(Dati!B518="","",Dati!B518)</f>
        <v/>
      </c>
      <c r="C518" s="17" t="str">
        <f>IF(B518="","",IF(ISNUMBER(B517),IF(B518-B517&lt;0,B518,IF(B518-B517=0,"",B518-B517)),B518))</f>
        <v/>
      </c>
      <c r="D518" s="18" t="str">
        <f>IF(Dati!C518="","",IF(Dati!C518&gt;1,Dati!C518/100,Dati!C518))</f>
        <v/>
      </c>
      <c r="E518" s="18" t="str">
        <f>IF(Dati!D518="","",IF(Dati!D518&gt;1,Dati!D518/100,Dati!D518))</f>
        <v/>
      </c>
      <c r="F518" s="18" t="str">
        <f>IF(OR(D518="",E518=""),"",IF(OR(D518&gt;1,E518&gt;1),(E518-D518)/100,E518-D518))</f>
        <v/>
      </c>
      <c r="G518" s="17" t="str">
        <f>IF(F518="","",IF(64*F518=0,"",64*F518))</f>
        <v/>
      </c>
      <c r="H518" s="19" t="str">
        <f>IF(Dati!E518="","",Dati!E518)</f>
        <v/>
      </c>
      <c r="I518" s="19" t="str">
        <f>IFERROR(IF(OR(C518="",C518=0),"",H518/C518*100),"")</f>
        <v/>
      </c>
      <c r="J518" s="20" t="str">
        <f>IF(Dati!F518="","",Dati!F518)</f>
        <v/>
      </c>
      <c r="K518" s="19" t="str">
        <f>IF(OR(H518="",J518=""),"",IF(H518*J518=0,"",H518*J518))</f>
        <v/>
      </c>
      <c r="L518" s="19" t="str">
        <f>IF(A518="","",IFERROR(IF(SUMPRODUCT((ISNUMBER(A$2:A518))*(A$2:A518&gt;1000)*(MONTH(IF(ISNUMBER(A$2:A518),A$2:A518,1))=MONTH(A518))*(YEAR(IF(ISNUMBER(A$2:A518),A$2:A518,1))=YEAR(A518))*IF(ISNUMBER(K$2:K518),K$2:K518,0))=0,"",SUMPRODUCT((ISNUMBER(A$2:A518))*(A$2:A518&gt;1000)*(MONTH(IF(ISNUMBER(A$2:A518),A$2:A518,1))=MONTH(A518))*(YEAR(IF(ISNUMBER(A$2:A518),A$2:A518,1))=YEAR(A518))*IF(ISNUMBER(K$2:K518),K$2:K518,0))),""))</f>
        <v/>
      </c>
      <c r="M518" s="21" t="str">
        <f>IF(A518="","",IFERROR(IF(SUMIF(N$2:N518,"CASA",K$2:K518)=0,"",SUMIF(N$2:N518,"CASA",K$2:K518)),""))</f>
        <v/>
      </c>
      <c r="N518" s="17" t="str">
        <f>IF(J518="","",IF(J518=0.2,"CASA",IF(Dati!G518="","",Dati!G518)))</f>
        <v/>
      </c>
    </row>
    <row r="519" spans="1:14" ht="15" customHeight="1" x14ac:dyDescent="0.2">
      <c r="A519" s="23" t="str">
        <f>IF(Dati!A519="","",Dati!A519)</f>
        <v/>
      </c>
      <c r="B519" s="17" t="str">
        <f>IF(Dati!B519="","",Dati!B519)</f>
        <v/>
      </c>
      <c r="C519" s="17" t="str">
        <f>IF(B519="","",IF(ISNUMBER(B518),IF(B519-B518&lt;0,B519,IF(B519-B518=0,"",B519-B518)),B519))</f>
        <v/>
      </c>
      <c r="D519" s="18" t="str">
        <f>IF(Dati!C519="","",IF(Dati!C519&gt;1,Dati!C519/100,Dati!C519))</f>
        <v/>
      </c>
      <c r="E519" s="18" t="str">
        <f>IF(Dati!D519="","",IF(Dati!D519&gt;1,Dati!D519/100,Dati!D519))</f>
        <v/>
      </c>
      <c r="F519" s="18" t="str">
        <f>IF(OR(D519="",E519=""),"",IF(OR(D519&gt;1,E519&gt;1),(E519-D519)/100,E519-D519))</f>
        <v/>
      </c>
      <c r="G519" s="17" t="str">
        <f>IF(F519="","",IF(64*F519=0,"",64*F519))</f>
        <v/>
      </c>
      <c r="H519" s="19" t="str">
        <f>IF(Dati!E519="","",Dati!E519)</f>
        <v/>
      </c>
      <c r="I519" s="19" t="str">
        <f>IFERROR(IF(OR(C519="",C519=0),"",H519/C519*100),"")</f>
        <v/>
      </c>
      <c r="J519" s="20" t="str">
        <f>IF(Dati!F519="","",Dati!F519)</f>
        <v/>
      </c>
      <c r="K519" s="19" t="str">
        <f>IF(OR(H519="",J519=""),"",IF(H519*J519=0,"",H519*J519))</f>
        <v/>
      </c>
      <c r="L519" s="19" t="str">
        <f>IF(A519="","",IFERROR(IF(SUMPRODUCT((ISNUMBER(A$2:A519))*(A$2:A519&gt;1000)*(MONTH(IF(ISNUMBER(A$2:A519),A$2:A519,1))=MONTH(A519))*(YEAR(IF(ISNUMBER(A$2:A519),A$2:A519,1))=YEAR(A519))*IF(ISNUMBER(K$2:K519),K$2:K519,0))=0,"",SUMPRODUCT((ISNUMBER(A$2:A519))*(A$2:A519&gt;1000)*(MONTH(IF(ISNUMBER(A$2:A519),A$2:A519,1))=MONTH(A519))*(YEAR(IF(ISNUMBER(A$2:A519),A$2:A519,1))=YEAR(A519))*IF(ISNUMBER(K$2:K519),K$2:K519,0))),""))</f>
        <v/>
      </c>
      <c r="M519" s="21" t="str">
        <f>IF(A519="","",IFERROR(IF(SUMIF(N$2:N519,"CASA",K$2:K519)=0,"",SUMIF(N$2:N519,"CASA",K$2:K519)),""))</f>
        <v/>
      </c>
      <c r="N519" s="17" t="str">
        <f>IF(J519="","",IF(J519=0.2,"CASA",IF(Dati!G519="","",Dati!G519)))</f>
        <v/>
      </c>
    </row>
    <row r="520" spans="1:14" ht="15" customHeight="1" x14ac:dyDescent="0.2">
      <c r="A520" s="23" t="str">
        <f>IF(Dati!A520="","",Dati!A520)</f>
        <v/>
      </c>
      <c r="B520" s="17" t="str">
        <f>IF(Dati!B520="","",Dati!B520)</f>
        <v/>
      </c>
      <c r="C520" s="17" t="str">
        <f>IF(B520="","",IF(ISNUMBER(B519),IF(B520-B519&lt;0,B520,IF(B520-B519=0,"",B520-B519)),B520))</f>
        <v/>
      </c>
      <c r="D520" s="18" t="str">
        <f>IF(Dati!C520="","",IF(Dati!C520&gt;1,Dati!C520/100,Dati!C520))</f>
        <v/>
      </c>
      <c r="E520" s="18" t="str">
        <f>IF(Dati!D520="","",IF(Dati!D520&gt;1,Dati!D520/100,Dati!D520))</f>
        <v/>
      </c>
      <c r="F520" s="18" t="str">
        <f>IF(OR(D520="",E520=""),"",IF(OR(D520&gt;1,E520&gt;1),(E520-D520)/100,E520-D520))</f>
        <v/>
      </c>
      <c r="G520" s="17" t="str">
        <f>IF(F520="","",IF(64*F520=0,"",64*F520))</f>
        <v/>
      </c>
      <c r="H520" s="19" t="str">
        <f>IF(Dati!E520="","",Dati!E520)</f>
        <v/>
      </c>
      <c r="I520" s="19" t="str">
        <f>IFERROR(IF(OR(C520="",C520=0),"",H520/C520*100),"")</f>
        <v/>
      </c>
      <c r="J520" s="20" t="str">
        <f>IF(Dati!F520="","",Dati!F520)</f>
        <v/>
      </c>
      <c r="K520" s="19" t="str">
        <f>IF(OR(H520="",J520=""),"",IF(H520*J520=0,"",H520*J520))</f>
        <v/>
      </c>
      <c r="L520" s="19" t="str">
        <f>IF(A520="","",IFERROR(IF(SUMPRODUCT((ISNUMBER(A$2:A520))*(A$2:A520&gt;1000)*(MONTH(IF(ISNUMBER(A$2:A520),A$2:A520,1))=MONTH(A520))*(YEAR(IF(ISNUMBER(A$2:A520),A$2:A520,1))=YEAR(A520))*IF(ISNUMBER(K$2:K520),K$2:K520,0))=0,"",SUMPRODUCT((ISNUMBER(A$2:A520))*(A$2:A520&gt;1000)*(MONTH(IF(ISNUMBER(A$2:A520),A$2:A520,1))=MONTH(A520))*(YEAR(IF(ISNUMBER(A$2:A520),A$2:A520,1))=YEAR(A520))*IF(ISNUMBER(K$2:K520),K$2:K520,0))),""))</f>
        <v/>
      </c>
      <c r="M520" s="21" t="str">
        <f>IF(A520="","",IFERROR(IF(SUMIF(N$2:N520,"CASA",K$2:K520)=0,"",SUMIF(N$2:N520,"CASA",K$2:K520)),""))</f>
        <v/>
      </c>
      <c r="N520" s="17" t="str">
        <f>IF(J520="","",IF(J520=0.2,"CASA",IF(Dati!G520="","",Dati!G520)))</f>
        <v/>
      </c>
    </row>
    <row r="521" spans="1:14" ht="15" customHeight="1" x14ac:dyDescent="0.2">
      <c r="A521" s="23" t="str">
        <f>IF(Dati!A521="","",Dati!A521)</f>
        <v/>
      </c>
      <c r="B521" s="17" t="str">
        <f>IF(Dati!B521="","",Dati!B521)</f>
        <v/>
      </c>
      <c r="C521" s="17" t="str">
        <f>IF(B521="","",IF(ISNUMBER(B520),IF(B521-B520&lt;0,B521,IF(B521-B520=0,"",B521-B520)),B521))</f>
        <v/>
      </c>
      <c r="D521" s="18" t="str">
        <f>IF(Dati!C521="","",IF(Dati!C521&gt;1,Dati!C521/100,Dati!C521))</f>
        <v/>
      </c>
      <c r="E521" s="18" t="str">
        <f>IF(Dati!D521="","",IF(Dati!D521&gt;1,Dati!D521/100,Dati!D521))</f>
        <v/>
      </c>
      <c r="F521" s="18" t="str">
        <f>IF(OR(D521="",E521=""),"",IF(OR(D521&gt;1,E521&gt;1),(E521-D521)/100,E521-D521))</f>
        <v/>
      </c>
      <c r="G521" s="17" t="str">
        <f>IF(F521="","",IF(64*F521=0,"",64*F521))</f>
        <v/>
      </c>
      <c r="H521" s="19" t="str">
        <f>IF(Dati!E521="","",Dati!E521)</f>
        <v/>
      </c>
      <c r="I521" s="19" t="str">
        <f>IFERROR(IF(OR(C521="",C521=0),"",H521/C521*100),"")</f>
        <v/>
      </c>
      <c r="J521" s="20" t="str">
        <f>IF(Dati!F521="","",Dati!F521)</f>
        <v/>
      </c>
      <c r="K521" s="19" t="str">
        <f>IF(OR(H521="",J521=""),"",IF(H521*J521=0,"",H521*J521))</f>
        <v/>
      </c>
      <c r="L521" s="19" t="str">
        <f>IF(A521="","",IFERROR(IF(SUMPRODUCT((ISNUMBER(A$2:A521))*(A$2:A521&gt;1000)*(MONTH(IF(ISNUMBER(A$2:A521),A$2:A521,1))=MONTH(A521))*(YEAR(IF(ISNUMBER(A$2:A521),A$2:A521,1))=YEAR(A521))*IF(ISNUMBER(K$2:K521),K$2:K521,0))=0,"",SUMPRODUCT((ISNUMBER(A$2:A521))*(A$2:A521&gt;1000)*(MONTH(IF(ISNUMBER(A$2:A521),A$2:A521,1))=MONTH(A521))*(YEAR(IF(ISNUMBER(A$2:A521),A$2:A521,1))=YEAR(A521))*IF(ISNUMBER(K$2:K521),K$2:K521,0))),""))</f>
        <v/>
      </c>
      <c r="M521" s="21" t="str">
        <f>IF(A521="","",IFERROR(IF(SUMIF(N$2:N521,"CASA",K$2:K521)=0,"",SUMIF(N$2:N521,"CASA",K$2:K521)),""))</f>
        <v/>
      </c>
      <c r="N521" s="17" t="str">
        <f>IF(J521="","",IF(J521=0.2,"CASA",IF(Dati!G521="","",Dati!G521)))</f>
        <v/>
      </c>
    </row>
    <row r="522" spans="1:14" ht="15" customHeight="1" x14ac:dyDescent="0.2">
      <c r="A522" s="23" t="str">
        <f>IF(Dati!A522="","",Dati!A522)</f>
        <v/>
      </c>
      <c r="B522" s="17" t="str">
        <f>IF(Dati!B522="","",Dati!B522)</f>
        <v/>
      </c>
      <c r="C522" s="17" t="str">
        <f>IF(B522="","",IF(ISNUMBER(B521),IF(B522-B521&lt;0,B522,IF(B522-B521=0,"",B522-B521)),B522))</f>
        <v/>
      </c>
      <c r="D522" s="18" t="str">
        <f>IF(Dati!C522="","",IF(Dati!C522&gt;1,Dati!C522/100,Dati!C522))</f>
        <v/>
      </c>
      <c r="E522" s="18" t="str">
        <f>IF(Dati!D522="","",IF(Dati!D522&gt;1,Dati!D522/100,Dati!D522))</f>
        <v/>
      </c>
      <c r="F522" s="18" t="str">
        <f>IF(OR(D522="",E522=""),"",IF(OR(D522&gt;1,E522&gt;1),(E522-D522)/100,E522-D522))</f>
        <v/>
      </c>
      <c r="G522" s="17" t="str">
        <f>IF(F522="","",IF(64*F522=0,"",64*F522))</f>
        <v/>
      </c>
      <c r="H522" s="19" t="str">
        <f>IF(Dati!E522="","",Dati!E522)</f>
        <v/>
      </c>
      <c r="I522" s="19" t="str">
        <f>IFERROR(IF(OR(C522="",C522=0),"",H522/C522*100),"")</f>
        <v/>
      </c>
      <c r="J522" s="20" t="str">
        <f>IF(Dati!F522="","",Dati!F522)</f>
        <v/>
      </c>
      <c r="K522" s="19" t="str">
        <f>IF(OR(H522="",J522=""),"",IF(H522*J522=0,"",H522*J522))</f>
        <v/>
      </c>
      <c r="L522" s="19" t="str">
        <f>IF(A522="","",IFERROR(IF(SUMPRODUCT((ISNUMBER(A$2:A522))*(A$2:A522&gt;1000)*(MONTH(IF(ISNUMBER(A$2:A522),A$2:A522,1))=MONTH(A522))*(YEAR(IF(ISNUMBER(A$2:A522),A$2:A522,1))=YEAR(A522))*IF(ISNUMBER(K$2:K522),K$2:K522,0))=0,"",SUMPRODUCT((ISNUMBER(A$2:A522))*(A$2:A522&gt;1000)*(MONTH(IF(ISNUMBER(A$2:A522),A$2:A522,1))=MONTH(A522))*(YEAR(IF(ISNUMBER(A$2:A522),A$2:A522,1))=YEAR(A522))*IF(ISNUMBER(K$2:K522),K$2:K522,0))),""))</f>
        <v/>
      </c>
      <c r="M522" s="21" t="str">
        <f>IF(A522="","",IFERROR(IF(SUMIF(N$2:N522,"CASA",K$2:K522)=0,"",SUMIF(N$2:N522,"CASA",K$2:K522)),""))</f>
        <v/>
      </c>
      <c r="N522" s="17" t="str">
        <f>IF(J522="","",IF(J522=0.2,"CASA",IF(Dati!G522="","",Dati!G522)))</f>
        <v/>
      </c>
    </row>
    <row r="523" spans="1:14" ht="15" customHeight="1" x14ac:dyDescent="0.2">
      <c r="A523" s="23" t="str">
        <f>IF(Dati!A523="","",Dati!A523)</f>
        <v/>
      </c>
      <c r="B523" s="17" t="str">
        <f>IF(Dati!B523="","",Dati!B523)</f>
        <v/>
      </c>
      <c r="C523" s="17" t="str">
        <f>IF(B523="","",IF(ISNUMBER(B522),IF(B523-B522&lt;0,B523,IF(B523-B522=0,"",B523-B522)),B523))</f>
        <v/>
      </c>
      <c r="D523" s="18" t="str">
        <f>IF(Dati!C523="","",IF(Dati!C523&gt;1,Dati!C523/100,Dati!C523))</f>
        <v/>
      </c>
      <c r="E523" s="18" t="str">
        <f>IF(Dati!D523="","",IF(Dati!D523&gt;1,Dati!D523/100,Dati!D523))</f>
        <v/>
      </c>
      <c r="F523" s="18" t="str">
        <f>IF(OR(D523="",E523=""),"",IF(OR(D523&gt;1,E523&gt;1),(E523-D523)/100,E523-D523))</f>
        <v/>
      </c>
      <c r="G523" s="17" t="str">
        <f>IF(F523="","",IF(64*F523=0,"",64*F523))</f>
        <v/>
      </c>
      <c r="H523" s="19" t="str">
        <f>IF(Dati!E523="","",Dati!E523)</f>
        <v/>
      </c>
      <c r="I523" s="19" t="str">
        <f>IFERROR(IF(OR(C523="",C523=0),"",H523/C523*100),"")</f>
        <v/>
      </c>
      <c r="J523" s="20" t="str">
        <f>IF(Dati!F523="","",Dati!F523)</f>
        <v/>
      </c>
      <c r="K523" s="19" t="str">
        <f>IF(OR(H523="",J523=""),"",IF(H523*J523=0,"",H523*J523))</f>
        <v/>
      </c>
      <c r="L523" s="19" t="str">
        <f>IF(A523="","",IFERROR(IF(SUMPRODUCT((ISNUMBER(A$2:A523))*(A$2:A523&gt;1000)*(MONTH(IF(ISNUMBER(A$2:A523),A$2:A523,1))=MONTH(A523))*(YEAR(IF(ISNUMBER(A$2:A523),A$2:A523,1))=YEAR(A523))*IF(ISNUMBER(K$2:K523),K$2:K523,0))=0,"",SUMPRODUCT((ISNUMBER(A$2:A523))*(A$2:A523&gt;1000)*(MONTH(IF(ISNUMBER(A$2:A523),A$2:A523,1))=MONTH(A523))*(YEAR(IF(ISNUMBER(A$2:A523),A$2:A523,1))=YEAR(A523))*IF(ISNUMBER(K$2:K523),K$2:K523,0))),""))</f>
        <v/>
      </c>
      <c r="M523" s="21" t="str">
        <f>IF(A523="","",IFERROR(IF(SUMIF(N$2:N523,"CASA",K$2:K523)=0,"",SUMIF(N$2:N523,"CASA",K$2:K523)),""))</f>
        <v/>
      </c>
      <c r="N523" s="17" t="str">
        <f>IF(J523="","",IF(J523=0.2,"CASA",IF(Dati!G523="","",Dati!G523)))</f>
        <v/>
      </c>
    </row>
    <row r="524" spans="1:14" ht="15" customHeight="1" x14ac:dyDescent="0.2">
      <c r="A524" s="23" t="str">
        <f>IF(Dati!A524="","",Dati!A524)</f>
        <v/>
      </c>
      <c r="B524" s="17" t="str">
        <f>IF(Dati!B524="","",Dati!B524)</f>
        <v/>
      </c>
      <c r="C524" s="17" t="str">
        <f>IF(B524="","",IF(ISNUMBER(B523),IF(B524-B523&lt;0,B524,IF(B524-B523=0,"",B524-B523)),B524))</f>
        <v/>
      </c>
      <c r="D524" s="18" t="str">
        <f>IF(Dati!C524="","",IF(Dati!C524&gt;1,Dati!C524/100,Dati!C524))</f>
        <v/>
      </c>
      <c r="E524" s="18" t="str">
        <f>IF(Dati!D524="","",IF(Dati!D524&gt;1,Dati!D524/100,Dati!D524))</f>
        <v/>
      </c>
      <c r="F524" s="18" t="str">
        <f>IF(OR(D524="",E524=""),"",IF(OR(D524&gt;1,E524&gt;1),(E524-D524)/100,E524-D524))</f>
        <v/>
      </c>
      <c r="G524" s="17" t="str">
        <f>IF(F524="","",IF(64*F524=0,"",64*F524))</f>
        <v/>
      </c>
      <c r="H524" s="19" t="str">
        <f>IF(Dati!E524="","",Dati!E524)</f>
        <v/>
      </c>
      <c r="I524" s="19" t="str">
        <f>IFERROR(IF(OR(C524="",C524=0),"",H524/C524*100),"")</f>
        <v/>
      </c>
      <c r="J524" s="20" t="str">
        <f>IF(Dati!F524="","",Dati!F524)</f>
        <v/>
      </c>
      <c r="K524" s="19" t="str">
        <f>IF(OR(H524="",J524=""),"",IF(H524*J524=0,"",H524*J524))</f>
        <v/>
      </c>
      <c r="L524" s="19" t="str">
        <f>IF(A524="","",IFERROR(IF(SUMPRODUCT((ISNUMBER(A$2:A524))*(A$2:A524&gt;1000)*(MONTH(IF(ISNUMBER(A$2:A524),A$2:A524,1))=MONTH(A524))*(YEAR(IF(ISNUMBER(A$2:A524),A$2:A524,1))=YEAR(A524))*IF(ISNUMBER(K$2:K524),K$2:K524,0))=0,"",SUMPRODUCT((ISNUMBER(A$2:A524))*(A$2:A524&gt;1000)*(MONTH(IF(ISNUMBER(A$2:A524),A$2:A524,1))=MONTH(A524))*(YEAR(IF(ISNUMBER(A$2:A524),A$2:A524,1))=YEAR(A524))*IF(ISNUMBER(K$2:K524),K$2:K524,0))),""))</f>
        <v/>
      </c>
      <c r="M524" s="21" t="str">
        <f>IF(A524="","",IFERROR(IF(SUMIF(N$2:N524,"CASA",K$2:K524)=0,"",SUMIF(N$2:N524,"CASA",K$2:K524)),""))</f>
        <v/>
      </c>
      <c r="N524" s="17" t="str">
        <f>IF(J524="","",IF(J524=0.2,"CASA",IF(Dati!G524="","",Dati!G524)))</f>
        <v/>
      </c>
    </row>
    <row r="525" spans="1:14" ht="15" customHeight="1" x14ac:dyDescent="0.2">
      <c r="A525" s="23" t="str">
        <f>IF(Dati!A525="","",Dati!A525)</f>
        <v/>
      </c>
      <c r="B525" s="17" t="str">
        <f>IF(Dati!B525="","",Dati!B525)</f>
        <v/>
      </c>
      <c r="C525" s="17" t="str">
        <f>IF(B525="","",IF(ISNUMBER(B524),IF(B525-B524&lt;0,B525,IF(B525-B524=0,"",B525-B524)),B525))</f>
        <v/>
      </c>
      <c r="D525" s="18" t="str">
        <f>IF(Dati!C525="","",IF(Dati!C525&gt;1,Dati!C525/100,Dati!C525))</f>
        <v/>
      </c>
      <c r="E525" s="18" t="str">
        <f>IF(Dati!D525="","",IF(Dati!D525&gt;1,Dati!D525/100,Dati!D525))</f>
        <v/>
      </c>
      <c r="F525" s="18" t="str">
        <f>IF(OR(D525="",E525=""),"",IF(OR(D525&gt;1,E525&gt;1),(E525-D525)/100,E525-D525))</f>
        <v/>
      </c>
      <c r="G525" s="17" t="str">
        <f>IF(F525="","",IF(64*F525=0,"",64*F525))</f>
        <v/>
      </c>
      <c r="H525" s="19" t="str">
        <f>IF(Dati!E525="","",Dati!E525)</f>
        <v/>
      </c>
      <c r="I525" s="19" t="str">
        <f>IFERROR(IF(OR(C525="",C525=0),"",H525/C525*100),"")</f>
        <v/>
      </c>
      <c r="J525" s="20" t="str">
        <f>IF(Dati!F525="","",Dati!F525)</f>
        <v/>
      </c>
      <c r="K525" s="19" t="str">
        <f>IF(OR(H525="",J525=""),"",IF(H525*J525=0,"",H525*J525))</f>
        <v/>
      </c>
      <c r="L525" s="19" t="str">
        <f>IF(A525="","",IFERROR(IF(SUMPRODUCT((ISNUMBER(A$2:A525))*(A$2:A525&gt;1000)*(MONTH(IF(ISNUMBER(A$2:A525),A$2:A525,1))=MONTH(A525))*(YEAR(IF(ISNUMBER(A$2:A525),A$2:A525,1))=YEAR(A525))*IF(ISNUMBER(K$2:K525),K$2:K525,0))=0,"",SUMPRODUCT((ISNUMBER(A$2:A525))*(A$2:A525&gt;1000)*(MONTH(IF(ISNUMBER(A$2:A525),A$2:A525,1))=MONTH(A525))*(YEAR(IF(ISNUMBER(A$2:A525),A$2:A525,1))=YEAR(A525))*IF(ISNUMBER(K$2:K525),K$2:K525,0))),""))</f>
        <v/>
      </c>
      <c r="M525" s="21" t="str">
        <f>IF(A525="","",IFERROR(IF(SUMIF(N$2:N525,"CASA",K$2:K525)=0,"",SUMIF(N$2:N525,"CASA",K$2:K525)),""))</f>
        <v/>
      </c>
      <c r="N525" s="17" t="str">
        <f>IF(J525="","",IF(J525=0.2,"CASA",IF(Dati!G525="","",Dati!G525)))</f>
        <v/>
      </c>
    </row>
    <row r="526" spans="1:14" ht="15" customHeight="1" x14ac:dyDescent="0.2">
      <c r="A526" s="23" t="str">
        <f>IF(Dati!A526="","",Dati!A526)</f>
        <v/>
      </c>
      <c r="B526" s="17" t="str">
        <f>IF(Dati!B526="","",Dati!B526)</f>
        <v/>
      </c>
      <c r="C526" s="17" t="str">
        <f>IF(B526="","",IF(ISNUMBER(B525),IF(B526-B525&lt;0,B526,IF(B526-B525=0,"",B526-B525)),B526))</f>
        <v/>
      </c>
      <c r="D526" s="18" t="str">
        <f>IF(Dati!C526="","",IF(Dati!C526&gt;1,Dati!C526/100,Dati!C526))</f>
        <v/>
      </c>
      <c r="E526" s="18" t="str">
        <f>IF(Dati!D526="","",IF(Dati!D526&gt;1,Dati!D526/100,Dati!D526))</f>
        <v/>
      </c>
      <c r="F526" s="18" t="str">
        <f>IF(OR(D526="",E526=""),"",IF(OR(D526&gt;1,E526&gt;1),(E526-D526)/100,E526-D526))</f>
        <v/>
      </c>
      <c r="G526" s="17" t="str">
        <f>IF(F526="","",IF(64*F526=0,"",64*F526))</f>
        <v/>
      </c>
      <c r="H526" s="19" t="str">
        <f>IF(Dati!E526="","",Dati!E526)</f>
        <v/>
      </c>
      <c r="I526" s="19" t="str">
        <f>IFERROR(IF(OR(C526="",C526=0),"",H526/C526*100),"")</f>
        <v/>
      </c>
      <c r="J526" s="20" t="str">
        <f>IF(Dati!F526="","",Dati!F526)</f>
        <v/>
      </c>
      <c r="K526" s="19" t="str">
        <f>IF(OR(H526="",J526=""),"",IF(H526*J526=0,"",H526*J526))</f>
        <v/>
      </c>
      <c r="L526" s="19" t="str">
        <f>IF(A526="","",IFERROR(IF(SUMPRODUCT((ISNUMBER(A$2:A526))*(A$2:A526&gt;1000)*(MONTH(IF(ISNUMBER(A$2:A526),A$2:A526,1))=MONTH(A526))*(YEAR(IF(ISNUMBER(A$2:A526),A$2:A526,1))=YEAR(A526))*IF(ISNUMBER(K$2:K526),K$2:K526,0))=0,"",SUMPRODUCT((ISNUMBER(A$2:A526))*(A$2:A526&gt;1000)*(MONTH(IF(ISNUMBER(A$2:A526),A$2:A526,1))=MONTH(A526))*(YEAR(IF(ISNUMBER(A$2:A526),A$2:A526,1))=YEAR(A526))*IF(ISNUMBER(K$2:K526),K$2:K526,0))),""))</f>
        <v/>
      </c>
      <c r="M526" s="21" t="str">
        <f>IF(A526="","",IFERROR(IF(SUMIF(N$2:N526,"CASA",K$2:K526)=0,"",SUMIF(N$2:N526,"CASA",K$2:K526)),""))</f>
        <v/>
      </c>
      <c r="N526" s="17" t="str">
        <f>IF(J526="","",IF(J526=0.2,"CASA",IF(Dati!G526="","",Dati!G526)))</f>
        <v/>
      </c>
    </row>
    <row r="527" spans="1:14" ht="15" customHeight="1" x14ac:dyDescent="0.2">
      <c r="A527" s="23" t="str">
        <f>IF(Dati!A527="","",Dati!A527)</f>
        <v/>
      </c>
      <c r="B527" s="17" t="str">
        <f>IF(Dati!B527="","",Dati!B527)</f>
        <v/>
      </c>
      <c r="C527" s="17" t="str">
        <f>IF(B527="","",IF(ISNUMBER(B526),IF(B527-B526&lt;0,B527,IF(B527-B526=0,"",B527-B526)),B527))</f>
        <v/>
      </c>
      <c r="D527" s="18" t="str">
        <f>IF(Dati!C527="","",IF(Dati!C527&gt;1,Dati!C527/100,Dati!C527))</f>
        <v/>
      </c>
      <c r="E527" s="18" t="str">
        <f>IF(Dati!D527="","",IF(Dati!D527&gt;1,Dati!D527/100,Dati!D527))</f>
        <v/>
      </c>
      <c r="F527" s="18" t="str">
        <f>IF(OR(D527="",E527=""),"",IF(OR(D527&gt;1,E527&gt;1),(E527-D527)/100,E527-D527))</f>
        <v/>
      </c>
      <c r="G527" s="17" t="str">
        <f>IF(F527="","",IF(64*F527=0,"",64*F527))</f>
        <v/>
      </c>
      <c r="H527" s="19" t="str">
        <f>IF(Dati!E527="","",Dati!E527)</f>
        <v/>
      </c>
      <c r="I527" s="19" t="str">
        <f>IFERROR(IF(OR(C527="",C527=0),"",H527/C527*100),"")</f>
        <v/>
      </c>
      <c r="J527" s="20" t="str">
        <f>IF(Dati!F527="","",Dati!F527)</f>
        <v/>
      </c>
      <c r="K527" s="19" t="str">
        <f>IF(OR(H527="",J527=""),"",IF(H527*J527=0,"",H527*J527))</f>
        <v/>
      </c>
      <c r="L527" s="19" t="str">
        <f>IF(A527="","",IFERROR(IF(SUMPRODUCT((ISNUMBER(A$2:A527))*(A$2:A527&gt;1000)*(MONTH(IF(ISNUMBER(A$2:A527),A$2:A527,1))=MONTH(A527))*(YEAR(IF(ISNUMBER(A$2:A527),A$2:A527,1))=YEAR(A527))*IF(ISNUMBER(K$2:K527),K$2:K527,0))=0,"",SUMPRODUCT((ISNUMBER(A$2:A527))*(A$2:A527&gt;1000)*(MONTH(IF(ISNUMBER(A$2:A527),A$2:A527,1))=MONTH(A527))*(YEAR(IF(ISNUMBER(A$2:A527),A$2:A527,1))=YEAR(A527))*IF(ISNUMBER(K$2:K527),K$2:K527,0))),""))</f>
        <v/>
      </c>
      <c r="M527" s="21" t="str">
        <f>IF(A527="","",IFERROR(IF(SUMIF(N$2:N527,"CASA",K$2:K527)=0,"",SUMIF(N$2:N527,"CASA",K$2:K527)),""))</f>
        <v/>
      </c>
      <c r="N527" s="17" t="str">
        <f>IF(J527="","",IF(J527=0.2,"CASA",IF(Dati!G527="","",Dati!G527)))</f>
        <v/>
      </c>
    </row>
    <row r="528" spans="1:14" ht="15" customHeight="1" x14ac:dyDescent="0.2">
      <c r="A528" s="23" t="str">
        <f>IF(Dati!A528="","",Dati!A528)</f>
        <v/>
      </c>
      <c r="B528" s="17" t="str">
        <f>IF(Dati!B528="","",Dati!B528)</f>
        <v/>
      </c>
      <c r="C528" s="17" t="str">
        <f>IF(B528="","",IF(ISNUMBER(B527),IF(B528-B527&lt;0,B528,IF(B528-B527=0,"",B528-B527)),B528))</f>
        <v/>
      </c>
      <c r="D528" s="18" t="str">
        <f>IF(Dati!C528="","",IF(Dati!C528&gt;1,Dati!C528/100,Dati!C528))</f>
        <v/>
      </c>
      <c r="E528" s="18" t="str">
        <f>IF(Dati!D528="","",IF(Dati!D528&gt;1,Dati!D528/100,Dati!D528))</f>
        <v/>
      </c>
      <c r="F528" s="18" t="str">
        <f>IF(OR(D528="",E528=""),"",IF(OR(D528&gt;1,E528&gt;1),(E528-D528)/100,E528-D528))</f>
        <v/>
      </c>
      <c r="G528" s="17" t="str">
        <f>IF(F528="","",IF(64*F528=0,"",64*F528))</f>
        <v/>
      </c>
      <c r="H528" s="19" t="str">
        <f>IF(Dati!E528="","",Dati!E528)</f>
        <v/>
      </c>
      <c r="I528" s="19" t="str">
        <f>IFERROR(IF(OR(C528="",C528=0),"",H528/C528*100),"")</f>
        <v/>
      </c>
      <c r="J528" s="20" t="str">
        <f>IF(Dati!F528="","",Dati!F528)</f>
        <v/>
      </c>
      <c r="K528" s="19" t="str">
        <f>IF(OR(H528="",J528=""),"",IF(H528*J528=0,"",H528*J528))</f>
        <v/>
      </c>
      <c r="L528" s="19" t="str">
        <f>IF(A528="","",IFERROR(IF(SUMPRODUCT((ISNUMBER(A$2:A528))*(A$2:A528&gt;1000)*(MONTH(IF(ISNUMBER(A$2:A528),A$2:A528,1))=MONTH(A528))*(YEAR(IF(ISNUMBER(A$2:A528),A$2:A528,1))=YEAR(A528))*IF(ISNUMBER(K$2:K528),K$2:K528,0))=0,"",SUMPRODUCT((ISNUMBER(A$2:A528))*(A$2:A528&gt;1000)*(MONTH(IF(ISNUMBER(A$2:A528),A$2:A528,1))=MONTH(A528))*(YEAR(IF(ISNUMBER(A$2:A528),A$2:A528,1))=YEAR(A528))*IF(ISNUMBER(K$2:K528),K$2:K528,0))),""))</f>
        <v/>
      </c>
      <c r="M528" s="21" t="str">
        <f>IF(A528="","",IFERROR(IF(SUMIF(N$2:N528,"CASA",K$2:K528)=0,"",SUMIF(N$2:N528,"CASA",K$2:K528)),""))</f>
        <v/>
      </c>
      <c r="N528" s="17" t="str">
        <f>IF(J528="","",IF(J528=0.2,"CASA",IF(Dati!G528="","",Dati!G528)))</f>
        <v/>
      </c>
    </row>
    <row r="529" spans="1:14" ht="15" customHeight="1" x14ac:dyDescent="0.2">
      <c r="A529" s="23" t="str">
        <f>IF(Dati!A529="","",Dati!A529)</f>
        <v/>
      </c>
      <c r="B529" s="17" t="str">
        <f>IF(Dati!B529="","",Dati!B529)</f>
        <v/>
      </c>
      <c r="C529" s="17" t="str">
        <f>IF(B529="","",IF(ISNUMBER(B528),IF(B529-B528&lt;0,B529,IF(B529-B528=0,"",B529-B528)),B529))</f>
        <v/>
      </c>
      <c r="D529" s="18" t="str">
        <f>IF(Dati!C529="","",IF(Dati!C529&gt;1,Dati!C529/100,Dati!C529))</f>
        <v/>
      </c>
      <c r="E529" s="18" t="str">
        <f>IF(Dati!D529="","",IF(Dati!D529&gt;1,Dati!D529/100,Dati!D529))</f>
        <v/>
      </c>
      <c r="F529" s="18" t="str">
        <f>IF(OR(D529="",E529=""),"",IF(OR(D529&gt;1,E529&gt;1),(E529-D529)/100,E529-D529))</f>
        <v/>
      </c>
      <c r="G529" s="17" t="str">
        <f>IF(F529="","",IF(64*F529=0,"",64*F529))</f>
        <v/>
      </c>
      <c r="H529" s="19" t="str">
        <f>IF(Dati!E529="","",Dati!E529)</f>
        <v/>
      </c>
      <c r="I529" s="19" t="str">
        <f>IFERROR(IF(OR(C529="",C529=0),"",H529/C529*100),"")</f>
        <v/>
      </c>
      <c r="J529" s="20" t="str">
        <f>IF(Dati!F529="","",Dati!F529)</f>
        <v/>
      </c>
      <c r="K529" s="19" t="str">
        <f>IF(OR(H529="",J529=""),"",IF(H529*J529=0,"",H529*J529))</f>
        <v/>
      </c>
      <c r="L529" s="19" t="str">
        <f>IF(A529="","",IFERROR(IF(SUMPRODUCT((ISNUMBER(A$2:A529))*(A$2:A529&gt;1000)*(MONTH(IF(ISNUMBER(A$2:A529),A$2:A529,1))=MONTH(A529))*(YEAR(IF(ISNUMBER(A$2:A529),A$2:A529,1))=YEAR(A529))*IF(ISNUMBER(K$2:K529),K$2:K529,0))=0,"",SUMPRODUCT((ISNUMBER(A$2:A529))*(A$2:A529&gt;1000)*(MONTH(IF(ISNUMBER(A$2:A529),A$2:A529,1))=MONTH(A529))*(YEAR(IF(ISNUMBER(A$2:A529),A$2:A529,1))=YEAR(A529))*IF(ISNUMBER(K$2:K529),K$2:K529,0))),""))</f>
        <v/>
      </c>
      <c r="M529" s="21" t="str">
        <f>IF(A529="","",IFERROR(IF(SUMIF(N$2:N529,"CASA",K$2:K529)=0,"",SUMIF(N$2:N529,"CASA",K$2:K529)),""))</f>
        <v/>
      </c>
      <c r="N529" s="17" t="str">
        <f>IF(J529="","",IF(J529=0.2,"CASA",IF(Dati!G529="","",Dati!G529)))</f>
        <v/>
      </c>
    </row>
    <row r="530" spans="1:14" ht="15" customHeight="1" x14ac:dyDescent="0.2">
      <c r="A530" s="23" t="str">
        <f>IF(Dati!A530="","",Dati!A530)</f>
        <v/>
      </c>
      <c r="B530" s="17" t="str">
        <f>IF(Dati!B530="","",Dati!B530)</f>
        <v/>
      </c>
      <c r="C530" s="17" t="str">
        <f>IF(B530="","",IF(ISNUMBER(B529),IF(B530-B529&lt;0,B530,IF(B530-B529=0,"",B530-B529)),B530))</f>
        <v/>
      </c>
      <c r="D530" s="18" t="str">
        <f>IF(Dati!C530="","",IF(Dati!C530&gt;1,Dati!C530/100,Dati!C530))</f>
        <v/>
      </c>
      <c r="E530" s="18" t="str">
        <f>IF(Dati!D530="","",IF(Dati!D530&gt;1,Dati!D530/100,Dati!D530))</f>
        <v/>
      </c>
      <c r="F530" s="18" t="str">
        <f>IF(OR(D530="",E530=""),"",IF(OR(D530&gt;1,E530&gt;1),(E530-D530)/100,E530-D530))</f>
        <v/>
      </c>
      <c r="G530" s="17" t="str">
        <f>IF(F530="","",IF(64*F530=0,"",64*F530))</f>
        <v/>
      </c>
      <c r="H530" s="19" t="str">
        <f>IF(Dati!E530="","",Dati!E530)</f>
        <v/>
      </c>
      <c r="I530" s="19" t="str">
        <f>IFERROR(IF(OR(C530="",C530=0),"",H530/C530*100),"")</f>
        <v/>
      </c>
      <c r="J530" s="20" t="str">
        <f>IF(Dati!F530="","",Dati!F530)</f>
        <v/>
      </c>
      <c r="K530" s="19" t="str">
        <f>IF(OR(H530="",J530=""),"",IF(H530*J530=0,"",H530*J530))</f>
        <v/>
      </c>
      <c r="L530" s="19" t="str">
        <f>IF(A530="","",IFERROR(IF(SUMPRODUCT((ISNUMBER(A$2:A530))*(A$2:A530&gt;1000)*(MONTH(IF(ISNUMBER(A$2:A530),A$2:A530,1))=MONTH(A530))*(YEAR(IF(ISNUMBER(A$2:A530),A$2:A530,1))=YEAR(A530))*IF(ISNUMBER(K$2:K530),K$2:K530,0))=0,"",SUMPRODUCT((ISNUMBER(A$2:A530))*(A$2:A530&gt;1000)*(MONTH(IF(ISNUMBER(A$2:A530),A$2:A530,1))=MONTH(A530))*(YEAR(IF(ISNUMBER(A$2:A530),A$2:A530,1))=YEAR(A530))*IF(ISNUMBER(K$2:K530),K$2:K530,0))),""))</f>
        <v/>
      </c>
      <c r="M530" s="21" t="str">
        <f>IF(A530="","",IFERROR(IF(SUMIF(N$2:N530,"CASA",K$2:K530)=0,"",SUMIF(N$2:N530,"CASA",K$2:K530)),""))</f>
        <v/>
      </c>
      <c r="N530" s="17" t="str">
        <f>IF(J530="","",IF(J530=0.2,"CASA",IF(Dati!G530="","",Dati!G530)))</f>
        <v/>
      </c>
    </row>
    <row r="531" spans="1:14" ht="15" customHeight="1" x14ac:dyDescent="0.2">
      <c r="A531" s="23" t="str">
        <f>IF(Dati!A531="","",Dati!A531)</f>
        <v/>
      </c>
      <c r="B531" s="17" t="str">
        <f>IF(Dati!B531="","",Dati!B531)</f>
        <v/>
      </c>
      <c r="C531" s="17" t="str">
        <f>IF(B531="","",IF(ISNUMBER(B530),IF(B531-B530&lt;0,B531,IF(B531-B530=0,"",B531-B530)),B531))</f>
        <v/>
      </c>
      <c r="D531" s="18" t="str">
        <f>IF(Dati!C531="","",IF(Dati!C531&gt;1,Dati!C531/100,Dati!C531))</f>
        <v/>
      </c>
      <c r="E531" s="18" t="str">
        <f>IF(Dati!D531="","",IF(Dati!D531&gt;1,Dati!D531/100,Dati!D531))</f>
        <v/>
      </c>
      <c r="F531" s="18" t="str">
        <f>IF(OR(D531="",E531=""),"",IF(OR(D531&gt;1,E531&gt;1),(E531-D531)/100,E531-D531))</f>
        <v/>
      </c>
      <c r="G531" s="17" t="str">
        <f>IF(F531="","",IF(64*F531=0,"",64*F531))</f>
        <v/>
      </c>
      <c r="H531" s="19" t="str">
        <f>IF(Dati!E531="","",Dati!E531)</f>
        <v/>
      </c>
      <c r="I531" s="19" t="str">
        <f>IFERROR(IF(OR(C531="",C531=0),"",H531/C531*100),"")</f>
        <v/>
      </c>
      <c r="J531" s="20" t="str">
        <f>IF(Dati!F531="","",Dati!F531)</f>
        <v/>
      </c>
      <c r="K531" s="19" t="str">
        <f>IF(OR(H531="",J531=""),"",IF(H531*J531=0,"",H531*J531))</f>
        <v/>
      </c>
      <c r="L531" s="19" t="str">
        <f>IF(A531="","",IFERROR(IF(SUMPRODUCT((ISNUMBER(A$2:A531))*(A$2:A531&gt;1000)*(MONTH(IF(ISNUMBER(A$2:A531),A$2:A531,1))=MONTH(A531))*(YEAR(IF(ISNUMBER(A$2:A531),A$2:A531,1))=YEAR(A531))*IF(ISNUMBER(K$2:K531),K$2:K531,0))=0,"",SUMPRODUCT((ISNUMBER(A$2:A531))*(A$2:A531&gt;1000)*(MONTH(IF(ISNUMBER(A$2:A531),A$2:A531,1))=MONTH(A531))*(YEAR(IF(ISNUMBER(A$2:A531),A$2:A531,1))=YEAR(A531))*IF(ISNUMBER(K$2:K531),K$2:K531,0))),""))</f>
        <v/>
      </c>
      <c r="M531" s="21" t="str">
        <f>IF(A531="","",IFERROR(IF(SUMIF(N$2:N531,"CASA",K$2:K531)=0,"",SUMIF(N$2:N531,"CASA",K$2:K531)),""))</f>
        <v/>
      </c>
      <c r="N531" s="17" t="str">
        <f>IF(J531="","",IF(J531=0.2,"CASA",IF(Dati!G531="","",Dati!G531)))</f>
        <v/>
      </c>
    </row>
    <row r="532" spans="1:14" ht="15" customHeight="1" x14ac:dyDescent="0.2">
      <c r="A532" s="23" t="str">
        <f>IF(Dati!A532="","",Dati!A532)</f>
        <v/>
      </c>
      <c r="B532" s="17" t="str">
        <f>IF(Dati!B532="","",Dati!B532)</f>
        <v/>
      </c>
      <c r="C532" s="17" t="str">
        <f>IF(B532="","",IF(ISNUMBER(B531),IF(B532-B531&lt;0,B532,IF(B532-B531=0,"",B532-B531)),B532))</f>
        <v/>
      </c>
      <c r="D532" s="18" t="str">
        <f>IF(Dati!C532="","",IF(Dati!C532&gt;1,Dati!C532/100,Dati!C532))</f>
        <v/>
      </c>
      <c r="E532" s="18" t="str">
        <f>IF(Dati!D532="","",IF(Dati!D532&gt;1,Dati!D532/100,Dati!D532))</f>
        <v/>
      </c>
      <c r="F532" s="18" t="str">
        <f>IF(OR(D532="",E532=""),"",IF(OR(D532&gt;1,E532&gt;1),(E532-D532)/100,E532-D532))</f>
        <v/>
      </c>
      <c r="G532" s="17" t="str">
        <f>IF(F532="","",IF(64*F532=0,"",64*F532))</f>
        <v/>
      </c>
      <c r="H532" s="19" t="str">
        <f>IF(Dati!E532="","",Dati!E532)</f>
        <v/>
      </c>
      <c r="I532" s="19" t="str">
        <f>IFERROR(IF(OR(C532="",C532=0),"",H532/C532*100),"")</f>
        <v/>
      </c>
      <c r="J532" s="20" t="str">
        <f>IF(Dati!F532="","",Dati!F532)</f>
        <v/>
      </c>
      <c r="K532" s="19" t="str">
        <f>IF(OR(H532="",J532=""),"",IF(H532*J532=0,"",H532*J532))</f>
        <v/>
      </c>
      <c r="L532" s="19" t="str">
        <f>IF(A532="","",IFERROR(IF(SUMPRODUCT((ISNUMBER(A$2:A532))*(A$2:A532&gt;1000)*(MONTH(IF(ISNUMBER(A$2:A532),A$2:A532,1))=MONTH(A532))*(YEAR(IF(ISNUMBER(A$2:A532),A$2:A532,1))=YEAR(A532))*IF(ISNUMBER(K$2:K532),K$2:K532,0))=0,"",SUMPRODUCT((ISNUMBER(A$2:A532))*(A$2:A532&gt;1000)*(MONTH(IF(ISNUMBER(A$2:A532),A$2:A532,1))=MONTH(A532))*(YEAR(IF(ISNUMBER(A$2:A532),A$2:A532,1))=YEAR(A532))*IF(ISNUMBER(K$2:K532),K$2:K532,0))),""))</f>
        <v/>
      </c>
      <c r="M532" s="21" t="str">
        <f>IF(A532="","",IFERROR(IF(SUMIF(N$2:N532,"CASA",K$2:K532)=0,"",SUMIF(N$2:N532,"CASA",K$2:K532)),""))</f>
        <v/>
      </c>
      <c r="N532" s="17" t="str">
        <f>IF(J532="","",IF(J532=0.2,"CASA",IF(Dati!G532="","",Dati!G532)))</f>
        <v/>
      </c>
    </row>
    <row r="533" spans="1:14" ht="15" customHeight="1" x14ac:dyDescent="0.2">
      <c r="A533" s="23" t="str">
        <f>IF(Dati!A533="","",Dati!A533)</f>
        <v/>
      </c>
      <c r="B533" s="17" t="str">
        <f>IF(Dati!B533="","",Dati!B533)</f>
        <v/>
      </c>
      <c r="C533" s="17" t="str">
        <f>IF(B533="","",IF(ISNUMBER(B532),IF(B533-B532&lt;0,B533,IF(B533-B532=0,"",B533-B532)),B533))</f>
        <v/>
      </c>
      <c r="D533" s="18" t="str">
        <f>IF(Dati!C533="","",IF(Dati!C533&gt;1,Dati!C533/100,Dati!C533))</f>
        <v/>
      </c>
      <c r="E533" s="18" t="str">
        <f>IF(Dati!D533="","",IF(Dati!D533&gt;1,Dati!D533/100,Dati!D533))</f>
        <v/>
      </c>
      <c r="F533" s="18" t="str">
        <f>IF(OR(D533="",E533=""),"",IF(OR(D533&gt;1,E533&gt;1),(E533-D533)/100,E533-D533))</f>
        <v/>
      </c>
      <c r="G533" s="17" t="str">
        <f>IF(F533="","",IF(64*F533=0,"",64*F533))</f>
        <v/>
      </c>
      <c r="H533" s="19" t="str">
        <f>IF(Dati!E533="","",Dati!E533)</f>
        <v/>
      </c>
      <c r="I533" s="19" t="str">
        <f>IFERROR(IF(OR(C533="",C533=0),"",H533/C533*100),"")</f>
        <v/>
      </c>
      <c r="J533" s="20" t="str">
        <f>IF(Dati!F533="","",Dati!F533)</f>
        <v/>
      </c>
      <c r="K533" s="19" t="str">
        <f>IF(OR(H533="",J533=""),"",IF(H533*J533=0,"",H533*J533))</f>
        <v/>
      </c>
      <c r="L533" s="19" t="str">
        <f>IF(A533="","",IFERROR(IF(SUMPRODUCT((ISNUMBER(A$2:A533))*(A$2:A533&gt;1000)*(MONTH(IF(ISNUMBER(A$2:A533),A$2:A533,1))=MONTH(A533))*(YEAR(IF(ISNUMBER(A$2:A533),A$2:A533,1))=YEAR(A533))*IF(ISNUMBER(K$2:K533),K$2:K533,0))=0,"",SUMPRODUCT((ISNUMBER(A$2:A533))*(A$2:A533&gt;1000)*(MONTH(IF(ISNUMBER(A$2:A533),A$2:A533,1))=MONTH(A533))*(YEAR(IF(ISNUMBER(A$2:A533),A$2:A533,1))=YEAR(A533))*IF(ISNUMBER(K$2:K533),K$2:K533,0))),""))</f>
        <v/>
      </c>
      <c r="M533" s="21" t="str">
        <f>IF(A533="","",IFERROR(IF(SUMIF(N$2:N533,"CASA",K$2:K533)=0,"",SUMIF(N$2:N533,"CASA",K$2:K533)),""))</f>
        <v/>
      </c>
      <c r="N533" s="17" t="str">
        <f>IF(J533="","",IF(J533=0.2,"CASA",IF(Dati!G533="","",Dati!G533)))</f>
        <v/>
      </c>
    </row>
    <row r="534" spans="1:14" ht="15" customHeight="1" x14ac:dyDescent="0.2">
      <c r="A534" s="23" t="str">
        <f>IF(Dati!A534="","",Dati!A534)</f>
        <v/>
      </c>
      <c r="B534" s="17" t="str">
        <f>IF(Dati!B534="","",Dati!B534)</f>
        <v/>
      </c>
      <c r="C534" s="17" t="str">
        <f>IF(B534="","",IF(ISNUMBER(B533),IF(B534-B533&lt;0,B534,IF(B534-B533=0,"",B534-B533)),B534))</f>
        <v/>
      </c>
      <c r="D534" s="18" t="str">
        <f>IF(Dati!C534="","",IF(Dati!C534&gt;1,Dati!C534/100,Dati!C534))</f>
        <v/>
      </c>
      <c r="E534" s="18" t="str">
        <f>IF(Dati!D534="","",IF(Dati!D534&gt;1,Dati!D534/100,Dati!D534))</f>
        <v/>
      </c>
      <c r="F534" s="18" t="str">
        <f>IF(OR(D534="",E534=""),"",IF(OR(D534&gt;1,E534&gt;1),(E534-D534)/100,E534-D534))</f>
        <v/>
      </c>
      <c r="G534" s="17" t="str">
        <f>IF(F534="","",IF(64*F534=0,"",64*F534))</f>
        <v/>
      </c>
      <c r="H534" s="19" t="str">
        <f>IF(Dati!E534="","",Dati!E534)</f>
        <v/>
      </c>
      <c r="I534" s="19" t="str">
        <f>IFERROR(IF(OR(C534="",C534=0),"",H534/C534*100),"")</f>
        <v/>
      </c>
      <c r="J534" s="20" t="str">
        <f>IF(Dati!F534="","",Dati!F534)</f>
        <v/>
      </c>
      <c r="K534" s="19" t="str">
        <f>IF(OR(H534="",J534=""),"",IF(H534*J534=0,"",H534*J534))</f>
        <v/>
      </c>
      <c r="L534" s="19" t="str">
        <f>IF(A534="","",IFERROR(IF(SUMPRODUCT((ISNUMBER(A$2:A534))*(A$2:A534&gt;1000)*(MONTH(IF(ISNUMBER(A$2:A534),A$2:A534,1))=MONTH(A534))*(YEAR(IF(ISNUMBER(A$2:A534),A$2:A534,1))=YEAR(A534))*IF(ISNUMBER(K$2:K534),K$2:K534,0))=0,"",SUMPRODUCT((ISNUMBER(A$2:A534))*(A$2:A534&gt;1000)*(MONTH(IF(ISNUMBER(A$2:A534),A$2:A534,1))=MONTH(A534))*(YEAR(IF(ISNUMBER(A$2:A534),A$2:A534,1))=YEAR(A534))*IF(ISNUMBER(K$2:K534),K$2:K534,0))),""))</f>
        <v/>
      </c>
      <c r="M534" s="21" t="str">
        <f>IF(A534="","",IFERROR(IF(SUMIF(N$2:N534,"CASA",K$2:K534)=0,"",SUMIF(N$2:N534,"CASA",K$2:K534)),""))</f>
        <v/>
      </c>
      <c r="N534" s="17" t="str">
        <f>IF(J534="","",IF(J534=0.2,"CASA",IF(Dati!G534="","",Dati!G534)))</f>
        <v/>
      </c>
    </row>
    <row r="535" spans="1:14" ht="15" customHeight="1" x14ac:dyDescent="0.2">
      <c r="A535" s="23" t="str">
        <f>IF(Dati!A535="","",Dati!A535)</f>
        <v/>
      </c>
      <c r="B535" s="17" t="str">
        <f>IF(Dati!B535="","",Dati!B535)</f>
        <v/>
      </c>
      <c r="C535" s="17" t="str">
        <f>IF(B535="","",IF(ISNUMBER(B534),IF(B535-B534&lt;0,B535,IF(B535-B534=0,"",B535-B534)),B535))</f>
        <v/>
      </c>
      <c r="D535" s="18" t="str">
        <f>IF(Dati!C535="","",IF(Dati!C535&gt;1,Dati!C535/100,Dati!C535))</f>
        <v/>
      </c>
      <c r="E535" s="18" t="str">
        <f>IF(Dati!D535="","",IF(Dati!D535&gt;1,Dati!D535/100,Dati!D535))</f>
        <v/>
      </c>
      <c r="F535" s="18" t="str">
        <f>IF(OR(D535="",E535=""),"",IF(OR(D535&gt;1,E535&gt;1),(E535-D535)/100,E535-D535))</f>
        <v/>
      </c>
      <c r="G535" s="17" t="str">
        <f>IF(F535="","",IF(64*F535=0,"",64*F535))</f>
        <v/>
      </c>
      <c r="H535" s="19" t="str">
        <f>IF(Dati!E535="","",Dati!E535)</f>
        <v/>
      </c>
      <c r="I535" s="19" t="str">
        <f>IFERROR(IF(OR(C535="",C535=0),"",H535/C535*100),"")</f>
        <v/>
      </c>
      <c r="J535" s="20" t="str">
        <f>IF(Dati!F535="","",Dati!F535)</f>
        <v/>
      </c>
      <c r="K535" s="19" t="str">
        <f>IF(OR(H535="",J535=""),"",IF(H535*J535=0,"",H535*J535))</f>
        <v/>
      </c>
      <c r="L535" s="19" t="str">
        <f>IF(A535="","",IFERROR(IF(SUMPRODUCT((ISNUMBER(A$2:A535))*(A$2:A535&gt;1000)*(MONTH(IF(ISNUMBER(A$2:A535),A$2:A535,1))=MONTH(A535))*(YEAR(IF(ISNUMBER(A$2:A535),A$2:A535,1))=YEAR(A535))*IF(ISNUMBER(K$2:K535),K$2:K535,0))=0,"",SUMPRODUCT((ISNUMBER(A$2:A535))*(A$2:A535&gt;1000)*(MONTH(IF(ISNUMBER(A$2:A535),A$2:A535,1))=MONTH(A535))*(YEAR(IF(ISNUMBER(A$2:A535),A$2:A535,1))=YEAR(A535))*IF(ISNUMBER(K$2:K535),K$2:K535,0))),""))</f>
        <v/>
      </c>
      <c r="M535" s="21" t="str">
        <f>IF(A535="","",IFERROR(IF(SUMIF(N$2:N535,"CASA",K$2:K535)=0,"",SUMIF(N$2:N535,"CASA",K$2:K535)),""))</f>
        <v/>
      </c>
      <c r="N535" s="17" t="str">
        <f>IF(J535="","",IF(J535=0.2,"CASA",IF(Dati!G535="","",Dati!G535)))</f>
        <v/>
      </c>
    </row>
    <row r="536" spans="1:14" ht="15" customHeight="1" x14ac:dyDescent="0.2">
      <c r="A536" s="23" t="str">
        <f>IF(Dati!A536="","",Dati!A536)</f>
        <v/>
      </c>
      <c r="B536" s="17" t="str">
        <f>IF(Dati!B536="","",Dati!B536)</f>
        <v/>
      </c>
      <c r="C536" s="17" t="str">
        <f>IF(B536="","",IF(ISNUMBER(B535),IF(B536-B535&lt;0,B536,IF(B536-B535=0,"",B536-B535)),B536))</f>
        <v/>
      </c>
      <c r="D536" s="18" t="str">
        <f>IF(Dati!C536="","",IF(Dati!C536&gt;1,Dati!C536/100,Dati!C536))</f>
        <v/>
      </c>
      <c r="E536" s="18" t="str">
        <f>IF(Dati!D536="","",IF(Dati!D536&gt;1,Dati!D536/100,Dati!D536))</f>
        <v/>
      </c>
      <c r="F536" s="18" t="str">
        <f>IF(OR(D536="",E536=""),"",IF(OR(D536&gt;1,E536&gt;1),(E536-D536)/100,E536-D536))</f>
        <v/>
      </c>
      <c r="G536" s="17" t="str">
        <f>IF(F536="","",IF(64*F536=0,"",64*F536))</f>
        <v/>
      </c>
      <c r="H536" s="19" t="str">
        <f>IF(Dati!E536="","",Dati!E536)</f>
        <v/>
      </c>
      <c r="I536" s="19" t="str">
        <f>IFERROR(IF(OR(C536="",C536=0),"",H536/C536*100),"")</f>
        <v/>
      </c>
      <c r="J536" s="20" t="str">
        <f>IF(Dati!F536="","",Dati!F536)</f>
        <v/>
      </c>
      <c r="K536" s="19" t="str">
        <f>IF(OR(H536="",J536=""),"",IF(H536*J536=0,"",H536*J536))</f>
        <v/>
      </c>
      <c r="L536" s="19" t="str">
        <f>IF(A536="","",IFERROR(IF(SUMPRODUCT((ISNUMBER(A$2:A536))*(A$2:A536&gt;1000)*(MONTH(IF(ISNUMBER(A$2:A536),A$2:A536,1))=MONTH(A536))*(YEAR(IF(ISNUMBER(A$2:A536),A$2:A536,1))=YEAR(A536))*IF(ISNUMBER(K$2:K536),K$2:K536,0))=0,"",SUMPRODUCT((ISNUMBER(A$2:A536))*(A$2:A536&gt;1000)*(MONTH(IF(ISNUMBER(A$2:A536),A$2:A536,1))=MONTH(A536))*(YEAR(IF(ISNUMBER(A$2:A536),A$2:A536,1))=YEAR(A536))*IF(ISNUMBER(K$2:K536),K$2:K536,0))),""))</f>
        <v/>
      </c>
      <c r="M536" s="21" t="str">
        <f>IF(A536="","",IFERROR(IF(SUMIF(N$2:N536,"CASA",K$2:K536)=0,"",SUMIF(N$2:N536,"CASA",K$2:K536)),""))</f>
        <v/>
      </c>
      <c r="N536" s="17" t="str">
        <f>IF(J536="","",IF(J536=0.2,"CASA",IF(Dati!G536="","",Dati!G536)))</f>
        <v/>
      </c>
    </row>
    <row r="537" spans="1:14" ht="15" customHeight="1" x14ac:dyDescent="0.2">
      <c r="A537" s="23" t="str">
        <f>IF(Dati!A537="","",Dati!A537)</f>
        <v/>
      </c>
      <c r="B537" s="17" t="str">
        <f>IF(Dati!B537="","",Dati!B537)</f>
        <v/>
      </c>
      <c r="C537" s="17" t="str">
        <f>IF(B537="","",IF(ISNUMBER(B536),IF(B537-B536&lt;0,B537,IF(B537-B536=0,"",B537-B536)),B537))</f>
        <v/>
      </c>
      <c r="D537" s="18" t="str">
        <f>IF(Dati!C537="","",IF(Dati!C537&gt;1,Dati!C537/100,Dati!C537))</f>
        <v/>
      </c>
      <c r="E537" s="18" t="str">
        <f>IF(Dati!D537="","",IF(Dati!D537&gt;1,Dati!D537/100,Dati!D537))</f>
        <v/>
      </c>
      <c r="F537" s="18" t="str">
        <f>IF(OR(D537="",E537=""),"",IF(OR(D537&gt;1,E537&gt;1),(E537-D537)/100,E537-D537))</f>
        <v/>
      </c>
      <c r="G537" s="17" t="str">
        <f>IF(F537="","",IF(64*F537=0,"",64*F537))</f>
        <v/>
      </c>
      <c r="H537" s="19" t="str">
        <f>IF(Dati!E537="","",Dati!E537)</f>
        <v/>
      </c>
      <c r="I537" s="19" t="str">
        <f>IFERROR(IF(OR(C537="",C537=0),"",H537/C537*100),"")</f>
        <v/>
      </c>
      <c r="J537" s="20" t="str">
        <f>IF(Dati!F537="","",Dati!F537)</f>
        <v/>
      </c>
      <c r="K537" s="19" t="str">
        <f>IF(OR(H537="",J537=""),"",IF(H537*J537=0,"",H537*J537))</f>
        <v/>
      </c>
      <c r="L537" s="19" t="str">
        <f>IF(A537="","",IFERROR(IF(SUMPRODUCT((ISNUMBER(A$2:A537))*(A$2:A537&gt;1000)*(MONTH(IF(ISNUMBER(A$2:A537),A$2:A537,1))=MONTH(A537))*(YEAR(IF(ISNUMBER(A$2:A537),A$2:A537,1))=YEAR(A537))*IF(ISNUMBER(K$2:K537),K$2:K537,0))=0,"",SUMPRODUCT((ISNUMBER(A$2:A537))*(A$2:A537&gt;1000)*(MONTH(IF(ISNUMBER(A$2:A537),A$2:A537,1))=MONTH(A537))*(YEAR(IF(ISNUMBER(A$2:A537),A$2:A537,1))=YEAR(A537))*IF(ISNUMBER(K$2:K537),K$2:K537,0))),""))</f>
        <v/>
      </c>
      <c r="M537" s="21" t="str">
        <f>IF(A537="","",IFERROR(IF(SUMIF(N$2:N537,"CASA",K$2:K537)=0,"",SUMIF(N$2:N537,"CASA",K$2:K537)),""))</f>
        <v/>
      </c>
      <c r="N537" s="17" t="str">
        <f>IF(J537="","",IF(J537=0.2,"CASA",IF(Dati!G537="","",Dati!G537)))</f>
        <v/>
      </c>
    </row>
    <row r="538" spans="1:14" ht="15" customHeight="1" x14ac:dyDescent="0.2">
      <c r="A538" s="23" t="str">
        <f>IF(Dati!A538="","",Dati!A538)</f>
        <v/>
      </c>
      <c r="B538" s="17" t="str">
        <f>IF(Dati!B538="","",Dati!B538)</f>
        <v/>
      </c>
      <c r="C538" s="17" t="str">
        <f>IF(B538="","",IF(ISNUMBER(B537),IF(B538-B537&lt;0,B538,IF(B538-B537=0,"",B538-B537)),B538))</f>
        <v/>
      </c>
      <c r="D538" s="18" t="str">
        <f>IF(Dati!C538="","",IF(Dati!C538&gt;1,Dati!C538/100,Dati!C538))</f>
        <v/>
      </c>
      <c r="E538" s="18" t="str">
        <f>IF(Dati!D538="","",IF(Dati!D538&gt;1,Dati!D538/100,Dati!D538))</f>
        <v/>
      </c>
      <c r="F538" s="18" t="str">
        <f>IF(OR(D538="",E538=""),"",IF(OR(D538&gt;1,E538&gt;1),(E538-D538)/100,E538-D538))</f>
        <v/>
      </c>
      <c r="G538" s="17" t="str">
        <f>IF(F538="","",IF(64*F538=0,"",64*F538))</f>
        <v/>
      </c>
      <c r="H538" s="19" t="str">
        <f>IF(Dati!E538="","",Dati!E538)</f>
        <v/>
      </c>
      <c r="I538" s="19" t="str">
        <f>IFERROR(IF(OR(C538="",C538=0),"",H538/C538*100),"")</f>
        <v/>
      </c>
      <c r="J538" s="20" t="str">
        <f>IF(Dati!F538="","",Dati!F538)</f>
        <v/>
      </c>
      <c r="K538" s="19" t="str">
        <f>IF(OR(H538="",J538=""),"",IF(H538*J538=0,"",H538*J538))</f>
        <v/>
      </c>
      <c r="L538" s="19" t="str">
        <f>IF(A538="","",IFERROR(IF(SUMPRODUCT((ISNUMBER(A$2:A538))*(A$2:A538&gt;1000)*(MONTH(IF(ISNUMBER(A$2:A538),A$2:A538,1))=MONTH(A538))*(YEAR(IF(ISNUMBER(A$2:A538),A$2:A538,1))=YEAR(A538))*IF(ISNUMBER(K$2:K538),K$2:K538,0))=0,"",SUMPRODUCT((ISNUMBER(A$2:A538))*(A$2:A538&gt;1000)*(MONTH(IF(ISNUMBER(A$2:A538),A$2:A538,1))=MONTH(A538))*(YEAR(IF(ISNUMBER(A$2:A538),A$2:A538,1))=YEAR(A538))*IF(ISNUMBER(K$2:K538),K$2:K538,0))),""))</f>
        <v/>
      </c>
      <c r="M538" s="21" t="str">
        <f>IF(A538="","",IFERROR(IF(SUMIF(N$2:N538,"CASA",K$2:K538)=0,"",SUMIF(N$2:N538,"CASA",K$2:K538)),""))</f>
        <v/>
      </c>
      <c r="N538" s="17" t="str">
        <f>IF(J538="","",IF(J538=0.2,"CASA",IF(Dati!G538="","",Dati!G538)))</f>
        <v/>
      </c>
    </row>
    <row r="539" spans="1:14" ht="15" customHeight="1" x14ac:dyDescent="0.2">
      <c r="A539" s="23" t="str">
        <f>IF(Dati!A539="","",Dati!A539)</f>
        <v/>
      </c>
      <c r="B539" s="17" t="str">
        <f>IF(Dati!B539="","",Dati!B539)</f>
        <v/>
      </c>
      <c r="C539" s="17" t="str">
        <f>IF(B539="","",IF(ISNUMBER(B538),IF(B539-B538&lt;0,B539,IF(B539-B538=0,"",B539-B538)),B539))</f>
        <v/>
      </c>
      <c r="D539" s="18" t="str">
        <f>IF(Dati!C539="","",IF(Dati!C539&gt;1,Dati!C539/100,Dati!C539))</f>
        <v/>
      </c>
      <c r="E539" s="18" t="str">
        <f>IF(Dati!D539="","",IF(Dati!D539&gt;1,Dati!D539/100,Dati!D539))</f>
        <v/>
      </c>
      <c r="F539" s="18" t="str">
        <f>IF(OR(D539="",E539=""),"",IF(OR(D539&gt;1,E539&gt;1),(E539-D539)/100,E539-D539))</f>
        <v/>
      </c>
      <c r="G539" s="17" t="str">
        <f>IF(F539="","",IF(64*F539=0,"",64*F539))</f>
        <v/>
      </c>
      <c r="H539" s="19" t="str">
        <f>IF(Dati!E539="","",Dati!E539)</f>
        <v/>
      </c>
      <c r="I539" s="19" t="str">
        <f>IFERROR(IF(OR(C539="",C539=0),"",H539/C539*100),"")</f>
        <v/>
      </c>
      <c r="J539" s="20" t="str">
        <f>IF(Dati!F539="","",Dati!F539)</f>
        <v/>
      </c>
      <c r="K539" s="19" t="str">
        <f>IF(OR(H539="",J539=""),"",IF(H539*J539=0,"",H539*J539))</f>
        <v/>
      </c>
      <c r="L539" s="19" t="str">
        <f>IF(A539="","",IFERROR(IF(SUMPRODUCT((ISNUMBER(A$2:A539))*(A$2:A539&gt;1000)*(MONTH(IF(ISNUMBER(A$2:A539),A$2:A539,1))=MONTH(A539))*(YEAR(IF(ISNUMBER(A$2:A539),A$2:A539,1))=YEAR(A539))*IF(ISNUMBER(K$2:K539),K$2:K539,0))=0,"",SUMPRODUCT((ISNUMBER(A$2:A539))*(A$2:A539&gt;1000)*(MONTH(IF(ISNUMBER(A$2:A539),A$2:A539,1))=MONTH(A539))*(YEAR(IF(ISNUMBER(A$2:A539),A$2:A539,1))=YEAR(A539))*IF(ISNUMBER(K$2:K539),K$2:K539,0))),""))</f>
        <v/>
      </c>
      <c r="M539" s="21" t="str">
        <f>IF(A539="","",IFERROR(IF(SUMIF(N$2:N539,"CASA",K$2:K539)=0,"",SUMIF(N$2:N539,"CASA",K$2:K539)),""))</f>
        <v/>
      </c>
      <c r="N539" s="17" t="str">
        <f>IF(J539="","",IF(J539=0.2,"CASA",IF(Dati!G539="","",Dati!G539)))</f>
        <v/>
      </c>
    </row>
    <row r="540" spans="1:14" ht="15" customHeight="1" x14ac:dyDescent="0.2">
      <c r="A540" s="23" t="str">
        <f>IF(Dati!A540="","",Dati!A540)</f>
        <v/>
      </c>
      <c r="B540" s="17" t="str">
        <f>IF(Dati!B540="","",Dati!B540)</f>
        <v/>
      </c>
      <c r="C540" s="17" t="str">
        <f>IF(B540="","",IF(ISNUMBER(B539),IF(B540-B539&lt;0,B540,IF(B540-B539=0,"",B540-B539)),B540))</f>
        <v/>
      </c>
      <c r="D540" s="18" t="str">
        <f>IF(Dati!C540="","",IF(Dati!C540&gt;1,Dati!C540/100,Dati!C540))</f>
        <v/>
      </c>
      <c r="E540" s="18" t="str">
        <f>IF(Dati!D540="","",IF(Dati!D540&gt;1,Dati!D540/100,Dati!D540))</f>
        <v/>
      </c>
      <c r="F540" s="18" t="str">
        <f>IF(OR(D540="",E540=""),"",IF(OR(D540&gt;1,E540&gt;1),(E540-D540)/100,E540-D540))</f>
        <v/>
      </c>
      <c r="G540" s="17" t="str">
        <f>IF(F540="","",IF(64*F540=0,"",64*F540))</f>
        <v/>
      </c>
      <c r="H540" s="19" t="str">
        <f>IF(Dati!E540="","",Dati!E540)</f>
        <v/>
      </c>
      <c r="I540" s="19" t="str">
        <f>IFERROR(IF(OR(C540="",C540=0),"",H540/C540*100),"")</f>
        <v/>
      </c>
      <c r="J540" s="20" t="str">
        <f>IF(Dati!F540="","",Dati!F540)</f>
        <v/>
      </c>
      <c r="K540" s="19" t="str">
        <f>IF(OR(H540="",J540=""),"",IF(H540*J540=0,"",H540*J540))</f>
        <v/>
      </c>
      <c r="L540" s="19" t="str">
        <f>IF(A540="","",IFERROR(IF(SUMPRODUCT((ISNUMBER(A$2:A540))*(A$2:A540&gt;1000)*(MONTH(IF(ISNUMBER(A$2:A540),A$2:A540,1))=MONTH(A540))*(YEAR(IF(ISNUMBER(A$2:A540),A$2:A540,1))=YEAR(A540))*IF(ISNUMBER(K$2:K540),K$2:K540,0))=0,"",SUMPRODUCT((ISNUMBER(A$2:A540))*(A$2:A540&gt;1000)*(MONTH(IF(ISNUMBER(A$2:A540),A$2:A540,1))=MONTH(A540))*(YEAR(IF(ISNUMBER(A$2:A540),A$2:A540,1))=YEAR(A540))*IF(ISNUMBER(K$2:K540),K$2:K540,0))),""))</f>
        <v/>
      </c>
      <c r="M540" s="21" t="str">
        <f>IF(A540="","",IFERROR(IF(SUMIF(N$2:N540,"CASA",K$2:K540)=0,"",SUMIF(N$2:N540,"CASA",K$2:K540)),""))</f>
        <v/>
      </c>
      <c r="N540" s="17" t="str">
        <f>IF(J540="","",IF(J540=0.2,"CASA",IF(Dati!G540="","",Dati!G540)))</f>
        <v/>
      </c>
    </row>
    <row r="541" spans="1:14" ht="15" customHeight="1" x14ac:dyDescent="0.2">
      <c r="A541" s="23" t="str">
        <f>IF(Dati!A541="","",Dati!A541)</f>
        <v/>
      </c>
      <c r="B541" s="17" t="str">
        <f>IF(Dati!B541="","",Dati!B541)</f>
        <v/>
      </c>
      <c r="C541" s="17" t="str">
        <f>IF(B541="","",IF(ISNUMBER(B540),IF(B541-B540&lt;0,B541,IF(B541-B540=0,"",B541-B540)),B541))</f>
        <v/>
      </c>
      <c r="D541" s="18" t="str">
        <f>IF(Dati!C541="","",IF(Dati!C541&gt;1,Dati!C541/100,Dati!C541))</f>
        <v/>
      </c>
      <c r="E541" s="18" t="str">
        <f>IF(Dati!D541="","",IF(Dati!D541&gt;1,Dati!D541/100,Dati!D541))</f>
        <v/>
      </c>
      <c r="F541" s="18" t="str">
        <f>IF(OR(D541="",E541=""),"",IF(OR(D541&gt;1,E541&gt;1),(E541-D541)/100,E541-D541))</f>
        <v/>
      </c>
      <c r="G541" s="17" t="str">
        <f>IF(F541="","",IF(64*F541=0,"",64*F541))</f>
        <v/>
      </c>
      <c r="H541" s="19" t="str">
        <f>IF(Dati!E541="","",Dati!E541)</f>
        <v/>
      </c>
      <c r="I541" s="19" t="str">
        <f>IFERROR(IF(OR(C541="",C541=0),"",H541/C541*100),"")</f>
        <v/>
      </c>
      <c r="J541" s="20" t="str">
        <f>IF(Dati!F541="","",Dati!F541)</f>
        <v/>
      </c>
      <c r="K541" s="19" t="str">
        <f>IF(OR(H541="",J541=""),"",IF(H541*J541=0,"",H541*J541))</f>
        <v/>
      </c>
      <c r="L541" s="19" t="str">
        <f>IF(A541="","",IFERROR(IF(SUMPRODUCT((ISNUMBER(A$2:A541))*(A$2:A541&gt;1000)*(MONTH(IF(ISNUMBER(A$2:A541),A$2:A541,1))=MONTH(A541))*(YEAR(IF(ISNUMBER(A$2:A541),A$2:A541,1))=YEAR(A541))*IF(ISNUMBER(K$2:K541),K$2:K541,0))=0,"",SUMPRODUCT((ISNUMBER(A$2:A541))*(A$2:A541&gt;1000)*(MONTH(IF(ISNUMBER(A$2:A541),A$2:A541,1))=MONTH(A541))*(YEAR(IF(ISNUMBER(A$2:A541),A$2:A541,1))=YEAR(A541))*IF(ISNUMBER(K$2:K541),K$2:K541,0))),""))</f>
        <v/>
      </c>
      <c r="M541" s="21" t="str">
        <f>IF(A541="","",IFERROR(IF(SUMIF(N$2:N541,"CASA",K$2:K541)=0,"",SUMIF(N$2:N541,"CASA",K$2:K541)),""))</f>
        <v/>
      </c>
      <c r="N541" s="17" t="str">
        <f>IF(J541="","",IF(J541=0.2,"CASA",IF(Dati!G541="","",Dati!G541)))</f>
        <v/>
      </c>
    </row>
    <row r="542" spans="1:14" ht="15" customHeight="1" x14ac:dyDescent="0.2">
      <c r="A542" s="23" t="str">
        <f>IF(Dati!A542="","",Dati!A542)</f>
        <v/>
      </c>
      <c r="B542" s="17" t="str">
        <f>IF(Dati!B542="","",Dati!B542)</f>
        <v/>
      </c>
      <c r="C542" s="17" t="str">
        <f>IF(B542="","",IF(ISNUMBER(B541),IF(B542-B541&lt;0,B542,IF(B542-B541=0,"",B542-B541)),B542))</f>
        <v/>
      </c>
      <c r="D542" s="18" t="str">
        <f>IF(Dati!C542="","",IF(Dati!C542&gt;1,Dati!C542/100,Dati!C542))</f>
        <v/>
      </c>
      <c r="E542" s="18" t="str">
        <f>IF(Dati!D542="","",IF(Dati!D542&gt;1,Dati!D542/100,Dati!D542))</f>
        <v/>
      </c>
      <c r="F542" s="18" t="str">
        <f>IF(OR(D542="",E542=""),"",IF(OR(D542&gt;1,E542&gt;1),(E542-D542)/100,E542-D542))</f>
        <v/>
      </c>
      <c r="G542" s="17" t="str">
        <f>IF(F542="","",IF(64*F542=0,"",64*F542))</f>
        <v/>
      </c>
      <c r="H542" s="19" t="str">
        <f>IF(Dati!E542="","",Dati!E542)</f>
        <v/>
      </c>
      <c r="I542" s="19" t="str">
        <f>IFERROR(IF(OR(C542="",C542=0),"",H542/C542*100),"")</f>
        <v/>
      </c>
      <c r="J542" s="20" t="str">
        <f>IF(Dati!F542="","",Dati!F542)</f>
        <v/>
      </c>
      <c r="K542" s="19" t="str">
        <f>IF(OR(H542="",J542=""),"",IF(H542*J542=0,"",H542*J542))</f>
        <v/>
      </c>
      <c r="L542" s="19" t="str">
        <f>IF(A542="","",IFERROR(IF(SUMPRODUCT((ISNUMBER(A$2:A542))*(A$2:A542&gt;1000)*(MONTH(IF(ISNUMBER(A$2:A542),A$2:A542,1))=MONTH(A542))*(YEAR(IF(ISNUMBER(A$2:A542),A$2:A542,1))=YEAR(A542))*IF(ISNUMBER(K$2:K542),K$2:K542,0))=0,"",SUMPRODUCT((ISNUMBER(A$2:A542))*(A$2:A542&gt;1000)*(MONTH(IF(ISNUMBER(A$2:A542),A$2:A542,1))=MONTH(A542))*(YEAR(IF(ISNUMBER(A$2:A542),A$2:A542,1))=YEAR(A542))*IF(ISNUMBER(K$2:K542),K$2:K542,0))),""))</f>
        <v/>
      </c>
      <c r="M542" s="21" t="str">
        <f>IF(A542="","",IFERROR(IF(SUMIF(N$2:N542,"CASA",K$2:K542)=0,"",SUMIF(N$2:N542,"CASA",K$2:K542)),""))</f>
        <v/>
      </c>
      <c r="N542" s="17" t="str">
        <f>IF(J542="","",IF(J542=0.2,"CASA",IF(Dati!G542="","",Dati!G542)))</f>
        <v/>
      </c>
    </row>
    <row r="543" spans="1:14" ht="15" customHeight="1" x14ac:dyDescent="0.2">
      <c r="A543" s="23" t="str">
        <f>IF(Dati!A543="","",Dati!A543)</f>
        <v/>
      </c>
      <c r="B543" s="17" t="str">
        <f>IF(Dati!B543="","",Dati!B543)</f>
        <v/>
      </c>
      <c r="C543" s="17" t="str">
        <f>IF(B543="","",IF(ISNUMBER(B542),IF(B543-B542&lt;0,B543,IF(B543-B542=0,"",B543-B542)),B543))</f>
        <v/>
      </c>
      <c r="D543" s="18" t="str">
        <f>IF(Dati!C543="","",IF(Dati!C543&gt;1,Dati!C543/100,Dati!C543))</f>
        <v/>
      </c>
      <c r="E543" s="18" t="str">
        <f>IF(Dati!D543="","",IF(Dati!D543&gt;1,Dati!D543/100,Dati!D543))</f>
        <v/>
      </c>
      <c r="F543" s="18" t="str">
        <f>IF(OR(D543="",E543=""),"",IF(OR(D543&gt;1,E543&gt;1),(E543-D543)/100,E543-D543))</f>
        <v/>
      </c>
      <c r="G543" s="17" t="str">
        <f>IF(F543="","",IF(64*F543=0,"",64*F543))</f>
        <v/>
      </c>
      <c r="H543" s="19" t="str">
        <f>IF(Dati!E543="","",Dati!E543)</f>
        <v/>
      </c>
      <c r="I543" s="19" t="str">
        <f>IFERROR(IF(OR(C543="",C543=0),"",H543/C543*100),"")</f>
        <v/>
      </c>
      <c r="J543" s="20" t="str">
        <f>IF(Dati!F543="","",Dati!F543)</f>
        <v/>
      </c>
      <c r="K543" s="19" t="str">
        <f>IF(OR(H543="",J543=""),"",IF(H543*J543=0,"",H543*J543))</f>
        <v/>
      </c>
      <c r="L543" s="19" t="str">
        <f>IF(A543="","",IFERROR(IF(SUMPRODUCT((ISNUMBER(A$2:A543))*(A$2:A543&gt;1000)*(MONTH(IF(ISNUMBER(A$2:A543),A$2:A543,1))=MONTH(A543))*(YEAR(IF(ISNUMBER(A$2:A543),A$2:A543,1))=YEAR(A543))*IF(ISNUMBER(K$2:K543),K$2:K543,0))=0,"",SUMPRODUCT((ISNUMBER(A$2:A543))*(A$2:A543&gt;1000)*(MONTH(IF(ISNUMBER(A$2:A543),A$2:A543,1))=MONTH(A543))*(YEAR(IF(ISNUMBER(A$2:A543),A$2:A543,1))=YEAR(A543))*IF(ISNUMBER(K$2:K543),K$2:K543,0))),""))</f>
        <v/>
      </c>
      <c r="M543" s="21" t="str">
        <f>IF(A543="","",IFERROR(IF(SUMIF(N$2:N543,"CASA",K$2:K543)=0,"",SUMIF(N$2:N543,"CASA",K$2:K543)),""))</f>
        <v/>
      </c>
      <c r="N543" s="17" t="str">
        <f>IF(J543="","",IF(J543=0.2,"CASA",IF(Dati!G543="","",Dati!G543)))</f>
        <v/>
      </c>
    </row>
    <row r="544" spans="1:14" ht="15" customHeight="1" x14ac:dyDescent="0.2">
      <c r="A544" s="23" t="str">
        <f>IF(Dati!A544="","",Dati!A544)</f>
        <v/>
      </c>
      <c r="B544" s="17" t="str">
        <f>IF(Dati!B544="","",Dati!B544)</f>
        <v/>
      </c>
      <c r="C544" s="17" t="str">
        <f>IF(B544="","",IF(ISNUMBER(B543),IF(B544-B543&lt;0,B544,IF(B544-B543=0,"",B544-B543)),B544))</f>
        <v/>
      </c>
      <c r="D544" s="18" t="str">
        <f>IF(Dati!C544="","",IF(Dati!C544&gt;1,Dati!C544/100,Dati!C544))</f>
        <v/>
      </c>
      <c r="E544" s="18" t="str">
        <f>IF(Dati!D544="","",IF(Dati!D544&gt;1,Dati!D544/100,Dati!D544))</f>
        <v/>
      </c>
      <c r="F544" s="18" t="str">
        <f>IF(OR(D544="",E544=""),"",IF(OR(D544&gt;1,E544&gt;1),(E544-D544)/100,E544-D544))</f>
        <v/>
      </c>
      <c r="G544" s="17" t="str">
        <f>IF(F544="","",IF(64*F544=0,"",64*F544))</f>
        <v/>
      </c>
      <c r="H544" s="19" t="str">
        <f>IF(Dati!E544="","",Dati!E544)</f>
        <v/>
      </c>
      <c r="I544" s="19" t="str">
        <f>IFERROR(IF(OR(C544="",C544=0),"",H544/C544*100),"")</f>
        <v/>
      </c>
      <c r="J544" s="20" t="str">
        <f>IF(Dati!F544="","",Dati!F544)</f>
        <v/>
      </c>
      <c r="K544" s="19" t="str">
        <f>IF(OR(H544="",J544=""),"",IF(H544*J544=0,"",H544*J544))</f>
        <v/>
      </c>
      <c r="L544" s="19" t="str">
        <f>IF(A544="","",IFERROR(IF(SUMPRODUCT((ISNUMBER(A$2:A544))*(A$2:A544&gt;1000)*(MONTH(IF(ISNUMBER(A$2:A544),A$2:A544,1))=MONTH(A544))*(YEAR(IF(ISNUMBER(A$2:A544),A$2:A544,1))=YEAR(A544))*IF(ISNUMBER(K$2:K544),K$2:K544,0))=0,"",SUMPRODUCT((ISNUMBER(A$2:A544))*(A$2:A544&gt;1000)*(MONTH(IF(ISNUMBER(A$2:A544),A$2:A544,1))=MONTH(A544))*(YEAR(IF(ISNUMBER(A$2:A544),A$2:A544,1))=YEAR(A544))*IF(ISNUMBER(K$2:K544),K$2:K544,0))),""))</f>
        <v/>
      </c>
      <c r="M544" s="21" t="str">
        <f>IF(A544="","",IFERROR(IF(SUMIF(N$2:N544,"CASA",K$2:K544)=0,"",SUMIF(N$2:N544,"CASA",K$2:K544)),""))</f>
        <v/>
      </c>
      <c r="N544" s="17" t="str">
        <f>IF(J544="","",IF(J544=0.2,"CASA",IF(Dati!G544="","",Dati!G544)))</f>
        <v/>
      </c>
    </row>
    <row r="545" spans="1:14" ht="15" customHeight="1" x14ac:dyDescent="0.2">
      <c r="A545" s="23" t="str">
        <f>IF(Dati!A545="","",Dati!A545)</f>
        <v/>
      </c>
      <c r="B545" s="17" t="str">
        <f>IF(Dati!B545="","",Dati!B545)</f>
        <v/>
      </c>
      <c r="C545" s="17" t="str">
        <f>IF(B545="","",IF(ISNUMBER(B544),IF(B545-B544&lt;0,B545,IF(B545-B544=0,"",B545-B544)),B545))</f>
        <v/>
      </c>
      <c r="D545" s="18" t="str">
        <f>IF(Dati!C545="","",IF(Dati!C545&gt;1,Dati!C545/100,Dati!C545))</f>
        <v/>
      </c>
      <c r="E545" s="18" t="str">
        <f>IF(Dati!D545="","",IF(Dati!D545&gt;1,Dati!D545/100,Dati!D545))</f>
        <v/>
      </c>
      <c r="F545" s="18" t="str">
        <f>IF(OR(D545="",E545=""),"",IF(OR(D545&gt;1,E545&gt;1),(E545-D545)/100,E545-D545))</f>
        <v/>
      </c>
      <c r="G545" s="17" t="str">
        <f>IF(F545="","",IF(64*F545=0,"",64*F545))</f>
        <v/>
      </c>
      <c r="H545" s="19" t="str">
        <f>IF(Dati!E545="","",Dati!E545)</f>
        <v/>
      </c>
      <c r="I545" s="19" t="str">
        <f>IFERROR(IF(OR(C545="",C545=0),"",H545/C545*100),"")</f>
        <v/>
      </c>
      <c r="J545" s="20" t="str">
        <f>IF(Dati!F545="","",Dati!F545)</f>
        <v/>
      </c>
      <c r="K545" s="19" t="str">
        <f>IF(OR(H545="",J545=""),"",IF(H545*J545=0,"",H545*J545))</f>
        <v/>
      </c>
      <c r="L545" s="19" t="str">
        <f>IF(A545="","",IFERROR(IF(SUMPRODUCT((ISNUMBER(A$2:A545))*(A$2:A545&gt;1000)*(MONTH(IF(ISNUMBER(A$2:A545),A$2:A545,1))=MONTH(A545))*(YEAR(IF(ISNUMBER(A$2:A545),A$2:A545,1))=YEAR(A545))*IF(ISNUMBER(K$2:K545),K$2:K545,0))=0,"",SUMPRODUCT((ISNUMBER(A$2:A545))*(A$2:A545&gt;1000)*(MONTH(IF(ISNUMBER(A$2:A545),A$2:A545,1))=MONTH(A545))*(YEAR(IF(ISNUMBER(A$2:A545),A$2:A545,1))=YEAR(A545))*IF(ISNUMBER(K$2:K545),K$2:K545,0))),""))</f>
        <v/>
      </c>
      <c r="M545" s="21" t="str">
        <f>IF(A545="","",IFERROR(IF(SUMIF(N$2:N545,"CASA",K$2:K545)=0,"",SUMIF(N$2:N545,"CASA",K$2:K545)),""))</f>
        <v/>
      </c>
      <c r="N545" s="17" t="str">
        <f>IF(J545="","",IF(J545=0.2,"CASA",IF(Dati!G545="","",Dati!G545)))</f>
        <v/>
      </c>
    </row>
    <row r="546" spans="1:14" ht="15" customHeight="1" x14ac:dyDescent="0.2">
      <c r="A546" s="23" t="str">
        <f>IF(Dati!A546="","",Dati!A546)</f>
        <v/>
      </c>
      <c r="B546" s="17" t="str">
        <f>IF(Dati!B546="","",Dati!B546)</f>
        <v/>
      </c>
      <c r="C546" s="17" t="str">
        <f>IF(B546="","",IF(ISNUMBER(B545),IF(B546-B545&lt;0,B546,IF(B546-B545=0,"",B546-B545)),B546))</f>
        <v/>
      </c>
      <c r="D546" s="18" t="str">
        <f>IF(Dati!C546="","",IF(Dati!C546&gt;1,Dati!C546/100,Dati!C546))</f>
        <v/>
      </c>
      <c r="E546" s="18" t="str">
        <f>IF(Dati!D546="","",IF(Dati!D546&gt;1,Dati!D546/100,Dati!D546))</f>
        <v/>
      </c>
      <c r="F546" s="18" t="str">
        <f>IF(OR(D546="",E546=""),"",IF(OR(D546&gt;1,E546&gt;1),(E546-D546)/100,E546-D546))</f>
        <v/>
      </c>
      <c r="G546" s="17" t="str">
        <f>IF(F546="","",IF(64*F546=0,"",64*F546))</f>
        <v/>
      </c>
      <c r="H546" s="19" t="str">
        <f>IF(Dati!E546="","",Dati!E546)</f>
        <v/>
      </c>
      <c r="I546" s="19" t="str">
        <f>IFERROR(IF(OR(C546="",C546=0),"",H546/C546*100),"")</f>
        <v/>
      </c>
      <c r="J546" s="20" t="str">
        <f>IF(Dati!F546="","",Dati!F546)</f>
        <v/>
      </c>
      <c r="K546" s="19" t="str">
        <f>IF(OR(H546="",J546=""),"",IF(H546*J546=0,"",H546*J546))</f>
        <v/>
      </c>
      <c r="L546" s="19" t="str">
        <f>IF(A546="","",IFERROR(IF(SUMPRODUCT((ISNUMBER(A$2:A546))*(A$2:A546&gt;1000)*(MONTH(IF(ISNUMBER(A$2:A546),A$2:A546,1))=MONTH(A546))*(YEAR(IF(ISNUMBER(A$2:A546),A$2:A546,1))=YEAR(A546))*IF(ISNUMBER(K$2:K546),K$2:K546,0))=0,"",SUMPRODUCT((ISNUMBER(A$2:A546))*(A$2:A546&gt;1000)*(MONTH(IF(ISNUMBER(A$2:A546),A$2:A546,1))=MONTH(A546))*(YEAR(IF(ISNUMBER(A$2:A546),A$2:A546,1))=YEAR(A546))*IF(ISNUMBER(K$2:K546),K$2:K546,0))),""))</f>
        <v/>
      </c>
      <c r="M546" s="21" t="str">
        <f>IF(A546="","",IFERROR(IF(SUMIF(N$2:N546,"CASA",K$2:K546)=0,"",SUMIF(N$2:N546,"CASA",K$2:K546)),""))</f>
        <v/>
      </c>
      <c r="N546" s="17" t="str">
        <f>IF(J546="","",IF(J546=0.2,"CASA",IF(Dati!G546="","",Dati!G546)))</f>
        <v/>
      </c>
    </row>
    <row r="547" spans="1:14" ht="15" customHeight="1" x14ac:dyDescent="0.2">
      <c r="A547" s="23" t="str">
        <f>IF(Dati!A547="","",Dati!A547)</f>
        <v/>
      </c>
      <c r="B547" s="17" t="str">
        <f>IF(Dati!B547="","",Dati!B547)</f>
        <v/>
      </c>
      <c r="C547" s="17" t="str">
        <f>IF(B547="","",IF(ISNUMBER(B546),IF(B547-B546&lt;0,B547,IF(B547-B546=0,"",B547-B546)),B547))</f>
        <v/>
      </c>
      <c r="D547" s="18" t="str">
        <f>IF(Dati!C547="","",IF(Dati!C547&gt;1,Dati!C547/100,Dati!C547))</f>
        <v/>
      </c>
      <c r="E547" s="18" t="str">
        <f>IF(Dati!D547="","",IF(Dati!D547&gt;1,Dati!D547/100,Dati!D547))</f>
        <v/>
      </c>
      <c r="F547" s="18" t="str">
        <f>IF(OR(D547="",E547=""),"",IF(OR(D547&gt;1,E547&gt;1),(E547-D547)/100,E547-D547))</f>
        <v/>
      </c>
      <c r="G547" s="17" t="str">
        <f>IF(F547="","",IF(64*F547=0,"",64*F547))</f>
        <v/>
      </c>
      <c r="H547" s="19" t="str">
        <f>IF(Dati!E547="","",Dati!E547)</f>
        <v/>
      </c>
      <c r="I547" s="19" t="str">
        <f>IFERROR(IF(OR(C547="",C547=0),"",H547/C547*100),"")</f>
        <v/>
      </c>
      <c r="J547" s="20" t="str">
        <f>IF(Dati!F547="","",Dati!F547)</f>
        <v/>
      </c>
      <c r="K547" s="19" t="str">
        <f>IF(OR(H547="",J547=""),"",IF(H547*J547=0,"",H547*J547))</f>
        <v/>
      </c>
      <c r="L547" s="19" t="str">
        <f>IF(A547="","",IFERROR(IF(SUMPRODUCT((ISNUMBER(A$2:A547))*(A$2:A547&gt;1000)*(MONTH(IF(ISNUMBER(A$2:A547),A$2:A547,1))=MONTH(A547))*(YEAR(IF(ISNUMBER(A$2:A547),A$2:A547,1))=YEAR(A547))*IF(ISNUMBER(K$2:K547),K$2:K547,0))=0,"",SUMPRODUCT((ISNUMBER(A$2:A547))*(A$2:A547&gt;1000)*(MONTH(IF(ISNUMBER(A$2:A547),A$2:A547,1))=MONTH(A547))*(YEAR(IF(ISNUMBER(A$2:A547),A$2:A547,1))=YEAR(A547))*IF(ISNUMBER(K$2:K547),K$2:K547,0))),""))</f>
        <v/>
      </c>
      <c r="M547" s="21" t="str">
        <f>IF(A547="","",IFERROR(IF(SUMIF(N$2:N547,"CASA",K$2:K547)=0,"",SUMIF(N$2:N547,"CASA",K$2:K547)),""))</f>
        <v/>
      </c>
      <c r="N547" s="17" t="str">
        <f>IF(J547="","",IF(J547=0.2,"CASA",IF(Dati!G547="","",Dati!G547)))</f>
        <v/>
      </c>
    </row>
    <row r="548" spans="1:14" ht="15" customHeight="1" x14ac:dyDescent="0.2">
      <c r="A548" s="23" t="str">
        <f>IF(Dati!A548="","",Dati!A548)</f>
        <v/>
      </c>
      <c r="B548" s="17" t="str">
        <f>IF(Dati!B548="","",Dati!B548)</f>
        <v/>
      </c>
      <c r="C548" s="17" t="str">
        <f>IF(B548="","",IF(ISNUMBER(B547),IF(B548-B547&lt;0,B548,IF(B548-B547=0,"",B548-B547)),B548))</f>
        <v/>
      </c>
      <c r="D548" s="18" t="str">
        <f>IF(Dati!C548="","",IF(Dati!C548&gt;1,Dati!C548/100,Dati!C548))</f>
        <v/>
      </c>
      <c r="E548" s="18" t="str">
        <f>IF(Dati!D548="","",IF(Dati!D548&gt;1,Dati!D548/100,Dati!D548))</f>
        <v/>
      </c>
      <c r="F548" s="18" t="str">
        <f>IF(OR(D548="",E548=""),"",IF(OR(D548&gt;1,E548&gt;1),(E548-D548)/100,E548-D548))</f>
        <v/>
      </c>
      <c r="G548" s="17" t="str">
        <f>IF(F548="","",IF(64*F548=0,"",64*F548))</f>
        <v/>
      </c>
      <c r="H548" s="19" t="str">
        <f>IF(Dati!E548="","",Dati!E548)</f>
        <v/>
      </c>
      <c r="I548" s="19" t="str">
        <f>IFERROR(IF(OR(C548="",C548=0),"",H548/C548*100),"")</f>
        <v/>
      </c>
      <c r="J548" s="20" t="str">
        <f>IF(Dati!F548="","",Dati!F548)</f>
        <v/>
      </c>
      <c r="K548" s="19" t="str">
        <f>IF(OR(H548="",J548=""),"",IF(H548*J548=0,"",H548*J548))</f>
        <v/>
      </c>
      <c r="L548" s="19" t="str">
        <f>IF(A548="","",IFERROR(IF(SUMPRODUCT((ISNUMBER(A$2:A548))*(A$2:A548&gt;1000)*(MONTH(IF(ISNUMBER(A$2:A548),A$2:A548,1))=MONTH(A548))*(YEAR(IF(ISNUMBER(A$2:A548),A$2:A548,1))=YEAR(A548))*IF(ISNUMBER(K$2:K548),K$2:K548,0))=0,"",SUMPRODUCT((ISNUMBER(A$2:A548))*(A$2:A548&gt;1000)*(MONTH(IF(ISNUMBER(A$2:A548),A$2:A548,1))=MONTH(A548))*(YEAR(IF(ISNUMBER(A$2:A548),A$2:A548,1))=YEAR(A548))*IF(ISNUMBER(K$2:K548),K$2:K548,0))),""))</f>
        <v/>
      </c>
      <c r="M548" s="21" t="str">
        <f>IF(A548="","",IFERROR(IF(SUMIF(N$2:N548,"CASA",K$2:K548)=0,"",SUMIF(N$2:N548,"CASA",K$2:K548)),""))</f>
        <v/>
      </c>
      <c r="N548" s="17" t="str">
        <f>IF(J548="","",IF(J548=0.2,"CASA",IF(Dati!G548="","",Dati!G548)))</f>
        <v/>
      </c>
    </row>
    <row r="549" spans="1:14" ht="15" customHeight="1" x14ac:dyDescent="0.2">
      <c r="A549" s="23" t="str">
        <f>IF(Dati!A549="","",Dati!A549)</f>
        <v/>
      </c>
      <c r="B549" s="17" t="str">
        <f>IF(Dati!B549="","",Dati!B549)</f>
        <v/>
      </c>
      <c r="C549" s="17" t="str">
        <f>IF(B549="","",IF(ISNUMBER(B548),IF(B549-B548&lt;0,B549,IF(B549-B548=0,"",B549-B548)),B549))</f>
        <v/>
      </c>
      <c r="D549" s="18" t="str">
        <f>IF(Dati!C549="","",IF(Dati!C549&gt;1,Dati!C549/100,Dati!C549))</f>
        <v/>
      </c>
      <c r="E549" s="18" t="str">
        <f>IF(Dati!D549="","",IF(Dati!D549&gt;1,Dati!D549/100,Dati!D549))</f>
        <v/>
      </c>
      <c r="F549" s="18" t="str">
        <f>IF(OR(D549="",E549=""),"",IF(OR(D549&gt;1,E549&gt;1),(E549-D549)/100,E549-D549))</f>
        <v/>
      </c>
      <c r="G549" s="17" t="str">
        <f>IF(F549="","",IF(64*F549=0,"",64*F549))</f>
        <v/>
      </c>
      <c r="H549" s="19" t="str">
        <f>IF(Dati!E549="","",Dati!E549)</f>
        <v/>
      </c>
      <c r="I549" s="19" t="str">
        <f>IFERROR(IF(OR(C549="",C549=0),"",H549/C549*100),"")</f>
        <v/>
      </c>
      <c r="J549" s="20" t="str">
        <f>IF(Dati!F549="","",Dati!F549)</f>
        <v/>
      </c>
      <c r="K549" s="19" t="str">
        <f>IF(OR(H549="",J549=""),"",IF(H549*J549=0,"",H549*J549))</f>
        <v/>
      </c>
      <c r="L549" s="19" t="str">
        <f>IF(A549="","",IFERROR(IF(SUMPRODUCT((ISNUMBER(A$2:A549))*(A$2:A549&gt;1000)*(MONTH(IF(ISNUMBER(A$2:A549),A$2:A549,1))=MONTH(A549))*(YEAR(IF(ISNUMBER(A$2:A549),A$2:A549,1))=YEAR(A549))*IF(ISNUMBER(K$2:K549),K$2:K549,0))=0,"",SUMPRODUCT((ISNUMBER(A$2:A549))*(A$2:A549&gt;1000)*(MONTH(IF(ISNUMBER(A$2:A549),A$2:A549,1))=MONTH(A549))*(YEAR(IF(ISNUMBER(A$2:A549),A$2:A549,1))=YEAR(A549))*IF(ISNUMBER(K$2:K549),K$2:K549,0))),""))</f>
        <v/>
      </c>
      <c r="M549" s="21" t="str">
        <f>IF(A549="","",IFERROR(IF(SUMIF(N$2:N549,"CASA",K$2:K549)=0,"",SUMIF(N$2:N549,"CASA",K$2:K549)),""))</f>
        <v/>
      </c>
      <c r="N549" s="17" t="str">
        <f>IF(J549="","",IF(J549=0.2,"CASA",IF(Dati!G549="","",Dati!G549)))</f>
        <v/>
      </c>
    </row>
    <row r="550" spans="1:14" ht="15" customHeight="1" x14ac:dyDescent="0.2">
      <c r="A550" s="23" t="str">
        <f>IF(Dati!A550="","",Dati!A550)</f>
        <v/>
      </c>
      <c r="B550" s="17" t="str">
        <f>IF(Dati!B550="","",Dati!B550)</f>
        <v/>
      </c>
      <c r="C550" s="17" t="str">
        <f>IF(B550="","",IF(ISNUMBER(B549),IF(B550-B549&lt;0,B550,IF(B550-B549=0,"",B550-B549)),B550))</f>
        <v/>
      </c>
      <c r="D550" s="18" t="str">
        <f>IF(Dati!C550="","",IF(Dati!C550&gt;1,Dati!C550/100,Dati!C550))</f>
        <v/>
      </c>
      <c r="E550" s="18" t="str">
        <f>IF(Dati!D550="","",IF(Dati!D550&gt;1,Dati!D550/100,Dati!D550))</f>
        <v/>
      </c>
      <c r="F550" s="18" t="str">
        <f>IF(OR(D550="",E550=""),"",IF(OR(D550&gt;1,E550&gt;1),(E550-D550)/100,E550-D550))</f>
        <v/>
      </c>
      <c r="G550" s="17" t="str">
        <f>IF(F550="","",IF(64*F550=0,"",64*F550))</f>
        <v/>
      </c>
      <c r="H550" s="19" t="str">
        <f>IF(Dati!E550="","",Dati!E550)</f>
        <v/>
      </c>
      <c r="I550" s="19" t="str">
        <f>IFERROR(IF(OR(C550="",C550=0),"",H550/C550*100),"")</f>
        <v/>
      </c>
      <c r="J550" s="20" t="str">
        <f>IF(Dati!F550="","",Dati!F550)</f>
        <v/>
      </c>
      <c r="K550" s="19" t="str">
        <f>IF(OR(H550="",J550=""),"",IF(H550*J550=0,"",H550*J550))</f>
        <v/>
      </c>
      <c r="L550" s="19" t="str">
        <f>IF(A550="","",IFERROR(IF(SUMPRODUCT((ISNUMBER(A$2:A550))*(A$2:A550&gt;1000)*(MONTH(IF(ISNUMBER(A$2:A550),A$2:A550,1))=MONTH(A550))*(YEAR(IF(ISNUMBER(A$2:A550),A$2:A550,1))=YEAR(A550))*IF(ISNUMBER(K$2:K550),K$2:K550,0))=0,"",SUMPRODUCT((ISNUMBER(A$2:A550))*(A$2:A550&gt;1000)*(MONTH(IF(ISNUMBER(A$2:A550),A$2:A550,1))=MONTH(A550))*(YEAR(IF(ISNUMBER(A$2:A550),A$2:A550,1))=YEAR(A550))*IF(ISNUMBER(K$2:K550),K$2:K550,0))),""))</f>
        <v/>
      </c>
      <c r="M550" s="21" t="str">
        <f>IF(A550="","",IFERROR(IF(SUMIF(N$2:N550,"CASA",K$2:K550)=0,"",SUMIF(N$2:N550,"CASA",K$2:K550)),""))</f>
        <v/>
      </c>
      <c r="N550" s="17" t="str">
        <f>IF(J550="","",IF(J550=0.2,"CASA",IF(Dati!G550="","",Dati!G550)))</f>
        <v/>
      </c>
    </row>
    <row r="551" spans="1:14" ht="15" customHeight="1" x14ac:dyDescent="0.2">
      <c r="A551" s="23" t="str">
        <f>IF(Dati!A551="","",Dati!A551)</f>
        <v/>
      </c>
      <c r="B551" s="17" t="str">
        <f>IF(Dati!B551="","",Dati!B551)</f>
        <v/>
      </c>
      <c r="C551" s="17" t="str">
        <f>IF(B551="","",IF(ISNUMBER(B550),IF(B551-B550&lt;0,B551,IF(B551-B550=0,"",B551-B550)),B551))</f>
        <v/>
      </c>
      <c r="D551" s="18" t="str">
        <f>IF(Dati!C551="","",IF(Dati!C551&gt;1,Dati!C551/100,Dati!C551))</f>
        <v/>
      </c>
      <c r="E551" s="18" t="str">
        <f>IF(Dati!D551="","",IF(Dati!D551&gt;1,Dati!D551/100,Dati!D551))</f>
        <v/>
      </c>
      <c r="F551" s="18" t="str">
        <f>IF(OR(D551="",E551=""),"",IF(OR(D551&gt;1,E551&gt;1),(E551-D551)/100,E551-D551))</f>
        <v/>
      </c>
      <c r="G551" s="17" t="str">
        <f>IF(F551="","",IF(64*F551=0,"",64*F551))</f>
        <v/>
      </c>
      <c r="H551" s="19" t="str">
        <f>IF(Dati!E551="","",Dati!E551)</f>
        <v/>
      </c>
      <c r="I551" s="19" t="str">
        <f>IFERROR(IF(OR(C551="",C551=0),"",H551/C551*100),"")</f>
        <v/>
      </c>
      <c r="J551" s="20" t="str">
        <f>IF(Dati!F551="","",Dati!F551)</f>
        <v/>
      </c>
      <c r="K551" s="19" t="str">
        <f>IF(OR(H551="",J551=""),"",IF(H551*J551=0,"",H551*J551))</f>
        <v/>
      </c>
      <c r="L551" s="19" t="str">
        <f>IF(A551="","",IFERROR(IF(SUMPRODUCT((ISNUMBER(A$2:A551))*(A$2:A551&gt;1000)*(MONTH(IF(ISNUMBER(A$2:A551),A$2:A551,1))=MONTH(A551))*(YEAR(IF(ISNUMBER(A$2:A551),A$2:A551,1))=YEAR(A551))*IF(ISNUMBER(K$2:K551),K$2:K551,0))=0,"",SUMPRODUCT((ISNUMBER(A$2:A551))*(A$2:A551&gt;1000)*(MONTH(IF(ISNUMBER(A$2:A551),A$2:A551,1))=MONTH(A551))*(YEAR(IF(ISNUMBER(A$2:A551),A$2:A551,1))=YEAR(A551))*IF(ISNUMBER(K$2:K551),K$2:K551,0))),""))</f>
        <v/>
      </c>
      <c r="M551" s="21" t="str">
        <f>IF(A551="","",IFERROR(IF(SUMIF(N$2:N551,"CASA",K$2:K551)=0,"",SUMIF(N$2:N551,"CASA",K$2:K551)),""))</f>
        <v/>
      </c>
      <c r="N551" s="17" t="str">
        <f>IF(J551="","",IF(J551=0.2,"CASA",IF(Dati!G551="","",Dati!G551)))</f>
        <v/>
      </c>
    </row>
    <row r="552" spans="1:14" ht="15" customHeight="1" x14ac:dyDescent="0.2">
      <c r="A552" s="23" t="str">
        <f>IF(Dati!A552="","",Dati!A552)</f>
        <v/>
      </c>
      <c r="B552" s="17" t="str">
        <f>IF(Dati!B552="","",Dati!B552)</f>
        <v/>
      </c>
      <c r="C552" s="17" t="str">
        <f>IF(B552="","",IF(ISNUMBER(B551),IF(B552-B551&lt;0,B552,IF(B552-B551=0,"",B552-B551)),B552))</f>
        <v/>
      </c>
      <c r="D552" s="18" t="str">
        <f>IF(Dati!C552="","",IF(Dati!C552&gt;1,Dati!C552/100,Dati!C552))</f>
        <v/>
      </c>
      <c r="E552" s="18" t="str">
        <f>IF(Dati!D552="","",IF(Dati!D552&gt;1,Dati!D552/100,Dati!D552))</f>
        <v/>
      </c>
      <c r="F552" s="18" t="str">
        <f>IF(OR(D552="",E552=""),"",IF(OR(D552&gt;1,E552&gt;1),(E552-D552)/100,E552-D552))</f>
        <v/>
      </c>
      <c r="G552" s="17" t="str">
        <f>IF(F552="","",IF(64*F552=0,"",64*F552))</f>
        <v/>
      </c>
      <c r="H552" s="19" t="str">
        <f>IF(Dati!E552="","",Dati!E552)</f>
        <v/>
      </c>
      <c r="I552" s="19" t="str">
        <f>IFERROR(IF(OR(C552="",C552=0),"",H552/C552*100),"")</f>
        <v/>
      </c>
      <c r="J552" s="20" t="str">
        <f>IF(Dati!F552="","",Dati!F552)</f>
        <v/>
      </c>
      <c r="K552" s="19" t="str">
        <f>IF(OR(H552="",J552=""),"",IF(H552*J552=0,"",H552*J552))</f>
        <v/>
      </c>
      <c r="L552" s="19" t="str">
        <f>IF(A552="","",IFERROR(IF(SUMPRODUCT((ISNUMBER(A$2:A552))*(A$2:A552&gt;1000)*(MONTH(IF(ISNUMBER(A$2:A552),A$2:A552,1))=MONTH(A552))*(YEAR(IF(ISNUMBER(A$2:A552),A$2:A552,1))=YEAR(A552))*IF(ISNUMBER(K$2:K552),K$2:K552,0))=0,"",SUMPRODUCT((ISNUMBER(A$2:A552))*(A$2:A552&gt;1000)*(MONTH(IF(ISNUMBER(A$2:A552),A$2:A552,1))=MONTH(A552))*(YEAR(IF(ISNUMBER(A$2:A552),A$2:A552,1))=YEAR(A552))*IF(ISNUMBER(K$2:K552),K$2:K552,0))),""))</f>
        <v/>
      </c>
      <c r="M552" s="21" t="str">
        <f>IF(A552="","",IFERROR(IF(SUMIF(N$2:N552,"CASA",K$2:K552)=0,"",SUMIF(N$2:N552,"CASA",K$2:K552)),""))</f>
        <v/>
      </c>
      <c r="N552" s="17" t="str">
        <f>IF(J552="","",IF(J552=0.2,"CASA",IF(Dati!G552="","",Dati!G552)))</f>
        <v/>
      </c>
    </row>
    <row r="553" spans="1:14" ht="15" customHeight="1" x14ac:dyDescent="0.2">
      <c r="A553" s="23" t="str">
        <f>IF(Dati!A553="","",Dati!A553)</f>
        <v/>
      </c>
      <c r="B553" s="17" t="str">
        <f>IF(Dati!B553="","",Dati!B553)</f>
        <v/>
      </c>
      <c r="C553" s="17" t="str">
        <f>IF(B553="","",IF(ISNUMBER(B552),IF(B553-B552&lt;0,B553,IF(B553-B552=0,"",B553-B552)),B553))</f>
        <v/>
      </c>
      <c r="D553" s="18" t="str">
        <f>IF(Dati!C553="","",IF(Dati!C553&gt;1,Dati!C553/100,Dati!C553))</f>
        <v/>
      </c>
      <c r="E553" s="18" t="str">
        <f>IF(Dati!D553="","",IF(Dati!D553&gt;1,Dati!D553/100,Dati!D553))</f>
        <v/>
      </c>
      <c r="F553" s="18" t="str">
        <f>IF(OR(D553="",E553=""),"",IF(OR(D553&gt;1,E553&gt;1),(E553-D553)/100,E553-D553))</f>
        <v/>
      </c>
      <c r="G553" s="17" t="str">
        <f>IF(F553="","",IF(64*F553=0,"",64*F553))</f>
        <v/>
      </c>
      <c r="H553" s="19" t="str">
        <f>IF(Dati!E553="","",Dati!E553)</f>
        <v/>
      </c>
      <c r="I553" s="19" t="str">
        <f>IFERROR(IF(OR(C553="",C553=0),"",H553/C553*100),"")</f>
        <v/>
      </c>
      <c r="J553" s="20" t="str">
        <f>IF(Dati!F553="","",Dati!F553)</f>
        <v/>
      </c>
      <c r="K553" s="19" t="str">
        <f>IF(OR(H553="",J553=""),"",IF(H553*J553=0,"",H553*J553))</f>
        <v/>
      </c>
      <c r="L553" s="19" t="str">
        <f>IF(A553="","",IFERROR(IF(SUMPRODUCT((ISNUMBER(A$2:A553))*(A$2:A553&gt;1000)*(MONTH(IF(ISNUMBER(A$2:A553),A$2:A553,1))=MONTH(A553))*(YEAR(IF(ISNUMBER(A$2:A553),A$2:A553,1))=YEAR(A553))*IF(ISNUMBER(K$2:K553),K$2:K553,0))=0,"",SUMPRODUCT((ISNUMBER(A$2:A553))*(A$2:A553&gt;1000)*(MONTH(IF(ISNUMBER(A$2:A553),A$2:A553,1))=MONTH(A553))*(YEAR(IF(ISNUMBER(A$2:A553),A$2:A553,1))=YEAR(A553))*IF(ISNUMBER(K$2:K553),K$2:K553,0))),""))</f>
        <v/>
      </c>
      <c r="M553" s="21" t="str">
        <f>IF(A553="","",IFERROR(IF(SUMIF(N$2:N553,"CASA",K$2:K553)=0,"",SUMIF(N$2:N553,"CASA",K$2:K553)),""))</f>
        <v/>
      </c>
      <c r="N553" s="17" t="str">
        <f>IF(J553="","",IF(J553=0.2,"CASA",IF(Dati!G553="","",Dati!G553)))</f>
        <v/>
      </c>
    </row>
    <row r="554" spans="1:14" ht="15" customHeight="1" x14ac:dyDescent="0.2">
      <c r="A554" s="23" t="str">
        <f>IF(Dati!A554="","",Dati!A554)</f>
        <v/>
      </c>
      <c r="B554" s="17" t="str">
        <f>IF(Dati!B554="","",Dati!B554)</f>
        <v/>
      </c>
      <c r="C554" s="17" t="str">
        <f>IF(B554="","",IF(ISNUMBER(B553),IF(B554-B553&lt;0,B554,IF(B554-B553=0,"",B554-B553)),B554))</f>
        <v/>
      </c>
      <c r="D554" s="18" t="str">
        <f>IF(Dati!C554="","",IF(Dati!C554&gt;1,Dati!C554/100,Dati!C554))</f>
        <v/>
      </c>
      <c r="E554" s="18" t="str">
        <f>IF(Dati!D554="","",IF(Dati!D554&gt;1,Dati!D554/100,Dati!D554))</f>
        <v/>
      </c>
      <c r="F554" s="18" t="str">
        <f>IF(OR(D554="",E554=""),"",IF(OR(D554&gt;1,E554&gt;1),(E554-D554)/100,E554-D554))</f>
        <v/>
      </c>
      <c r="G554" s="17" t="str">
        <f>IF(F554="","",IF(64*F554=0,"",64*F554))</f>
        <v/>
      </c>
      <c r="H554" s="19" t="str">
        <f>IF(Dati!E554="","",Dati!E554)</f>
        <v/>
      </c>
      <c r="I554" s="19" t="str">
        <f>IFERROR(IF(OR(C554="",C554=0),"",H554/C554*100),"")</f>
        <v/>
      </c>
      <c r="J554" s="20" t="str">
        <f>IF(Dati!F554="","",Dati!F554)</f>
        <v/>
      </c>
      <c r="K554" s="19" t="str">
        <f>IF(OR(H554="",J554=""),"",IF(H554*J554=0,"",H554*J554))</f>
        <v/>
      </c>
      <c r="L554" s="19" t="str">
        <f>IF(A554="","",IFERROR(IF(SUMPRODUCT((ISNUMBER(A$2:A554))*(A$2:A554&gt;1000)*(MONTH(IF(ISNUMBER(A$2:A554),A$2:A554,1))=MONTH(A554))*(YEAR(IF(ISNUMBER(A$2:A554),A$2:A554,1))=YEAR(A554))*IF(ISNUMBER(K$2:K554),K$2:K554,0))=0,"",SUMPRODUCT((ISNUMBER(A$2:A554))*(A$2:A554&gt;1000)*(MONTH(IF(ISNUMBER(A$2:A554),A$2:A554,1))=MONTH(A554))*(YEAR(IF(ISNUMBER(A$2:A554),A$2:A554,1))=YEAR(A554))*IF(ISNUMBER(K$2:K554),K$2:K554,0))),""))</f>
        <v/>
      </c>
      <c r="M554" s="21" t="str">
        <f>IF(A554="","",IFERROR(IF(SUMIF(N$2:N554,"CASA",K$2:K554)=0,"",SUMIF(N$2:N554,"CASA",K$2:K554)),""))</f>
        <v/>
      </c>
      <c r="N554" s="17" t="str">
        <f>IF(J554="","",IF(J554=0.2,"CASA",IF(Dati!G554="","",Dati!G554)))</f>
        <v/>
      </c>
    </row>
    <row r="555" spans="1:14" ht="15" customHeight="1" x14ac:dyDescent="0.2">
      <c r="A555" s="23" t="str">
        <f>IF(Dati!A555="","",Dati!A555)</f>
        <v/>
      </c>
      <c r="B555" s="17" t="str">
        <f>IF(Dati!B555="","",Dati!B555)</f>
        <v/>
      </c>
      <c r="C555" s="17" t="str">
        <f>IF(B555="","",IF(ISNUMBER(B554),IF(B555-B554&lt;0,B555,IF(B555-B554=0,"",B555-B554)),B555))</f>
        <v/>
      </c>
      <c r="D555" s="18" t="str">
        <f>IF(Dati!C555="","",IF(Dati!C555&gt;1,Dati!C555/100,Dati!C555))</f>
        <v/>
      </c>
      <c r="E555" s="18" t="str">
        <f>IF(Dati!D555="","",IF(Dati!D555&gt;1,Dati!D555/100,Dati!D555))</f>
        <v/>
      </c>
      <c r="F555" s="18" t="str">
        <f>IF(OR(D555="",E555=""),"",IF(OR(D555&gt;1,E555&gt;1),(E555-D555)/100,E555-D555))</f>
        <v/>
      </c>
      <c r="G555" s="17" t="str">
        <f>IF(F555="","",IF(64*F555=0,"",64*F555))</f>
        <v/>
      </c>
      <c r="H555" s="19" t="str">
        <f>IF(Dati!E555="","",Dati!E555)</f>
        <v/>
      </c>
      <c r="I555" s="19" t="str">
        <f>IFERROR(IF(OR(C555="",C555=0),"",H555/C555*100),"")</f>
        <v/>
      </c>
      <c r="J555" s="20" t="str">
        <f>IF(Dati!F555="","",Dati!F555)</f>
        <v/>
      </c>
      <c r="K555" s="19" t="str">
        <f>IF(OR(H555="",J555=""),"",IF(H555*J555=0,"",H555*J555))</f>
        <v/>
      </c>
      <c r="L555" s="19" t="str">
        <f>IF(A555="","",IFERROR(IF(SUMPRODUCT((ISNUMBER(A$2:A555))*(A$2:A555&gt;1000)*(MONTH(IF(ISNUMBER(A$2:A555),A$2:A555,1))=MONTH(A555))*(YEAR(IF(ISNUMBER(A$2:A555),A$2:A555,1))=YEAR(A555))*IF(ISNUMBER(K$2:K555),K$2:K555,0))=0,"",SUMPRODUCT((ISNUMBER(A$2:A555))*(A$2:A555&gt;1000)*(MONTH(IF(ISNUMBER(A$2:A555),A$2:A555,1))=MONTH(A555))*(YEAR(IF(ISNUMBER(A$2:A555),A$2:A555,1))=YEAR(A555))*IF(ISNUMBER(K$2:K555),K$2:K555,0))),""))</f>
        <v/>
      </c>
      <c r="M555" s="21" t="str">
        <f>IF(A555="","",IFERROR(IF(SUMIF(N$2:N555,"CASA",K$2:K555)=0,"",SUMIF(N$2:N555,"CASA",K$2:K555)),""))</f>
        <v/>
      </c>
      <c r="N555" s="17" t="str">
        <f>IF(J555="","",IF(J555=0.2,"CASA",IF(Dati!G555="","",Dati!G555)))</f>
        <v/>
      </c>
    </row>
    <row r="556" spans="1:14" ht="15" customHeight="1" x14ac:dyDescent="0.2">
      <c r="A556" s="23" t="str">
        <f>IF(Dati!A556="","",Dati!A556)</f>
        <v/>
      </c>
      <c r="B556" s="17" t="str">
        <f>IF(Dati!B556="","",Dati!B556)</f>
        <v/>
      </c>
      <c r="C556" s="17" t="str">
        <f>IF(B556="","",IF(ISNUMBER(B555),IF(B556-B555&lt;0,B556,IF(B556-B555=0,"",B556-B555)),B556))</f>
        <v/>
      </c>
      <c r="D556" s="18" t="str">
        <f>IF(Dati!C556="","",IF(Dati!C556&gt;1,Dati!C556/100,Dati!C556))</f>
        <v/>
      </c>
      <c r="E556" s="18" t="str">
        <f>IF(Dati!D556="","",IF(Dati!D556&gt;1,Dati!D556/100,Dati!D556))</f>
        <v/>
      </c>
      <c r="F556" s="18" t="str">
        <f>IF(OR(D556="",E556=""),"",IF(OR(D556&gt;1,E556&gt;1),(E556-D556)/100,E556-D556))</f>
        <v/>
      </c>
      <c r="G556" s="17" t="str">
        <f>IF(F556="","",IF(64*F556=0,"",64*F556))</f>
        <v/>
      </c>
      <c r="H556" s="19" t="str">
        <f>IF(Dati!E556="","",Dati!E556)</f>
        <v/>
      </c>
      <c r="I556" s="19" t="str">
        <f>IFERROR(IF(OR(C556="",C556=0),"",H556/C556*100),"")</f>
        <v/>
      </c>
      <c r="J556" s="20" t="str">
        <f>IF(Dati!F556="","",Dati!F556)</f>
        <v/>
      </c>
      <c r="K556" s="19" t="str">
        <f>IF(OR(H556="",J556=""),"",IF(H556*J556=0,"",H556*J556))</f>
        <v/>
      </c>
      <c r="L556" s="19" t="str">
        <f>IF(A556="","",IFERROR(IF(SUMPRODUCT((ISNUMBER(A$2:A556))*(A$2:A556&gt;1000)*(MONTH(IF(ISNUMBER(A$2:A556),A$2:A556,1))=MONTH(A556))*(YEAR(IF(ISNUMBER(A$2:A556),A$2:A556,1))=YEAR(A556))*IF(ISNUMBER(K$2:K556),K$2:K556,0))=0,"",SUMPRODUCT((ISNUMBER(A$2:A556))*(A$2:A556&gt;1000)*(MONTH(IF(ISNUMBER(A$2:A556),A$2:A556,1))=MONTH(A556))*(YEAR(IF(ISNUMBER(A$2:A556),A$2:A556,1))=YEAR(A556))*IF(ISNUMBER(K$2:K556),K$2:K556,0))),""))</f>
        <v/>
      </c>
      <c r="M556" s="21" t="str">
        <f>IF(A556="","",IFERROR(IF(SUMIF(N$2:N556,"CASA",K$2:K556)=0,"",SUMIF(N$2:N556,"CASA",K$2:K556)),""))</f>
        <v/>
      </c>
      <c r="N556" s="17" t="str">
        <f>IF(J556="","",IF(J556=0.2,"CASA",IF(Dati!G556="","",Dati!G556)))</f>
        <v/>
      </c>
    </row>
    <row r="557" spans="1:14" ht="15" customHeight="1" x14ac:dyDescent="0.2">
      <c r="A557" s="23" t="str">
        <f>IF(Dati!A557="","",Dati!A557)</f>
        <v/>
      </c>
      <c r="B557" s="17" t="str">
        <f>IF(Dati!B557="","",Dati!B557)</f>
        <v/>
      </c>
      <c r="C557" s="17" t="str">
        <f>IF(B557="","",IF(ISNUMBER(B556),IF(B557-B556&lt;0,B557,IF(B557-B556=0,"",B557-B556)),B557))</f>
        <v/>
      </c>
      <c r="D557" s="18" t="str">
        <f>IF(Dati!C557="","",IF(Dati!C557&gt;1,Dati!C557/100,Dati!C557))</f>
        <v/>
      </c>
      <c r="E557" s="18" t="str">
        <f>IF(Dati!D557="","",IF(Dati!D557&gt;1,Dati!D557/100,Dati!D557))</f>
        <v/>
      </c>
      <c r="F557" s="18" t="str">
        <f>IF(OR(D557="",E557=""),"",IF(OR(D557&gt;1,E557&gt;1),(E557-D557)/100,E557-D557))</f>
        <v/>
      </c>
      <c r="G557" s="17" t="str">
        <f>IF(F557="","",IF(64*F557=0,"",64*F557))</f>
        <v/>
      </c>
      <c r="H557" s="19" t="str">
        <f>IF(Dati!E557="","",Dati!E557)</f>
        <v/>
      </c>
      <c r="I557" s="19" t="str">
        <f>IFERROR(IF(OR(C557="",C557=0),"",H557/C557*100),"")</f>
        <v/>
      </c>
      <c r="J557" s="20" t="str">
        <f>IF(Dati!F557="","",Dati!F557)</f>
        <v/>
      </c>
      <c r="K557" s="19" t="str">
        <f>IF(OR(H557="",J557=""),"",IF(H557*J557=0,"",H557*J557))</f>
        <v/>
      </c>
      <c r="L557" s="19" t="str">
        <f>IF(A557="","",IFERROR(IF(SUMPRODUCT((ISNUMBER(A$2:A557))*(A$2:A557&gt;1000)*(MONTH(IF(ISNUMBER(A$2:A557),A$2:A557,1))=MONTH(A557))*(YEAR(IF(ISNUMBER(A$2:A557),A$2:A557,1))=YEAR(A557))*IF(ISNUMBER(K$2:K557),K$2:K557,0))=0,"",SUMPRODUCT((ISNUMBER(A$2:A557))*(A$2:A557&gt;1000)*(MONTH(IF(ISNUMBER(A$2:A557),A$2:A557,1))=MONTH(A557))*(YEAR(IF(ISNUMBER(A$2:A557),A$2:A557,1))=YEAR(A557))*IF(ISNUMBER(K$2:K557),K$2:K557,0))),""))</f>
        <v/>
      </c>
      <c r="M557" s="21" t="str">
        <f>IF(A557="","",IFERROR(IF(SUMIF(N$2:N557,"CASA",K$2:K557)=0,"",SUMIF(N$2:N557,"CASA",K$2:K557)),""))</f>
        <v/>
      </c>
      <c r="N557" s="17" t="str">
        <f>IF(J557="","",IF(J557=0.2,"CASA",IF(Dati!G557="","",Dati!G557)))</f>
        <v/>
      </c>
    </row>
    <row r="558" spans="1:14" ht="15" customHeight="1" x14ac:dyDescent="0.2">
      <c r="A558" s="23" t="str">
        <f>IF(Dati!A558="","",Dati!A558)</f>
        <v/>
      </c>
      <c r="B558" s="17" t="str">
        <f>IF(Dati!B558="","",Dati!B558)</f>
        <v/>
      </c>
      <c r="C558" s="17" t="str">
        <f>IF(B558="","",IF(ISNUMBER(B557),IF(B558-B557&lt;0,B558,IF(B558-B557=0,"",B558-B557)),B558))</f>
        <v/>
      </c>
      <c r="D558" s="18" t="str">
        <f>IF(Dati!C558="","",IF(Dati!C558&gt;1,Dati!C558/100,Dati!C558))</f>
        <v/>
      </c>
      <c r="E558" s="18" t="str">
        <f>IF(Dati!D558="","",IF(Dati!D558&gt;1,Dati!D558/100,Dati!D558))</f>
        <v/>
      </c>
      <c r="F558" s="18" t="str">
        <f>IF(OR(D558="",E558=""),"",IF(OR(D558&gt;1,E558&gt;1),(E558-D558)/100,E558-D558))</f>
        <v/>
      </c>
      <c r="G558" s="17" t="str">
        <f>IF(F558="","",IF(64*F558=0,"",64*F558))</f>
        <v/>
      </c>
      <c r="H558" s="19" t="str">
        <f>IF(Dati!E558="","",Dati!E558)</f>
        <v/>
      </c>
      <c r="I558" s="19" t="str">
        <f>IFERROR(IF(OR(C558="",C558=0),"",H558/C558*100),"")</f>
        <v/>
      </c>
      <c r="J558" s="20" t="str">
        <f>IF(Dati!F558="","",Dati!F558)</f>
        <v/>
      </c>
      <c r="K558" s="19" t="str">
        <f>IF(OR(H558="",J558=""),"",IF(H558*J558=0,"",H558*J558))</f>
        <v/>
      </c>
      <c r="L558" s="19" t="str">
        <f>IF(A558="","",IFERROR(IF(SUMPRODUCT((ISNUMBER(A$2:A558))*(A$2:A558&gt;1000)*(MONTH(IF(ISNUMBER(A$2:A558),A$2:A558,1))=MONTH(A558))*(YEAR(IF(ISNUMBER(A$2:A558),A$2:A558,1))=YEAR(A558))*IF(ISNUMBER(K$2:K558),K$2:K558,0))=0,"",SUMPRODUCT((ISNUMBER(A$2:A558))*(A$2:A558&gt;1000)*(MONTH(IF(ISNUMBER(A$2:A558),A$2:A558,1))=MONTH(A558))*(YEAR(IF(ISNUMBER(A$2:A558),A$2:A558,1))=YEAR(A558))*IF(ISNUMBER(K$2:K558),K$2:K558,0))),""))</f>
        <v/>
      </c>
      <c r="M558" s="21" t="str">
        <f>IF(A558="","",IFERROR(IF(SUMIF(N$2:N558,"CASA",K$2:K558)=0,"",SUMIF(N$2:N558,"CASA",K$2:K558)),""))</f>
        <v/>
      </c>
      <c r="N558" s="17" t="str">
        <f>IF(J558="","",IF(J558=0.2,"CASA",IF(Dati!G558="","",Dati!G558)))</f>
        <v/>
      </c>
    </row>
    <row r="559" spans="1:14" ht="15" customHeight="1" x14ac:dyDescent="0.2">
      <c r="A559" s="23" t="str">
        <f>IF(Dati!A559="","",Dati!A559)</f>
        <v/>
      </c>
      <c r="B559" s="17" t="str">
        <f>IF(Dati!B559="","",Dati!B559)</f>
        <v/>
      </c>
      <c r="C559" s="17" t="str">
        <f>IF(B559="","",IF(ISNUMBER(B558),IF(B559-B558&lt;0,B559,IF(B559-B558=0,"",B559-B558)),B559))</f>
        <v/>
      </c>
      <c r="D559" s="18" t="str">
        <f>IF(Dati!C559="","",IF(Dati!C559&gt;1,Dati!C559/100,Dati!C559))</f>
        <v/>
      </c>
      <c r="E559" s="18" t="str">
        <f>IF(Dati!D559="","",IF(Dati!D559&gt;1,Dati!D559/100,Dati!D559))</f>
        <v/>
      </c>
      <c r="F559" s="18" t="str">
        <f>IF(OR(D559="",E559=""),"",IF(OR(D559&gt;1,E559&gt;1),(E559-D559)/100,E559-D559))</f>
        <v/>
      </c>
      <c r="G559" s="17" t="str">
        <f>IF(F559="","",IF(64*F559=0,"",64*F559))</f>
        <v/>
      </c>
      <c r="H559" s="19" t="str">
        <f>IF(Dati!E559="","",Dati!E559)</f>
        <v/>
      </c>
      <c r="I559" s="19" t="str">
        <f>IFERROR(IF(OR(C559="",C559=0),"",H559/C559*100),"")</f>
        <v/>
      </c>
      <c r="J559" s="20" t="str">
        <f>IF(Dati!F559="","",Dati!F559)</f>
        <v/>
      </c>
      <c r="K559" s="19" t="str">
        <f>IF(OR(H559="",J559=""),"",IF(H559*J559=0,"",H559*J559))</f>
        <v/>
      </c>
      <c r="L559" s="19" t="str">
        <f>IF(A559="","",IFERROR(IF(SUMPRODUCT((ISNUMBER(A$2:A559))*(A$2:A559&gt;1000)*(MONTH(IF(ISNUMBER(A$2:A559),A$2:A559,1))=MONTH(A559))*(YEAR(IF(ISNUMBER(A$2:A559),A$2:A559,1))=YEAR(A559))*IF(ISNUMBER(K$2:K559),K$2:K559,0))=0,"",SUMPRODUCT((ISNUMBER(A$2:A559))*(A$2:A559&gt;1000)*(MONTH(IF(ISNUMBER(A$2:A559),A$2:A559,1))=MONTH(A559))*(YEAR(IF(ISNUMBER(A$2:A559),A$2:A559,1))=YEAR(A559))*IF(ISNUMBER(K$2:K559),K$2:K559,0))),""))</f>
        <v/>
      </c>
      <c r="M559" s="21" t="str">
        <f>IF(A559="","",IFERROR(IF(SUMIF(N$2:N559,"CASA",K$2:K559)=0,"",SUMIF(N$2:N559,"CASA",K$2:K559)),""))</f>
        <v/>
      </c>
      <c r="N559" s="17" t="str">
        <f>IF(J559="","",IF(J559=0.2,"CASA",IF(Dati!G559="","",Dati!G559)))</f>
        <v/>
      </c>
    </row>
    <row r="560" spans="1:14" ht="15" customHeight="1" x14ac:dyDescent="0.2">
      <c r="A560" s="23" t="str">
        <f>IF(Dati!A560="","",Dati!A560)</f>
        <v/>
      </c>
      <c r="B560" s="17" t="str">
        <f>IF(Dati!B560="","",Dati!B560)</f>
        <v/>
      </c>
      <c r="C560" s="17" t="str">
        <f>IF(B560="","",IF(ISNUMBER(B559),IF(B560-B559&lt;0,B560,IF(B560-B559=0,"",B560-B559)),B560))</f>
        <v/>
      </c>
      <c r="D560" s="18" t="str">
        <f>IF(Dati!C560="","",IF(Dati!C560&gt;1,Dati!C560/100,Dati!C560))</f>
        <v/>
      </c>
      <c r="E560" s="18" t="str">
        <f>IF(Dati!D560="","",IF(Dati!D560&gt;1,Dati!D560/100,Dati!D560))</f>
        <v/>
      </c>
      <c r="F560" s="18" t="str">
        <f>IF(OR(D560="",E560=""),"",IF(OR(D560&gt;1,E560&gt;1),(E560-D560)/100,E560-D560))</f>
        <v/>
      </c>
      <c r="G560" s="17" t="str">
        <f>IF(F560="","",IF(64*F560=0,"",64*F560))</f>
        <v/>
      </c>
      <c r="H560" s="19" t="str">
        <f>IF(Dati!E560="","",Dati!E560)</f>
        <v/>
      </c>
      <c r="I560" s="19" t="str">
        <f>IFERROR(IF(OR(C560="",C560=0),"",H560/C560*100),"")</f>
        <v/>
      </c>
      <c r="J560" s="20" t="str">
        <f>IF(Dati!F560="","",Dati!F560)</f>
        <v/>
      </c>
      <c r="K560" s="19" t="str">
        <f>IF(OR(H560="",J560=""),"",IF(H560*J560=0,"",H560*J560))</f>
        <v/>
      </c>
      <c r="L560" s="19" t="str">
        <f>IF(A560="","",IFERROR(IF(SUMPRODUCT((ISNUMBER(A$2:A560))*(A$2:A560&gt;1000)*(MONTH(IF(ISNUMBER(A$2:A560),A$2:A560,1))=MONTH(A560))*(YEAR(IF(ISNUMBER(A$2:A560),A$2:A560,1))=YEAR(A560))*IF(ISNUMBER(K$2:K560),K$2:K560,0))=0,"",SUMPRODUCT((ISNUMBER(A$2:A560))*(A$2:A560&gt;1000)*(MONTH(IF(ISNUMBER(A$2:A560),A$2:A560,1))=MONTH(A560))*(YEAR(IF(ISNUMBER(A$2:A560),A$2:A560,1))=YEAR(A560))*IF(ISNUMBER(K$2:K560),K$2:K560,0))),""))</f>
        <v/>
      </c>
      <c r="M560" s="21" t="str">
        <f>IF(A560="","",IFERROR(IF(SUMIF(N$2:N560,"CASA",K$2:K560)=0,"",SUMIF(N$2:N560,"CASA",K$2:K560)),""))</f>
        <v/>
      </c>
      <c r="N560" s="17" t="str">
        <f>IF(J560="","",IF(J560=0.2,"CASA",IF(Dati!G560="","",Dati!G560)))</f>
        <v/>
      </c>
    </row>
    <row r="561" spans="1:14" ht="15" customHeight="1" x14ac:dyDescent="0.2">
      <c r="A561" s="23" t="str">
        <f>IF(Dati!A561="","",Dati!A561)</f>
        <v/>
      </c>
      <c r="B561" s="17" t="str">
        <f>IF(Dati!B561="","",Dati!B561)</f>
        <v/>
      </c>
      <c r="C561" s="17" t="str">
        <f>IF(B561="","",IF(ISNUMBER(B560),IF(B561-B560&lt;0,B561,IF(B561-B560=0,"",B561-B560)),B561))</f>
        <v/>
      </c>
      <c r="D561" s="18" t="str">
        <f>IF(Dati!C561="","",IF(Dati!C561&gt;1,Dati!C561/100,Dati!C561))</f>
        <v/>
      </c>
      <c r="E561" s="18" t="str">
        <f>IF(Dati!D561="","",IF(Dati!D561&gt;1,Dati!D561/100,Dati!D561))</f>
        <v/>
      </c>
      <c r="F561" s="18" t="str">
        <f>IF(OR(D561="",E561=""),"",IF(OR(D561&gt;1,E561&gt;1),(E561-D561)/100,E561-D561))</f>
        <v/>
      </c>
      <c r="G561" s="17" t="str">
        <f>IF(F561="","",IF(64*F561=0,"",64*F561))</f>
        <v/>
      </c>
      <c r="H561" s="19" t="str">
        <f>IF(Dati!E561="","",Dati!E561)</f>
        <v/>
      </c>
      <c r="I561" s="19" t="str">
        <f>IFERROR(IF(OR(C561="",C561=0),"",H561/C561*100),"")</f>
        <v/>
      </c>
      <c r="J561" s="20" t="str">
        <f>IF(Dati!F561="","",Dati!F561)</f>
        <v/>
      </c>
      <c r="K561" s="19" t="str">
        <f>IF(OR(H561="",J561=""),"",IF(H561*J561=0,"",H561*J561))</f>
        <v/>
      </c>
      <c r="L561" s="19" t="str">
        <f>IF(A561="","",IFERROR(IF(SUMPRODUCT((ISNUMBER(A$2:A561))*(A$2:A561&gt;1000)*(MONTH(IF(ISNUMBER(A$2:A561),A$2:A561,1))=MONTH(A561))*(YEAR(IF(ISNUMBER(A$2:A561),A$2:A561,1))=YEAR(A561))*IF(ISNUMBER(K$2:K561),K$2:K561,0))=0,"",SUMPRODUCT((ISNUMBER(A$2:A561))*(A$2:A561&gt;1000)*(MONTH(IF(ISNUMBER(A$2:A561),A$2:A561,1))=MONTH(A561))*(YEAR(IF(ISNUMBER(A$2:A561),A$2:A561,1))=YEAR(A561))*IF(ISNUMBER(K$2:K561),K$2:K561,0))),""))</f>
        <v/>
      </c>
      <c r="M561" s="21" t="str">
        <f>IF(A561="","",IFERROR(IF(SUMIF(N$2:N561,"CASA",K$2:K561)=0,"",SUMIF(N$2:N561,"CASA",K$2:K561)),""))</f>
        <v/>
      </c>
      <c r="N561" s="17" t="str">
        <f>IF(J561="","",IF(J561=0.2,"CASA",IF(Dati!G561="","",Dati!G561)))</f>
        <v/>
      </c>
    </row>
    <row r="562" spans="1:14" ht="15" customHeight="1" x14ac:dyDescent="0.2">
      <c r="A562" s="23" t="str">
        <f>IF(Dati!A562="","",Dati!A562)</f>
        <v/>
      </c>
      <c r="B562" s="17" t="str">
        <f>IF(Dati!B562="","",Dati!B562)</f>
        <v/>
      </c>
      <c r="C562" s="17" t="str">
        <f>IF(B562="","",IF(ISNUMBER(B561),IF(B562-B561&lt;0,B562,IF(B562-B561=0,"",B562-B561)),B562))</f>
        <v/>
      </c>
      <c r="D562" s="18" t="str">
        <f>IF(Dati!C562="","",IF(Dati!C562&gt;1,Dati!C562/100,Dati!C562))</f>
        <v/>
      </c>
      <c r="E562" s="18" t="str">
        <f>IF(Dati!D562="","",IF(Dati!D562&gt;1,Dati!D562/100,Dati!D562))</f>
        <v/>
      </c>
      <c r="F562" s="18" t="str">
        <f>IF(OR(D562="",E562=""),"",IF(OR(D562&gt;1,E562&gt;1),(E562-D562)/100,E562-D562))</f>
        <v/>
      </c>
      <c r="G562" s="17" t="str">
        <f>IF(F562="","",IF(64*F562=0,"",64*F562))</f>
        <v/>
      </c>
      <c r="H562" s="19" t="str">
        <f>IF(Dati!E562="","",Dati!E562)</f>
        <v/>
      </c>
      <c r="I562" s="19" t="str">
        <f>IFERROR(IF(OR(C562="",C562=0),"",H562/C562*100),"")</f>
        <v/>
      </c>
      <c r="J562" s="20" t="str">
        <f>IF(Dati!F562="","",Dati!F562)</f>
        <v/>
      </c>
      <c r="K562" s="19" t="str">
        <f>IF(OR(H562="",J562=""),"",IF(H562*J562=0,"",H562*J562))</f>
        <v/>
      </c>
      <c r="L562" s="19" t="str">
        <f>IF(A562="","",IFERROR(IF(SUMPRODUCT((ISNUMBER(A$2:A562))*(A$2:A562&gt;1000)*(MONTH(IF(ISNUMBER(A$2:A562),A$2:A562,1))=MONTH(A562))*(YEAR(IF(ISNUMBER(A$2:A562),A$2:A562,1))=YEAR(A562))*IF(ISNUMBER(K$2:K562),K$2:K562,0))=0,"",SUMPRODUCT((ISNUMBER(A$2:A562))*(A$2:A562&gt;1000)*(MONTH(IF(ISNUMBER(A$2:A562),A$2:A562,1))=MONTH(A562))*(YEAR(IF(ISNUMBER(A$2:A562),A$2:A562,1))=YEAR(A562))*IF(ISNUMBER(K$2:K562),K$2:K562,0))),""))</f>
        <v/>
      </c>
      <c r="M562" s="21" t="str">
        <f>IF(A562="","",IFERROR(IF(SUMIF(N$2:N562,"CASA",K$2:K562)=0,"",SUMIF(N$2:N562,"CASA",K$2:K562)),""))</f>
        <v/>
      </c>
      <c r="N562" s="17" t="str">
        <f>IF(J562="","",IF(J562=0.2,"CASA",IF(Dati!G562="","",Dati!G562)))</f>
        <v/>
      </c>
    </row>
    <row r="563" spans="1:14" ht="15" customHeight="1" x14ac:dyDescent="0.2">
      <c r="A563" s="23" t="str">
        <f>IF(Dati!A563="","",Dati!A563)</f>
        <v/>
      </c>
      <c r="B563" s="17" t="str">
        <f>IF(Dati!B563="","",Dati!B563)</f>
        <v/>
      </c>
      <c r="C563" s="17" t="str">
        <f>IF(B563="","",IF(ISNUMBER(B562),IF(B563-B562&lt;0,B563,IF(B563-B562=0,"",B563-B562)),B563))</f>
        <v/>
      </c>
      <c r="D563" s="18" t="str">
        <f>IF(Dati!C563="","",IF(Dati!C563&gt;1,Dati!C563/100,Dati!C563))</f>
        <v/>
      </c>
      <c r="E563" s="18" t="str">
        <f>IF(Dati!D563="","",IF(Dati!D563&gt;1,Dati!D563/100,Dati!D563))</f>
        <v/>
      </c>
      <c r="F563" s="18" t="str">
        <f>IF(OR(D563="",E563=""),"",IF(OR(D563&gt;1,E563&gt;1),(E563-D563)/100,E563-D563))</f>
        <v/>
      </c>
      <c r="G563" s="17" t="str">
        <f>IF(F563="","",IF(64*F563=0,"",64*F563))</f>
        <v/>
      </c>
      <c r="H563" s="19" t="str">
        <f>IF(Dati!E563="","",Dati!E563)</f>
        <v/>
      </c>
      <c r="I563" s="19" t="str">
        <f>IFERROR(IF(OR(C563="",C563=0),"",H563/C563*100),"")</f>
        <v/>
      </c>
      <c r="J563" s="20" t="str">
        <f>IF(Dati!F563="","",Dati!F563)</f>
        <v/>
      </c>
      <c r="K563" s="19" t="str">
        <f>IF(OR(H563="",J563=""),"",IF(H563*J563=0,"",H563*J563))</f>
        <v/>
      </c>
      <c r="L563" s="19" t="str">
        <f>IF(A563="","",IFERROR(IF(SUMPRODUCT((ISNUMBER(A$2:A563))*(A$2:A563&gt;1000)*(MONTH(IF(ISNUMBER(A$2:A563),A$2:A563,1))=MONTH(A563))*(YEAR(IF(ISNUMBER(A$2:A563),A$2:A563,1))=YEAR(A563))*IF(ISNUMBER(K$2:K563),K$2:K563,0))=0,"",SUMPRODUCT((ISNUMBER(A$2:A563))*(A$2:A563&gt;1000)*(MONTH(IF(ISNUMBER(A$2:A563),A$2:A563,1))=MONTH(A563))*(YEAR(IF(ISNUMBER(A$2:A563),A$2:A563,1))=YEAR(A563))*IF(ISNUMBER(K$2:K563),K$2:K563,0))),""))</f>
        <v/>
      </c>
      <c r="M563" s="21" t="str">
        <f>IF(A563="","",IFERROR(IF(SUMIF(N$2:N563,"CASA",K$2:K563)=0,"",SUMIF(N$2:N563,"CASA",K$2:K563)),""))</f>
        <v/>
      </c>
      <c r="N563" s="17" t="str">
        <f>IF(J563="","",IF(J563=0.2,"CASA",IF(Dati!G563="","",Dati!G563)))</f>
        <v/>
      </c>
    </row>
    <row r="564" spans="1:14" ht="15" customHeight="1" x14ac:dyDescent="0.2">
      <c r="A564" s="23" t="str">
        <f>IF(Dati!A564="","",Dati!A564)</f>
        <v/>
      </c>
      <c r="B564" s="17" t="str">
        <f>IF(Dati!B564="","",Dati!B564)</f>
        <v/>
      </c>
      <c r="C564" s="17" t="str">
        <f>IF(B564="","",IF(ISNUMBER(B563),IF(B564-B563&lt;0,B564,IF(B564-B563=0,"",B564-B563)),B564))</f>
        <v/>
      </c>
      <c r="D564" s="18" t="str">
        <f>IF(Dati!C564="","",IF(Dati!C564&gt;1,Dati!C564/100,Dati!C564))</f>
        <v/>
      </c>
      <c r="E564" s="18" t="str">
        <f>IF(Dati!D564="","",IF(Dati!D564&gt;1,Dati!D564/100,Dati!D564))</f>
        <v/>
      </c>
      <c r="F564" s="18" t="str">
        <f>IF(OR(D564="",E564=""),"",IF(OR(D564&gt;1,E564&gt;1),(E564-D564)/100,E564-D564))</f>
        <v/>
      </c>
      <c r="G564" s="17" t="str">
        <f>IF(F564="","",IF(64*F564=0,"",64*F564))</f>
        <v/>
      </c>
      <c r="H564" s="19" t="str">
        <f>IF(Dati!E564="","",Dati!E564)</f>
        <v/>
      </c>
      <c r="I564" s="19" t="str">
        <f>IFERROR(IF(OR(C564="",C564=0),"",H564/C564*100),"")</f>
        <v/>
      </c>
      <c r="J564" s="20" t="str">
        <f>IF(Dati!F564="","",Dati!F564)</f>
        <v/>
      </c>
      <c r="K564" s="19" t="str">
        <f>IF(OR(H564="",J564=""),"",IF(H564*J564=0,"",H564*J564))</f>
        <v/>
      </c>
      <c r="L564" s="19" t="str">
        <f>IF(A564="","",IFERROR(IF(SUMPRODUCT((ISNUMBER(A$2:A564))*(A$2:A564&gt;1000)*(MONTH(IF(ISNUMBER(A$2:A564),A$2:A564,1))=MONTH(A564))*(YEAR(IF(ISNUMBER(A$2:A564),A$2:A564,1))=YEAR(A564))*IF(ISNUMBER(K$2:K564),K$2:K564,0))=0,"",SUMPRODUCT((ISNUMBER(A$2:A564))*(A$2:A564&gt;1000)*(MONTH(IF(ISNUMBER(A$2:A564),A$2:A564,1))=MONTH(A564))*(YEAR(IF(ISNUMBER(A$2:A564),A$2:A564,1))=YEAR(A564))*IF(ISNUMBER(K$2:K564),K$2:K564,0))),""))</f>
        <v/>
      </c>
      <c r="M564" s="21" t="str">
        <f>IF(A564="","",IFERROR(IF(SUMIF(N$2:N564,"CASA",K$2:K564)=0,"",SUMIF(N$2:N564,"CASA",K$2:K564)),""))</f>
        <v/>
      </c>
      <c r="N564" s="17" t="str">
        <f>IF(J564="","",IF(J564=0.2,"CASA",IF(Dati!G564="","",Dati!G564)))</f>
        <v/>
      </c>
    </row>
    <row r="565" spans="1:14" ht="15" customHeight="1" x14ac:dyDescent="0.2">
      <c r="A565" s="23" t="str">
        <f>IF(Dati!A565="","",Dati!A565)</f>
        <v/>
      </c>
      <c r="B565" s="17" t="str">
        <f>IF(Dati!B565="","",Dati!B565)</f>
        <v/>
      </c>
      <c r="C565" s="17" t="str">
        <f>IF(B565="","",IF(ISNUMBER(B564),IF(B565-B564&lt;0,B565,IF(B565-B564=0,"",B565-B564)),B565))</f>
        <v/>
      </c>
      <c r="D565" s="18" t="str">
        <f>IF(Dati!C565="","",IF(Dati!C565&gt;1,Dati!C565/100,Dati!C565))</f>
        <v/>
      </c>
      <c r="E565" s="18" t="str">
        <f>IF(Dati!D565="","",IF(Dati!D565&gt;1,Dati!D565/100,Dati!D565))</f>
        <v/>
      </c>
      <c r="F565" s="18" t="str">
        <f>IF(OR(D565="",E565=""),"",IF(OR(D565&gt;1,E565&gt;1),(E565-D565)/100,E565-D565))</f>
        <v/>
      </c>
      <c r="G565" s="17" t="str">
        <f>IF(F565="","",IF(64*F565=0,"",64*F565))</f>
        <v/>
      </c>
      <c r="H565" s="19" t="str">
        <f>IF(Dati!E565="","",Dati!E565)</f>
        <v/>
      </c>
      <c r="I565" s="19" t="str">
        <f>IFERROR(IF(OR(C565="",C565=0),"",H565/C565*100),"")</f>
        <v/>
      </c>
      <c r="J565" s="20" t="str">
        <f>IF(Dati!F565="","",Dati!F565)</f>
        <v/>
      </c>
      <c r="K565" s="19" t="str">
        <f>IF(OR(H565="",J565=""),"",IF(H565*J565=0,"",H565*J565))</f>
        <v/>
      </c>
      <c r="L565" s="19" t="str">
        <f>IF(A565="","",IFERROR(IF(SUMPRODUCT((ISNUMBER(A$2:A565))*(A$2:A565&gt;1000)*(MONTH(IF(ISNUMBER(A$2:A565),A$2:A565,1))=MONTH(A565))*(YEAR(IF(ISNUMBER(A$2:A565),A$2:A565,1))=YEAR(A565))*IF(ISNUMBER(K$2:K565),K$2:K565,0))=0,"",SUMPRODUCT((ISNUMBER(A$2:A565))*(A$2:A565&gt;1000)*(MONTH(IF(ISNUMBER(A$2:A565),A$2:A565,1))=MONTH(A565))*(YEAR(IF(ISNUMBER(A$2:A565),A$2:A565,1))=YEAR(A565))*IF(ISNUMBER(K$2:K565),K$2:K565,0))),""))</f>
        <v/>
      </c>
      <c r="M565" s="21" t="str">
        <f>IF(A565="","",IFERROR(IF(SUMIF(N$2:N565,"CASA",K$2:K565)=0,"",SUMIF(N$2:N565,"CASA",K$2:K565)),""))</f>
        <v/>
      </c>
      <c r="N565" s="17" t="str">
        <f>IF(J565="","",IF(J565=0.2,"CASA",IF(Dati!G565="","",Dati!G565)))</f>
        <v/>
      </c>
    </row>
    <row r="566" spans="1:14" ht="15" customHeight="1" x14ac:dyDescent="0.2">
      <c r="A566" s="23" t="str">
        <f>IF(Dati!A566="","",Dati!A566)</f>
        <v/>
      </c>
      <c r="B566" s="17" t="str">
        <f>IF(Dati!B566="","",Dati!B566)</f>
        <v/>
      </c>
      <c r="C566" s="17" t="str">
        <f>IF(B566="","",IF(ISNUMBER(B565),IF(B566-B565&lt;0,B566,IF(B566-B565=0,"",B566-B565)),B566))</f>
        <v/>
      </c>
      <c r="D566" s="18" t="str">
        <f>IF(Dati!C566="","",IF(Dati!C566&gt;1,Dati!C566/100,Dati!C566))</f>
        <v/>
      </c>
      <c r="E566" s="18" t="str">
        <f>IF(Dati!D566="","",IF(Dati!D566&gt;1,Dati!D566/100,Dati!D566))</f>
        <v/>
      </c>
      <c r="F566" s="18" t="str">
        <f>IF(OR(D566="",E566=""),"",IF(OR(D566&gt;1,E566&gt;1),(E566-D566)/100,E566-D566))</f>
        <v/>
      </c>
      <c r="G566" s="17" t="str">
        <f>IF(F566="","",IF(64*F566=0,"",64*F566))</f>
        <v/>
      </c>
      <c r="H566" s="19" t="str">
        <f>IF(Dati!E566="","",Dati!E566)</f>
        <v/>
      </c>
      <c r="I566" s="19" t="str">
        <f>IFERROR(IF(OR(C566="",C566=0),"",H566/C566*100),"")</f>
        <v/>
      </c>
      <c r="J566" s="20" t="str">
        <f>IF(Dati!F566="","",Dati!F566)</f>
        <v/>
      </c>
      <c r="K566" s="19" t="str">
        <f>IF(OR(H566="",J566=""),"",IF(H566*J566=0,"",H566*J566))</f>
        <v/>
      </c>
      <c r="L566" s="19" t="str">
        <f>IF(A566="","",IFERROR(IF(SUMPRODUCT((ISNUMBER(A$2:A566))*(A$2:A566&gt;1000)*(MONTH(IF(ISNUMBER(A$2:A566),A$2:A566,1))=MONTH(A566))*(YEAR(IF(ISNUMBER(A$2:A566),A$2:A566,1))=YEAR(A566))*IF(ISNUMBER(K$2:K566),K$2:K566,0))=0,"",SUMPRODUCT((ISNUMBER(A$2:A566))*(A$2:A566&gt;1000)*(MONTH(IF(ISNUMBER(A$2:A566),A$2:A566,1))=MONTH(A566))*(YEAR(IF(ISNUMBER(A$2:A566),A$2:A566,1))=YEAR(A566))*IF(ISNUMBER(K$2:K566),K$2:K566,0))),""))</f>
        <v/>
      </c>
      <c r="M566" s="21" t="str">
        <f>IF(A566="","",IFERROR(IF(SUMIF(N$2:N566,"CASA",K$2:K566)=0,"",SUMIF(N$2:N566,"CASA",K$2:K566)),""))</f>
        <v/>
      </c>
      <c r="N566" s="17" t="str">
        <f>IF(J566="","",IF(J566=0.2,"CASA",IF(Dati!G566="","",Dati!G566)))</f>
        <v/>
      </c>
    </row>
    <row r="567" spans="1:14" ht="15" customHeight="1" x14ac:dyDescent="0.2">
      <c r="A567" s="23" t="str">
        <f>IF(Dati!A567="","",Dati!A567)</f>
        <v/>
      </c>
      <c r="B567" s="17" t="str">
        <f>IF(Dati!B567="","",Dati!B567)</f>
        <v/>
      </c>
      <c r="C567" s="17" t="str">
        <f>IF(B567="","",IF(ISNUMBER(B566),IF(B567-B566&lt;0,B567,IF(B567-B566=0,"",B567-B566)),B567))</f>
        <v/>
      </c>
      <c r="D567" s="18" t="str">
        <f>IF(Dati!C567="","",IF(Dati!C567&gt;1,Dati!C567/100,Dati!C567))</f>
        <v/>
      </c>
      <c r="E567" s="18" t="str">
        <f>IF(Dati!D567="","",IF(Dati!D567&gt;1,Dati!D567/100,Dati!D567))</f>
        <v/>
      </c>
      <c r="F567" s="18" t="str">
        <f>IF(OR(D567="",E567=""),"",IF(OR(D567&gt;1,E567&gt;1),(E567-D567)/100,E567-D567))</f>
        <v/>
      </c>
      <c r="G567" s="17" t="str">
        <f>IF(F567="","",IF(64*F567=0,"",64*F567))</f>
        <v/>
      </c>
      <c r="H567" s="19" t="str">
        <f>IF(Dati!E567="","",Dati!E567)</f>
        <v/>
      </c>
      <c r="I567" s="19" t="str">
        <f>IFERROR(IF(OR(C567="",C567=0),"",H567/C567*100),"")</f>
        <v/>
      </c>
      <c r="J567" s="20" t="str">
        <f>IF(Dati!F567="","",Dati!F567)</f>
        <v/>
      </c>
      <c r="K567" s="19" t="str">
        <f>IF(OR(H567="",J567=""),"",IF(H567*J567=0,"",H567*J567))</f>
        <v/>
      </c>
      <c r="L567" s="19" t="str">
        <f>IF(A567="","",IFERROR(IF(SUMPRODUCT((ISNUMBER(A$2:A567))*(A$2:A567&gt;1000)*(MONTH(IF(ISNUMBER(A$2:A567),A$2:A567,1))=MONTH(A567))*(YEAR(IF(ISNUMBER(A$2:A567),A$2:A567,1))=YEAR(A567))*IF(ISNUMBER(K$2:K567),K$2:K567,0))=0,"",SUMPRODUCT((ISNUMBER(A$2:A567))*(A$2:A567&gt;1000)*(MONTH(IF(ISNUMBER(A$2:A567),A$2:A567,1))=MONTH(A567))*(YEAR(IF(ISNUMBER(A$2:A567),A$2:A567,1))=YEAR(A567))*IF(ISNUMBER(K$2:K567),K$2:K567,0))),""))</f>
        <v/>
      </c>
      <c r="M567" s="21" t="str">
        <f>IF(A567="","",IFERROR(IF(SUMIF(N$2:N567,"CASA",K$2:K567)=0,"",SUMIF(N$2:N567,"CASA",K$2:K567)),""))</f>
        <v/>
      </c>
      <c r="N567" s="17" t="str">
        <f>IF(J567="","",IF(J567=0.2,"CASA",IF(Dati!G567="","",Dati!G567)))</f>
        <v/>
      </c>
    </row>
    <row r="568" spans="1:14" ht="15" customHeight="1" x14ac:dyDescent="0.2">
      <c r="A568" s="23" t="str">
        <f>IF(Dati!A568="","",Dati!A568)</f>
        <v/>
      </c>
      <c r="B568" s="17" t="str">
        <f>IF(Dati!B568="","",Dati!B568)</f>
        <v/>
      </c>
      <c r="C568" s="17" t="str">
        <f>IF(B568="","",IF(ISNUMBER(B567),IF(B568-B567&lt;0,B568,IF(B568-B567=0,"",B568-B567)),B568))</f>
        <v/>
      </c>
      <c r="D568" s="18" t="str">
        <f>IF(Dati!C568="","",IF(Dati!C568&gt;1,Dati!C568/100,Dati!C568))</f>
        <v/>
      </c>
      <c r="E568" s="18" t="str">
        <f>IF(Dati!D568="","",IF(Dati!D568&gt;1,Dati!D568/100,Dati!D568))</f>
        <v/>
      </c>
      <c r="F568" s="18" t="str">
        <f>IF(OR(D568="",E568=""),"",IF(OR(D568&gt;1,E568&gt;1),(E568-D568)/100,E568-D568))</f>
        <v/>
      </c>
      <c r="G568" s="17" t="str">
        <f>IF(F568="","",IF(64*F568=0,"",64*F568))</f>
        <v/>
      </c>
      <c r="H568" s="19" t="str">
        <f>IF(Dati!E568="","",Dati!E568)</f>
        <v/>
      </c>
      <c r="I568" s="19" t="str">
        <f>IFERROR(IF(OR(C568="",C568=0),"",H568/C568*100),"")</f>
        <v/>
      </c>
      <c r="J568" s="20" t="str">
        <f>IF(Dati!F568="","",Dati!F568)</f>
        <v/>
      </c>
      <c r="K568" s="19" t="str">
        <f>IF(OR(H568="",J568=""),"",IF(H568*J568=0,"",H568*J568))</f>
        <v/>
      </c>
      <c r="L568" s="19" t="str">
        <f>IF(A568="","",IFERROR(IF(SUMPRODUCT((ISNUMBER(A$2:A568))*(A$2:A568&gt;1000)*(MONTH(IF(ISNUMBER(A$2:A568),A$2:A568,1))=MONTH(A568))*(YEAR(IF(ISNUMBER(A$2:A568),A$2:A568,1))=YEAR(A568))*IF(ISNUMBER(K$2:K568),K$2:K568,0))=0,"",SUMPRODUCT((ISNUMBER(A$2:A568))*(A$2:A568&gt;1000)*(MONTH(IF(ISNUMBER(A$2:A568),A$2:A568,1))=MONTH(A568))*(YEAR(IF(ISNUMBER(A$2:A568),A$2:A568,1))=YEAR(A568))*IF(ISNUMBER(K$2:K568),K$2:K568,0))),""))</f>
        <v/>
      </c>
      <c r="M568" s="21" t="str">
        <f>IF(A568="","",IFERROR(IF(SUMIF(N$2:N568,"CASA",K$2:K568)=0,"",SUMIF(N$2:N568,"CASA",K$2:K568)),""))</f>
        <v/>
      </c>
      <c r="N568" s="17" t="str">
        <f>IF(J568="","",IF(J568=0.2,"CASA",IF(Dati!G568="","",Dati!G568)))</f>
        <v/>
      </c>
    </row>
    <row r="569" spans="1:14" ht="15" customHeight="1" x14ac:dyDescent="0.2">
      <c r="A569" s="23" t="str">
        <f>IF(Dati!A569="","",Dati!A569)</f>
        <v/>
      </c>
      <c r="B569" s="17" t="str">
        <f>IF(Dati!B569="","",Dati!B569)</f>
        <v/>
      </c>
      <c r="C569" s="17" t="str">
        <f>IF(B569="","",IF(ISNUMBER(B568),IF(B569-B568&lt;0,B569,IF(B569-B568=0,"",B569-B568)),B569))</f>
        <v/>
      </c>
      <c r="D569" s="18" t="str">
        <f>IF(Dati!C569="","",IF(Dati!C569&gt;1,Dati!C569/100,Dati!C569))</f>
        <v/>
      </c>
      <c r="E569" s="18" t="str">
        <f>IF(Dati!D569="","",IF(Dati!D569&gt;1,Dati!D569/100,Dati!D569))</f>
        <v/>
      </c>
      <c r="F569" s="18" t="str">
        <f>IF(OR(D569="",E569=""),"",IF(OR(D569&gt;1,E569&gt;1),(E569-D569)/100,E569-D569))</f>
        <v/>
      </c>
      <c r="G569" s="17" t="str">
        <f>IF(F569="","",IF(64*F569=0,"",64*F569))</f>
        <v/>
      </c>
      <c r="H569" s="19" t="str">
        <f>IF(Dati!E569="","",Dati!E569)</f>
        <v/>
      </c>
      <c r="I569" s="19" t="str">
        <f>IFERROR(IF(OR(C569="",C569=0),"",H569/C569*100),"")</f>
        <v/>
      </c>
      <c r="J569" s="20" t="str">
        <f>IF(Dati!F569="","",Dati!F569)</f>
        <v/>
      </c>
      <c r="K569" s="19" t="str">
        <f>IF(OR(H569="",J569=""),"",IF(H569*J569=0,"",H569*J569))</f>
        <v/>
      </c>
      <c r="L569" s="19" t="str">
        <f>IF(A569="","",IFERROR(IF(SUMPRODUCT((ISNUMBER(A$2:A569))*(A$2:A569&gt;1000)*(MONTH(IF(ISNUMBER(A$2:A569),A$2:A569,1))=MONTH(A569))*(YEAR(IF(ISNUMBER(A$2:A569),A$2:A569,1))=YEAR(A569))*IF(ISNUMBER(K$2:K569),K$2:K569,0))=0,"",SUMPRODUCT((ISNUMBER(A$2:A569))*(A$2:A569&gt;1000)*(MONTH(IF(ISNUMBER(A$2:A569),A$2:A569,1))=MONTH(A569))*(YEAR(IF(ISNUMBER(A$2:A569),A$2:A569,1))=YEAR(A569))*IF(ISNUMBER(K$2:K569),K$2:K569,0))),""))</f>
        <v/>
      </c>
      <c r="M569" s="21" t="str">
        <f>IF(A569="","",IFERROR(IF(SUMIF(N$2:N569,"CASA",K$2:K569)=0,"",SUMIF(N$2:N569,"CASA",K$2:K569)),""))</f>
        <v/>
      </c>
      <c r="N569" s="17" t="str">
        <f>IF(J569="","",IF(J569=0.2,"CASA",IF(Dati!G569="","",Dati!G569)))</f>
        <v/>
      </c>
    </row>
    <row r="570" spans="1:14" ht="15" customHeight="1" x14ac:dyDescent="0.2">
      <c r="A570" s="23" t="str">
        <f>IF(Dati!A570="","",Dati!A570)</f>
        <v/>
      </c>
      <c r="B570" s="17" t="str">
        <f>IF(Dati!B570="","",Dati!B570)</f>
        <v/>
      </c>
      <c r="C570" s="17" t="str">
        <f>IF(B570="","",IF(ISNUMBER(B569),IF(B570-B569&lt;0,B570,IF(B570-B569=0,"",B570-B569)),B570))</f>
        <v/>
      </c>
      <c r="D570" s="18" t="str">
        <f>IF(Dati!C570="","",IF(Dati!C570&gt;1,Dati!C570/100,Dati!C570))</f>
        <v/>
      </c>
      <c r="E570" s="18" t="str">
        <f>IF(Dati!D570="","",IF(Dati!D570&gt;1,Dati!D570/100,Dati!D570))</f>
        <v/>
      </c>
      <c r="F570" s="18" t="str">
        <f>IF(OR(D570="",E570=""),"",IF(OR(D570&gt;1,E570&gt;1),(E570-D570)/100,E570-D570))</f>
        <v/>
      </c>
      <c r="G570" s="17" t="str">
        <f>IF(F570="","",IF(64*F570=0,"",64*F570))</f>
        <v/>
      </c>
      <c r="H570" s="19" t="str">
        <f>IF(Dati!E570="","",Dati!E570)</f>
        <v/>
      </c>
      <c r="I570" s="19" t="str">
        <f>IFERROR(IF(OR(C570="",C570=0),"",H570/C570*100),"")</f>
        <v/>
      </c>
      <c r="J570" s="20" t="str">
        <f>IF(Dati!F570="","",Dati!F570)</f>
        <v/>
      </c>
      <c r="K570" s="19" t="str">
        <f>IF(OR(H570="",J570=""),"",IF(H570*J570=0,"",H570*J570))</f>
        <v/>
      </c>
      <c r="L570" s="19" t="str">
        <f>IF(A570="","",IFERROR(IF(SUMPRODUCT((ISNUMBER(A$2:A570))*(A$2:A570&gt;1000)*(MONTH(IF(ISNUMBER(A$2:A570),A$2:A570,1))=MONTH(A570))*(YEAR(IF(ISNUMBER(A$2:A570),A$2:A570,1))=YEAR(A570))*IF(ISNUMBER(K$2:K570),K$2:K570,0))=0,"",SUMPRODUCT((ISNUMBER(A$2:A570))*(A$2:A570&gt;1000)*(MONTH(IF(ISNUMBER(A$2:A570),A$2:A570,1))=MONTH(A570))*(YEAR(IF(ISNUMBER(A$2:A570),A$2:A570,1))=YEAR(A570))*IF(ISNUMBER(K$2:K570),K$2:K570,0))),""))</f>
        <v/>
      </c>
      <c r="M570" s="21" t="str">
        <f>IF(A570="","",IFERROR(IF(SUMIF(N$2:N570,"CASA",K$2:K570)=0,"",SUMIF(N$2:N570,"CASA",K$2:K570)),""))</f>
        <v/>
      </c>
      <c r="N570" s="17" t="str">
        <f>IF(J570="","",IF(J570=0.2,"CASA",IF(Dati!G570="","",Dati!G570)))</f>
        <v/>
      </c>
    </row>
    <row r="571" spans="1:14" ht="15" customHeight="1" x14ac:dyDescent="0.2">
      <c r="A571" s="23" t="str">
        <f>IF(Dati!A571="","",Dati!A571)</f>
        <v/>
      </c>
      <c r="B571" s="17" t="str">
        <f>IF(Dati!B571="","",Dati!B571)</f>
        <v/>
      </c>
      <c r="C571" s="17" t="str">
        <f>IF(B571="","",IF(ISNUMBER(B570),IF(B571-B570&lt;0,B571,IF(B571-B570=0,"",B571-B570)),B571))</f>
        <v/>
      </c>
      <c r="D571" s="18" t="str">
        <f>IF(Dati!C571="","",IF(Dati!C571&gt;1,Dati!C571/100,Dati!C571))</f>
        <v/>
      </c>
      <c r="E571" s="18" t="str">
        <f>IF(Dati!D571="","",IF(Dati!D571&gt;1,Dati!D571/100,Dati!D571))</f>
        <v/>
      </c>
      <c r="F571" s="18" t="str">
        <f>IF(OR(D571="",E571=""),"",IF(OR(D571&gt;1,E571&gt;1),(E571-D571)/100,E571-D571))</f>
        <v/>
      </c>
      <c r="G571" s="17" t="str">
        <f>IF(F571="","",IF(64*F571=0,"",64*F571))</f>
        <v/>
      </c>
      <c r="H571" s="19" t="str">
        <f>IF(Dati!E571="","",Dati!E571)</f>
        <v/>
      </c>
      <c r="I571" s="19" t="str">
        <f>IFERROR(IF(OR(C571="",C571=0),"",H571/C571*100),"")</f>
        <v/>
      </c>
      <c r="J571" s="20" t="str">
        <f>IF(Dati!F571="","",Dati!F571)</f>
        <v/>
      </c>
      <c r="K571" s="19" t="str">
        <f>IF(OR(H571="",J571=""),"",IF(H571*J571=0,"",H571*J571))</f>
        <v/>
      </c>
      <c r="L571" s="19" t="str">
        <f>IF(A571="","",IFERROR(IF(SUMPRODUCT((ISNUMBER(A$2:A571))*(A$2:A571&gt;1000)*(MONTH(IF(ISNUMBER(A$2:A571),A$2:A571,1))=MONTH(A571))*(YEAR(IF(ISNUMBER(A$2:A571),A$2:A571,1))=YEAR(A571))*IF(ISNUMBER(K$2:K571),K$2:K571,0))=0,"",SUMPRODUCT((ISNUMBER(A$2:A571))*(A$2:A571&gt;1000)*(MONTH(IF(ISNUMBER(A$2:A571),A$2:A571,1))=MONTH(A571))*(YEAR(IF(ISNUMBER(A$2:A571),A$2:A571,1))=YEAR(A571))*IF(ISNUMBER(K$2:K571),K$2:K571,0))),""))</f>
        <v/>
      </c>
      <c r="M571" s="21" t="str">
        <f>IF(A571="","",IFERROR(IF(SUMIF(N$2:N571,"CASA",K$2:K571)=0,"",SUMIF(N$2:N571,"CASA",K$2:K571)),""))</f>
        <v/>
      </c>
      <c r="N571" s="17" t="str">
        <f>IF(J571="","",IF(J571=0.2,"CASA",IF(Dati!G571="","",Dati!G571)))</f>
        <v/>
      </c>
    </row>
    <row r="572" spans="1:14" ht="15" customHeight="1" x14ac:dyDescent="0.2">
      <c r="A572" s="23" t="str">
        <f>IF(Dati!A572="","",Dati!A572)</f>
        <v/>
      </c>
      <c r="B572" s="17" t="str">
        <f>IF(Dati!B572="","",Dati!B572)</f>
        <v/>
      </c>
      <c r="C572" s="17" t="str">
        <f>IF(B572="","",IF(ISNUMBER(B571),IF(B572-B571&lt;0,B572,IF(B572-B571=0,"",B572-B571)),B572))</f>
        <v/>
      </c>
      <c r="D572" s="18" t="str">
        <f>IF(Dati!C572="","",IF(Dati!C572&gt;1,Dati!C572/100,Dati!C572))</f>
        <v/>
      </c>
      <c r="E572" s="18" t="str">
        <f>IF(Dati!D572="","",IF(Dati!D572&gt;1,Dati!D572/100,Dati!D572))</f>
        <v/>
      </c>
      <c r="F572" s="18" t="str">
        <f>IF(OR(D572="",E572=""),"",IF(OR(D572&gt;1,E572&gt;1),(E572-D572)/100,E572-D572))</f>
        <v/>
      </c>
      <c r="G572" s="17" t="str">
        <f>IF(F572="","",IF(64*F572=0,"",64*F572))</f>
        <v/>
      </c>
      <c r="H572" s="19" t="str">
        <f>IF(Dati!E572="","",Dati!E572)</f>
        <v/>
      </c>
      <c r="I572" s="19" t="str">
        <f>IFERROR(IF(OR(C572="",C572=0),"",H572/C572*100),"")</f>
        <v/>
      </c>
      <c r="J572" s="20" t="str">
        <f>IF(Dati!F572="","",Dati!F572)</f>
        <v/>
      </c>
      <c r="K572" s="19" t="str">
        <f>IF(OR(H572="",J572=""),"",IF(H572*J572=0,"",H572*J572))</f>
        <v/>
      </c>
      <c r="L572" s="19" t="str">
        <f>IF(A572="","",IFERROR(IF(SUMPRODUCT((ISNUMBER(A$2:A572))*(A$2:A572&gt;1000)*(MONTH(IF(ISNUMBER(A$2:A572),A$2:A572,1))=MONTH(A572))*(YEAR(IF(ISNUMBER(A$2:A572),A$2:A572,1))=YEAR(A572))*IF(ISNUMBER(K$2:K572),K$2:K572,0))=0,"",SUMPRODUCT((ISNUMBER(A$2:A572))*(A$2:A572&gt;1000)*(MONTH(IF(ISNUMBER(A$2:A572),A$2:A572,1))=MONTH(A572))*(YEAR(IF(ISNUMBER(A$2:A572),A$2:A572,1))=YEAR(A572))*IF(ISNUMBER(K$2:K572),K$2:K572,0))),""))</f>
        <v/>
      </c>
      <c r="M572" s="21" t="str">
        <f>IF(A572="","",IFERROR(IF(SUMIF(N$2:N572,"CASA",K$2:K572)=0,"",SUMIF(N$2:N572,"CASA",K$2:K572)),""))</f>
        <v/>
      </c>
      <c r="N572" s="17" t="str">
        <f>IF(J572="","",IF(J572=0.2,"CASA",IF(Dati!G572="","",Dati!G572)))</f>
        <v/>
      </c>
    </row>
    <row r="573" spans="1:14" ht="15" customHeight="1" x14ac:dyDescent="0.2">
      <c r="A573" s="23" t="str">
        <f>IF(Dati!A573="","",Dati!A573)</f>
        <v/>
      </c>
      <c r="B573" s="17" t="str">
        <f>IF(Dati!B573="","",Dati!B573)</f>
        <v/>
      </c>
      <c r="C573" s="17" t="str">
        <f>IF(B573="","",IF(ISNUMBER(B572),IF(B573-B572&lt;0,B573,IF(B573-B572=0,"",B573-B572)),B573))</f>
        <v/>
      </c>
      <c r="D573" s="18" t="str">
        <f>IF(Dati!C573="","",IF(Dati!C573&gt;1,Dati!C573/100,Dati!C573))</f>
        <v/>
      </c>
      <c r="E573" s="18" t="str">
        <f>IF(Dati!D573="","",IF(Dati!D573&gt;1,Dati!D573/100,Dati!D573))</f>
        <v/>
      </c>
      <c r="F573" s="18" t="str">
        <f>IF(OR(D573="",E573=""),"",IF(OR(D573&gt;1,E573&gt;1),(E573-D573)/100,E573-D573))</f>
        <v/>
      </c>
      <c r="G573" s="17" t="str">
        <f>IF(F573="","",IF(64*F573=0,"",64*F573))</f>
        <v/>
      </c>
      <c r="H573" s="19" t="str">
        <f>IF(Dati!E573="","",Dati!E573)</f>
        <v/>
      </c>
      <c r="I573" s="19" t="str">
        <f>IFERROR(IF(OR(C573="",C573=0),"",H573/C573*100),"")</f>
        <v/>
      </c>
      <c r="J573" s="20" t="str">
        <f>IF(Dati!F573="","",Dati!F573)</f>
        <v/>
      </c>
      <c r="K573" s="19" t="str">
        <f>IF(OR(H573="",J573=""),"",IF(H573*J573=0,"",H573*J573))</f>
        <v/>
      </c>
      <c r="L573" s="19" t="str">
        <f>IF(A573="","",IFERROR(IF(SUMPRODUCT((ISNUMBER(A$2:A573))*(A$2:A573&gt;1000)*(MONTH(IF(ISNUMBER(A$2:A573),A$2:A573,1))=MONTH(A573))*(YEAR(IF(ISNUMBER(A$2:A573),A$2:A573,1))=YEAR(A573))*IF(ISNUMBER(K$2:K573),K$2:K573,0))=0,"",SUMPRODUCT((ISNUMBER(A$2:A573))*(A$2:A573&gt;1000)*(MONTH(IF(ISNUMBER(A$2:A573),A$2:A573,1))=MONTH(A573))*(YEAR(IF(ISNUMBER(A$2:A573),A$2:A573,1))=YEAR(A573))*IF(ISNUMBER(K$2:K573),K$2:K573,0))),""))</f>
        <v/>
      </c>
      <c r="M573" s="21" t="str">
        <f>IF(A573="","",IFERROR(IF(SUMIF(N$2:N573,"CASA",K$2:K573)=0,"",SUMIF(N$2:N573,"CASA",K$2:K573)),""))</f>
        <v/>
      </c>
      <c r="N573" s="17" t="str">
        <f>IF(J573="","",IF(J573=0.2,"CASA",IF(Dati!G573="","",Dati!G573)))</f>
        <v/>
      </c>
    </row>
    <row r="574" spans="1:14" ht="15" customHeight="1" x14ac:dyDescent="0.2">
      <c r="A574" s="23" t="str">
        <f>IF(Dati!A574="","",Dati!A574)</f>
        <v/>
      </c>
      <c r="B574" s="17" t="str">
        <f>IF(Dati!B574="","",Dati!B574)</f>
        <v/>
      </c>
      <c r="C574" s="17" t="str">
        <f>IF(B574="","",IF(ISNUMBER(B573),IF(B574-B573&lt;0,B574,IF(B574-B573=0,"",B574-B573)),B574))</f>
        <v/>
      </c>
      <c r="D574" s="18" t="str">
        <f>IF(Dati!C574="","",IF(Dati!C574&gt;1,Dati!C574/100,Dati!C574))</f>
        <v/>
      </c>
      <c r="E574" s="18" t="str">
        <f>IF(Dati!D574="","",IF(Dati!D574&gt;1,Dati!D574/100,Dati!D574))</f>
        <v/>
      </c>
      <c r="F574" s="18" t="str">
        <f>IF(OR(D574="",E574=""),"",IF(OR(D574&gt;1,E574&gt;1),(E574-D574)/100,E574-D574))</f>
        <v/>
      </c>
      <c r="G574" s="17" t="str">
        <f>IF(F574="","",IF(64*F574=0,"",64*F574))</f>
        <v/>
      </c>
      <c r="H574" s="19" t="str">
        <f>IF(Dati!E574="","",Dati!E574)</f>
        <v/>
      </c>
      <c r="I574" s="19" t="str">
        <f>IFERROR(IF(OR(C574="",C574=0),"",H574/C574*100),"")</f>
        <v/>
      </c>
      <c r="J574" s="20" t="str">
        <f>IF(Dati!F574="","",Dati!F574)</f>
        <v/>
      </c>
      <c r="K574" s="19" t="str">
        <f>IF(OR(H574="",J574=""),"",IF(H574*J574=0,"",H574*J574))</f>
        <v/>
      </c>
      <c r="L574" s="19" t="str">
        <f>IF(A574="","",IFERROR(IF(SUMPRODUCT((ISNUMBER(A$2:A574))*(A$2:A574&gt;1000)*(MONTH(IF(ISNUMBER(A$2:A574),A$2:A574,1))=MONTH(A574))*(YEAR(IF(ISNUMBER(A$2:A574),A$2:A574,1))=YEAR(A574))*IF(ISNUMBER(K$2:K574),K$2:K574,0))=0,"",SUMPRODUCT((ISNUMBER(A$2:A574))*(A$2:A574&gt;1000)*(MONTH(IF(ISNUMBER(A$2:A574),A$2:A574,1))=MONTH(A574))*(YEAR(IF(ISNUMBER(A$2:A574),A$2:A574,1))=YEAR(A574))*IF(ISNUMBER(K$2:K574),K$2:K574,0))),""))</f>
        <v/>
      </c>
      <c r="M574" s="21" t="str">
        <f>IF(A574="","",IFERROR(IF(SUMIF(N$2:N574,"CASA",K$2:K574)=0,"",SUMIF(N$2:N574,"CASA",K$2:K574)),""))</f>
        <v/>
      </c>
      <c r="N574" s="17" t="str">
        <f>IF(J574="","",IF(J574=0.2,"CASA",IF(Dati!G574="","",Dati!G574)))</f>
        <v/>
      </c>
    </row>
    <row r="575" spans="1:14" ht="15" customHeight="1" x14ac:dyDescent="0.2">
      <c r="A575" s="23" t="str">
        <f>IF(Dati!A575="","",Dati!A575)</f>
        <v/>
      </c>
      <c r="B575" s="17" t="str">
        <f>IF(Dati!B575="","",Dati!B575)</f>
        <v/>
      </c>
      <c r="C575" s="17" t="str">
        <f>IF(B575="","",IF(ISNUMBER(B574),IF(B575-B574&lt;0,B575,IF(B575-B574=0,"",B575-B574)),B575))</f>
        <v/>
      </c>
      <c r="D575" s="18" t="str">
        <f>IF(Dati!C575="","",IF(Dati!C575&gt;1,Dati!C575/100,Dati!C575))</f>
        <v/>
      </c>
      <c r="E575" s="18" t="str">
        <f>IF(Dati!D575="","",IF(Dati!D575&gt;1,Dati!D575/100,Dati!D575))</f>
        <v/>
      </c>
      <c r="F575" s="18" t="str">
        <f>IF(OR(D575="",E575=""),"",IF(OR(D575&gt;1,E575&gt;1),(E575-D575)/100,E575-D575))</f>
        <v/>
      </c>
      <c r="G575" s="17" t="str">
        <f>IF(F575="","",IF(64*F575=0,"",64*F575))</f>
        <v/>
      </c>
      <c r="H575" s="19" t="str">
        <f>IF(Dati!E575="","",Dati!E575)</f>
        <v/>
      </c>
      <c r="I575" s="19" t="str">
        <f>IFERROR(IF(OR(C575="",C575=0),"",H575/C575*100),"")</f>
        <v/>
      </c>
      <c r="J575" s="20" t="str">
        <f>IF(Dati!F575="","",Dati!F575)</f>
        <v/>
      </c>
      <c r="K575" s="19" t="str">
        <f>IF(OR(H575="",J575=""),"",IF(H575*J575=0,"",H575*J575))</f>
        <v/>
      </c>
      <c r="L575" s="19" t="str">
        <f>IF(A575="","",IFERROR(IF(SUMPRODUCT((ISNUMBER(A$2:A575))*(A$2:A575&gt;1000)*(MONTH(IF(ISNUMBER(A$2:A575),A$2:A575,1))=MONTH(A575))*(YEAR(IF(ISNUMBER(A$2:A575),A$2:A575,1))=YEAR(A575))*IF(ISNUMBER(K$2:K575),K$2:K575,0))=0,"",SUMPRODUCT((ISNUMBER(A$2:A575))*(A$2:A575&gt;1000)*(MONTH(IF(ISNUMBER(A$2:A575),A$2:A575,1))=MONTH(A575))*(YEAR(IF(ISNUMBER(A$2:A575),A$2:A575,1))=YEAR(A575))*IF(ISNUMBER(K$2:K575),K$2:K575,0))),""))</f>
        <v/>
      </c>
      <c r="M575" s="21" t="str">
        <f>IF(A575="","",IFERROR(IF(SUMIF(N$2:N575,"CASA",K$2:K575)=0,"",SUMIF(N$2:N575,"CASA",K$2:K575)),""))</f>
        <v/>
      </c>
      <c r="N575" s="17" t="str">
        <f>IF(J575="","",IF(J575=0.2,"CASA",IF(Dati!G575="","",Dati!G575)))</f>
        <v/>
      </c>
    </row>
    <row r="576" spans="1:14" ht="15" customHeight="1" x14ac:dyDescent="0.2">
      <c r="A576" s="23" t="str">
        <f>IF(Dati!A576="","",Dati!A576)</f>
        <v/>
      </c>
      <c r="B576" s="17" t="str">
        <f>IF(Dati!B576="","",Dati!B576)</f>
        <v/>
      </c>
      <c r="C576" s="17" t="str">
        <f>IF(B576="","",IF(ISNUMBER(B575),IF(B576-B575&lt;0,B576,IF(B576-B575=0,"",B576-B575)),B576))</f>
        <v/>
      </c>
      <c r="D576" s="18" t="str">
        <f>IF(Dati!C576="","",IF(Dati!C576&gt;1,Dati!C576/100,Dati!C576))</f>
        <v/>
      </c>
      <c r="E576" s="18" t="str">
        <f>IF(Dati!D576="","",IF(Dati!D576&gt;1,Dati!D576/100,Dati!D576))</f>
        <v/>
      </c>
      <c r="F576" s="18" t="str">
        <f>IF(OR(D576="",E576=""),"",IF(OR(D576&gt;1,E576&gt;1),(E576-D576)/100,E576-D576))</f>
        <v/>
      </c>
      <c r="G576" s="17" t="str">
        <f>IF(F576="","",IF(64*F576=0,"",64*F576))</f>
        <v/>
      </c>
      <c r="H576" s="19" t="str">
        <f>IF(Dati!E576="","",Dati!E576)</f>
        <v/>
      </c>
      <c r="I576" s="19" t="str">
        <f>IFERROR(IF(OR(C576="",C576=0),"",H576/C576*100),"")</f>
        <v/>
      </c>
      <c r="J576" s="20" t="str">
        <f>IF(Dati!F576="","",Dati!F576)</f>
        <v/>
      </c>
      <c r="K576" s="19" t="str">
        <f>IF(OR(H576="",J576=""),"",IF(H576*J576=0,"",H576*J576))</f>
        <v/>
      </c>
      <c r="L576" s="19" t="str">
        <f>IF(A576="","",IFERROR(IF(SUMPRODUCT((ISNUMBER(A$2:A576))*(A$2:A576&gt;1000)*(MONTH(IF(ISNUMBER(A$2:A576),A$2:A576,1))=MONTH(A576))*(YEAR(IF(ISNUMBER(A$2:A576),A$2:A576,1))=YEAR(A576))*IF(ISNUMBER(K$2:K576),K$2:K576,0))=0,"",SUMPRODUCT((ISNUMBER(A$2:A576))*(A$2:A576&gt;1000)*(MONTH(IF(ISNUMBER(A$2:A576),A$2:A576,1))=MONTH(A576))*(YEAR(IF(ISNUMBER(A$2:A576),A$2:A576,1))=YEAR(A576))*IF(ISNUMBER(K$2:K576),K$2:K576,0))),""))</f>
        <v/>
      </c>
      <c r="M576" s="21" t="str">
        <f>IF(A576="","",IFERROR(IF(SUMIF(N$2:N576,"CASA",K$2:K576)=0,"",SUMIF(N$2:N576,"CASA",K$2:K576)),""))</f>
        <v/>
      </c>
      <c r="N576" s="17" t="str">
        <f>IF(J576="","",IF(J576=0.2,"CASA",IF(Dati!G576="","",Dati!G576)))</f>
        <v/>
      </c>
    </row>
    <row r="577" spans="1:14" ht="15" customHeight="1" x14ac:dyDescent="0.2">
      <c r="A577" s="23" t="str">
        <f>IF(Dati!A577="","",Dati!A577)</f>
        <v/>
      </c>
      <c r="B577" s="17" t="str">
        <f>IF(Dati!B577="","",Dati!B577)</f>
        <v/>
      </c>
      <c r="C577" s="17" t="str">
        <f>IF(B577="","",IF(ISNUMBER(B576),IF(B577-B576&lt;0,B577,IF(B577-B576=0,"",B577-B576)),B577))</f>
        <v/>
      </c>
      <c r="D577" s="18" t="str">
        <f>IF(Dati!C577="","",IF(Dati!C577&gt;1,Dati!C577/100,Dati!C577))</f>
        <v/>
      </c>
      <c r="E577" s="18" t="str">
        <f>IF(Dati!D577="","",IF(Dati!D577&gt;1,Dati!D577/100,Dati!D577))</f>
        <v/>
      </c>
      <c r="F577" s="18" t="str">
        <f>IF(OR(D577="",E577=""),"",IF(OR(D577&gt;1,E577&gt;1),(E577-D577)/100,E577-D577))</f>
        <v/>
      </c>
      <c r="G577" s="17" t="str">
        <f>IF(F577="","",IF(64*F577=0,"",64*F577))</f>
        <v/>
      </c>
      <c r="H577" s="19" t="str">
        <f>IF(Dati!E577="","",Dati!E577)</f>
        <v/>
      </c>
      <c r="I577" s="19" t="str">
        <f>IFERROR(IF(OR(C577="",C577=0),"",H577/C577*100),"")</f>
        <v/>
      </c>
      <c r="J577" s="20" t="str">
        <f>IF(Dati!F577="","",Dati!F577)</f>
        <v/>
      </c>
      <c r="K577" s="19" t="str">
        <f>IF(OR(H577="",J577=""),"",IF(H577*J577=0,"",H577*J577))</f>
        <v/>
      </c>
      <c r="L577" s="19" t="str">
        <f>IF(A577="","",IFERROR(IF(SUMPRODUCT((ISNUMBER(A$2:A577))*(A$2:A577&gt;1000)*(MONTH(IF(ISNUMBER(A$2:A577),A$2:A577,1))=MONTH(A577))*(YEAR(IF(ISNUMBER(A$2:A577),A$2:A577,1))=YEAR(A577))*IF(ISNUMBER(K$2:K577),K$2:K577,0))=0,"",SUMPRODUCT((ISNUMBER(A$2:A577))*(A$2:A577&gt;1000)*(MONTH(IF(ISNUMBER(A$2:A577),A$2:A577,1))=MONTH(A577))*(YEAR(IF(ISNUMBER(A$2:A577),A$2:A577,1))=YEAR(A577))*IF(ISNUMBER(K$2:K577),K$2:K577,0))),""))</f>
        <v/>
      </c>
      <c r="M577" s="21" t="str">
        <f>IF(A577="","",IFERROR(IF(SUMIF(N$2:N577,"CASA",K$2:K577)=0,"",SUMIF(N$2:N577,"CASA",K$2:K577)),""))</f>
        <v/>
      </c>
      <c r="N577" s="17" t="str">
        <f>IF(J577="","",IF(J577=0.2,"CASA",IF(Dati!G577="","",Dati!G577)))</f>
        <v/>
      </c>
    </row>
    <row r="578" spans="1:14" ht="15" customHeight="1" x14ac:dyDescent="0.2">
      <c r="A578" s="23" t="str">
        <f>IF(Dati!A578="","",Dati!A578)</f>
        <v/>
      </c>
      <c r="B578" s="17" t="str">
        <f>IF(Dati!B578="","",Dati!B578)</f>
        <v/>
      </c>
      <c r="C578" s="17" t="str">
        <f>IF(B578="","",IF(ISNUMBER(B577),IF(B578-B577&lt;0,B578,IF(B578-B577=0,"",B578-B577)),B578))</f>
        <v/>
      </c>
      <c r="D578" s="18" t="str">
        <f>IF(Dati!C578="","",IF(Dati!C578&gt;1,Dati!C578/100,Dati!C578))</f>
        <v/>
      </c>
      <c r="E578" s="18" t="str">
        <f>IF(Dati!D578="","",IF(Dati!D578&gt;1,Dati!D578/100,Dati!D578))</f>
        <v/>
      </c>
      <c r="F578" s="18" t="str">
        <f>IF(OR(D578="",E578=""),"",IF(OR(D578&gt;1,E578&gt;1),(E578-D578)/100,E578-D578))</f>
        <v/>
      </c>
      <c r="G578" s="17" t="str">
        <f>IF(F578="","",IF(64*F578=0,"",64*F578))</f>
        <v/>
      </c>
      <c r="H578" s="19" t="str">
        <f>IF(Dati!E578="","",Dati!E578)</f>
        <v/>
      </c>
      <c r="I578" s="19" t="str">
        <f>IFERROR(IF(OR(C578="",C578=0),"",H578/C578*100),"")</f>
        <v/>
      </c>
      <c r="J578" s="20" t="str">
        <f>IF(Dati!F578="","",Dati!F578)</f>
        <v/>
      </c>
      <c r="K578" s="19" t="str">
        <f>IF(OR(H578="",J578=""),"",IF(H578*J578=0,"",H578*J578))</f>
        <v/>
      </c>
      <c r="L578" s="19" t="str">
        <f>IF(A578="","",IFERROR(IF(SUMPRODUCT((ISNUMBER(A$2:A578))*(A$2:A578&gt;1000)*(MONTH(IF(ISNUMBER(A$2:A578),A$2:A578,1))=MONTH(A578))*(YEAR(IF(ISNUMBER(A$2:A578),A$2:A578,1))=YEAR(A578))*IF(ISNUMBER(K$2:K578),K$2:K578,0))=0,"",SUMPRODUCT((ISNUMBER(A$2:A578))*(A$2:A578&gt;1000)*(MONTH(IF(ISNUMBER(A$2:A578),A$2:A578,1))=MONTH(A578))*(YEAR(IF(ISNUMBER(A$2:A578),A$2:A578,1))=YEAR(A578))*IF(ISNUMBER(K$2:K578),K$2:K578,0))),""))</f>
        <v/>
      </c>
      <c r="M578" s="21" t="str">
        <f>IF(A578="","",IFERROR(IF(SUMIF(N$2:N578,"CASA",K$2:K578)=0,"",SUMIF(N$2:N578,"CASA",K$2:K578)),""))</f>
        <v/>
      </c>
      <c r="N578" s="17" t="str">
        <f>IF(J578="","",IF(J578=0.2,"CASA",IF(Dati!G578="","",Dati!G578)))</f>
        <v/>
      </c>
    </row>
    <row r="579" spans="1:14" ht="15" customHeight="1" x14ac:dyDescent="0.2">
      <c r="A579" s="23" t="str">
        <f>IF(Dati!A579="","",Dati!A579)</f>
        <v/>
      </c>
      <c r="B579" s="17" t="str">
        <f>IF(Dati!B579="","",Dati!B579)</f>
        <v/>
      </c>
      <c r="C579" s="17" t="str">
        <f>IF(B579="","",IF(ISNUMBER(B578),IF(B579-B578&lt;0,B579,IF(B579-B578=0,"",B579-B578)),B579))</f>
        <v/>
      </c>
      <c r="D579" s="18" t="str">
        <f>IF(Dati!C579="","",IF(Dati!C579&gt;1,Dati!C579/100,Dati!C579))</f>
        <v/>
      </c>
      <c r="E579" s="18" t="str">
        <f>IF(Dati!D579="","",IF(Dati!D579&gt;1,Dati!D579/100,Dati!D579))</f>
        <v/>
      </c>
      <c r="F579" s="18" t="str">
        <f>IF(OR(D579="",E579=""),"",IF(OR(D579&gt;1,E579&gt;1),(E579-D579)/100,E579-D579))</f>
        <v/>
      </c>
      <c r="G579" s="17" t="str">
        <f>IF(F579="","",IF(64*F579=0,"",64*F579))</f>
        <v/>
      </c>
      <c r="H579" s="19" t="str">
        <f>IF(Dati!E579="","",Dati!E579)</f>
        <v/>
      </c>
      <c r="I579" s="19" t="str">
        <f>IFERROR(IF(OR(C579="",C579=0),"",H579/C579*100),"")</f>
        <v/>
      </c>
      <c r="J579" s="20" t="str">
        <f>IF(Dati!F579="","",Dati!F579)</f>
        <v/>
      </c>
      <c r="K579" s="19" t="str">
        <f>IF(OR(H579="",J579=""),"",IF(H579*J579=0,"",H579*J579))</f>
        <v/>
      </c>
      <c r="L579" s="19" t="str">
        <f>IF(A579="","",IFERROR(IF(SUMPRODUCT((ISNUMBER(A$2:A579))*(A$2:A579&gt;1000)*(MONTH(IF(ISNUMBER(A$2:A579),A$2:A579,1))=MONTH(A579))*(YEAR(IF(ISNUMBER(A$2:A579),A$2:A579,1))=YEAR(A579))*IF(ISNUMBER(K$2:K579),K$2:K579,0))=0,"",SUMPRODUCT((ISNUMBER(A$2:A579))*(A$2:A579&gt;1000)*(MONTH(IF(ISNUMBER(A$2:A579),A$2:A579,1))=MONTH(A579))*(YEAR(IF(ISNUMBER(A$2:A579),A$2:A579,1))=YEAR(A579))*IF(ISNUMBER(K$2:K579),K$2:K579,0))),""))</f>
        <v/>
      </c>
      <c r="M579" s="21" t="str">
        <f>IF(A579="","",IFERROR(IF(SUMIF(N$2:N579,"CASA",K$2:K579)=0,"",SUMIF(N$2:N579,"CASA",K$2:K579)),""))</f>
        <v/>
      </c>
      <c r="N579" s="17" t="str">
        <f>IF(J579="","",IF(J579=0.2,"CASA",IF(Dati!G579="","",Dati!G579)))</f>
        <v/>
      </c>
    </row>
    <row r="580" spans="1:14" ht="15" customHeight="1" x14ac:dyDescent="0.2">
      <c r="A580" s="23" t="str">
        <f>IF(Dati!A580="","",Dati!A580)</f>
        <v/>
      </c>
      <c r="B580" s="17" t="str">
        <f>IF(Dati!B580="","",Dati!B580)</f>
        <v/>
      </c>
      <c r="C580" s="17" t="str">
        <f>IF(B580="","",IF(ISNUMBER(B579),IF(B580-B579&lt;0,B580,IF(B580-B579=0,"",B580-B579)),B580))</f>
        <v/>
      </c>
      <c r="D580" s="18" t="str">
        <f>IF(Dati!C580="","",IF(Dati!C580&gt;1,Dati!C580/100,Dati!C580))</f>
        <v/>
      </c>
      <c r="E580" s="18" t="str">
        <f>IF(Dati!D580="","",IF(Dati!D580&gt;1,Dati!D580/100,Dati!D580))</f>
        <v/>
      </c>
      <c r="F580" s="18" t="str">
        <f>IF(OR(D580="",E580=""),"",IF(OR(D580&gt;1,E580&gt;1),(E580-D580)/100,E580-D580))</f>
        <v/>
      </c>
      <c r="G580" s="17" t="str">
        <f>IF(F580="","",IF(64*F580=0,"",64*F580))</f>
        <v/>
      </c>
      <c r="H580" s="19" t="str">
        <f>IF(Dati!E580="","",Dati!E580)</f>
        <v/>
      </c>
      <c r="I580" s="19" t="str">
        <f>IFERROR(IF(OR(C580="",C580=0),"",H580/C580*100),"")</f>
        <v/>
      </c>
      <c r="J580" s="20" t="str">
        <f>IF(Dati!F580="","",Dati!F580)</f>
        <v/>
      </c>
      <c r="K580" s="19" t="str">
        <f>IF(OR(H580="",J580=""),"",IF(H580*J580=0,"",H580*J580))</f>
        <v/>
      </c>
      <c r="L580" s="19" t="str">
        <f>IF(A580="","",IFERROR(IF(SUMPRODUCT((ISNUMBER(A$2:A580))*(A$2:A580&gt;1000)*(MONTH(IF(ISNUMBER(A$2:A580),A$2:A580,1))=MONTH(A580))*(YEAR(IF(ISNUMBER(A$2:A580),A$2:A580,1))=YEAR(A580))*IF(ISNUMBER(K$2:K580),K$2:K580,0))=0,"",SUMPRODUCT((ISNUMBER(A$2:A580))*(A$2:A580&gt;1000)*(MONTH(IF(ISNUMBER(A$2:A580),A$2:A580,1))=MONTH(A580))*(YEAR(IF(ISNUMBER(A$2:A580),A$2:A580,1))=YEAR(A580))*IF(ISNUMBER(K$2:K580),K$2:K580,0))),""))</f>
        <v/>
      </c>
      <c r="M580" s="21" t="str">
        <f>IF(A580="","",IFERROR(IF(SUMIF(N$2:N580,"CASA",K$2:K580)=0,"",SUMIF(N$2:N580,"CASA",K$2:K580)),""))</f>
        <v/>
      </c>
      <c r="N580" s="17" t="str">
        <f>IF(J580="","",IF(J580=0.2,"CASA",IF(Dati!G580="","",Dati!G580)))</f>
        <v/>
      </c>
    </row>
    <row r="581" spans="1:14" ht="15" customHeight="1" x14ac:dyDescent="0.2">
      <c r="A581" s="23" t="str">
        <f>IF(Dati!A581="","",Dati!A581)</f>
        <v/>
      </c>
      <c r="B581" s="17" t="str">
        <f>IF(Dati!B581="","",Dati!B581)</f>
        <v/>
      </c>
      <c r="C581" s="17" t="str">
        <f>IF(B581="","",IF(ISNUMBER(B580),IF(B581-B580&lt;0,B581,IF(B581-B580=0,"",B581-B580)),B581))</f>
        <v/>
      </c>
      <c r="D581" s="18" t="str">
        <f>IF(Dati!C581="","",IF(Dati!C581&gt;1,Dati!C581/100,Dati!C581))</f>
        <v/>
      </c>
      <c r="E581" s="18" t="str">
        <f>IF(Dati!D581="","",IF(Dati!D581&gt;1,Dati!D581/100,Dati!D581))</f>
        <v/>
      </c>
      <c r="F581" s="18" t="str">
        <f>IF(OR(D581="",E581=""),"",IF(OR(D581&gt;1,E581&gt;1),(E581-D581)/100,E581-D581))</f>
        <v/>
      </c>
      <c r="G581" s="17" t="str">
        <f>IF(F581="","",IF(64*F581=0,"",64*F581))</f>
        <v/>
      </c>
      <c r="H581" s="19" t="str">
        <f>IF(Dati!E581="","",Dati!E581)</f>
        <v/>
      </c>
      <c r="I581" s="19" t="str">
        <f>IFERROR(IF(OR(C581="",C581=0),"",H581/C581*100),"")</f>
        <v/>
      </c>
      <c r="J581" s="20" t="str">
        <f>IF(Dati!F581="","",Dati!F581)</f>
        <v/>
      </c>
      <c r="K581" s="19" t="str">
        <f>IF(OR(H581="",J581=""),"",IF(H581*J581=0,"",H581*J581))</f>
        <v/>
      </c>
      <c r="L581" s="19" t="str">
        <f>IF(A581="","",IFERROR(IF(SUMPRODUCT((ISNUMBER(A$2:A581))*(A$2:A581&gt;1000)*(MONTH(IF(ISNUMBER(A$2:A581),A$2:A581,1))=MONTH(A581))*(YEAR(IF(ISNUMBER(A$2:A581),A$2:A581,1))=YEAR(A581))*IF(ISNUMBER(K$2:K581),K$2:K581,0))=0,"",SUMPRODUCT((ISNUMBER(A$2:A581))*(A$2:A581&gt;1000)*(MONTH(IF(ISNUMBER(A$2:A581),A$2:A581,1))=MONTH(A581))*(YEAR(IF(ISNUMBER(A$2:A581),A$2:A581,1))=YEAR(A581))*IF(ISNUMBER(K$2:K581),K$2:K581,0))),""))</f>
        <v/>
      </c>
      <c r="M581" s="21" t="str">
        <f>IF(A581="","",IFERROR(IF(SUMIF(N$2:N581,"CASA",K$2:K581)=0,"",SUMIF(N$2:N581,"CASA",K$2:K581)),""))</f>
        <v/>
      </c>
      <c r="N581" s="17" t="str">
        <f>IF(J581="","",IF(J581=0.2,"CASA",IF(Dati!G581="","",Dati!G581)))</f>
        <v/>
      </c>
    </row>
    <row r="582" spans="1:14" ht="15" customHeight="1" x14ac:dyDescent="0.2">
      <c r="A582" s="23" t="str">
        <f>IF(Dati!A582="","",Dati!A582)</f>
        <v/>
      </c>
      <c r="B582" s="17" t="str">
        <f>IF(Dati!B582="","",Dati!B582)</f>
        <v/>
      </c>
      <c r="C582" s="17" t="str">
        <f>IF(B582="","",IF(ISNUMBER(B581),IF(B582-B581&lt;0,B582,IF(B582-B581=0,"",B582-B581)),B582))</f>
        <v/>
      </c>
      <c r="D582" s="18" t="str">
        <f>IF(Dati!C582="","",IF(Dati!C582&gt;1,Dati!C582/100,Dati!C582))</f>
        <v/>
      </c>
      <c r="E582" s="18" t="str">
        <f>IF(Dati!D582="","",IF(Dati!D582&gt;1,Dati!D582/100,Dati!D582))</f>
        <v/>
      </c>
      <c r="F582" s="18" t="str">
        <f>IF(OR(D582="",E582=""),"",IF(OR(D582&gt;1,E582&gt;1),(E582-D582)/100,E582-D582))</f>
        <v/>
      </c>
      <c r="G582" s="17" t="str">
        <f>IF(F582="","",IF(64*F582=0,"",64*F582))</f>
        <v/>
      </c>
      <c r="H582" s="19" t="str">
        <f>IF(Dati!E582="","",Dati!E582)</f>
        <v/>
      </c>
      <c r="I582" s="19" t="str">
        <f>IFERROR(IF(OR(C582="",C582=0),"",H582/C582*100),"")</f>
        <v/>
      </c>
      <c r="J582" s="20" t="str">
        <f>IF(Dati!F582="","",Dati!F582)</f>
        <v/>
      </c>
      <c r="K582" s="19" t="str">
        <f>IF(OR(H582="",J582=""),"",IF(H582*J582=0,"",H582*J582))</f>
        <v/>
      </c>
      <c r="L582" s="19" t="str">
        <f>IF(A582="","",IFERROR(IF(SUMPRODUCT((ISNUMBER(A$2:A582))*(A$2:A582&gt;1000)*(MONTH(IF(ISNUMBER(A$2:A582),A$2:A582,1))=MONTH(A582))*(YEAR(IF(ISNUMBER(A$2:A582),A$2:A582,1))=YEAR(A582))*IF(ISNUMBER(K$2:K582),K$2:K582,0))=0,"",SUMPRODUCT((ISNUMBER(A$2:A582))*(A$2:A582&gt;1000)*(MONTH(IF(ISNUMBER(A$2:A582),A$2:A582,1))=MONTH(A582))*(YEAR(IF(ISNUMBER(A$2:A582),A$2:A582,1))=YEAR(A582))*IF(ISNUMBER(K$2:K582),K$2:K582,0))),""))</f>
        <v/>
      </c>
      <c r="M582" s="21" t="str">
        <f>IF(A582="","",IFERROR(IF(SUMIF(N$2:N582,"CASA",K$2:K582)=0,"",SUMIF(N$2:N582,"CASA",K$2:K582)),""))</f>
        <v/>
      </c>
      <c r="N582" s="17" t="str">
        <f>IF(J582="","",IF(J582=0.2,"CASA",IF(Dati!G582="","",Dati!G582)))</f>
        <v/>
      </c>
    </row>
    <row r="583" spans="1:14" ht="15" customHeight="1" x14ac:dyDescent="0.2">
      <c r="A583" s="23" t="str">
        <f>IF(Dati!A583="","",Dati!A583)</f>
        <v/>
      </c>
      <c r="B583" s="17" t="str">
        <f>IF(Dati!B583="","",Dati!B583)</f>
        <v/>
      </c>
      <c r="C583" s="17" t="str">
        <f>IF(B583="","",IF(ISNUMBER(B582),IF(B583-B582&lt;0,B583,IF(B583-B582=0,"",B583-B582)),B583))</f>
        <v/>
      </c>
      <c r="D583" s="18" t="str">
        <f>IF(Dati!C583="","",IF(Dati!C583&gt;1,Dati!C583/100,Dati!C583))</f>
        <v/>
      </c>
      <c r="E583" s="18" t="str">
        <f>IF(Dati!D583="","",IF(Dati!D583&gt;1,Dati!D583/100,Dati!D583))</f>
        <v/>
      </c>
      <c r="F583" s="18" t="str">
        <f>IF(OR(D583="",E583=""),"",IF(OR(D583&gt;1,E583&gt;1),(E583-D583)/100,E583-D583))</f>
        <v/>
      </c>
      <c r="G583" s="17" t="str">
        <f>IF(F583="","",IF(64*F583=0,"",64*F583))</f>
        <v/>
      </c>
      <c r="H583" s="19" t="str">
        <f>IF(Dati!E583="","",Dati!E583)</f>
        <v/>
      </c>
      <c r="I583" s="19" t="str">
        <f>IFERROR(IF(OR(C583="",C583=0),"",H583/C583*100),"")</f>
        <v/>
      </c>
      <c r="J583" s="20" t="str">
        <f>IF(Dati!F583="","",Dati!F583)</f>
        <v/>
      </c>
      <c r="K583" s="19" t="str">
        <f>IF(OR(H583="",J583=""),"",IF(H583*J583=0,"",H583*J583))</f>
        <v/>
      </c>
      <c r="L583" s="19" t="str">
        <f>IF(A583="","",IFERROR(IF(SUMPRODUCT((ISNUMBER(A$2:A583))*(A$2:A583&gt;1000)*(MONTH(IF(ISNUMBER(A$2:A583),A$2:A583,1))=MONTH(A583))*(YEAR(IF(ISNUMBER(A$2:A583),A$2:A583,1))=YEAR(A583))*IF(ISNUMBER(K$2:K583),K$2:K583,0))=0,"",SUMPRODUCT((ISNUMBER(A$2:A583))*(A$2:A583&gt;1000)*(MONTH(IF(ISNUMBER(A$2:A583),A$2:A583,1))=MONTH(A583))*(YEAR(IF(ISNUMBER(A$2:A583),A$2:A583,1))=YEAR(A583))*IF(ISNUMBER(K$2:K583),K$2:K583,0))),""))</f>
        <v/>
      </c>
      <c r="M583" s="21" t="str">
        <f>IF(A583="","",IFERROR(IF(SUMIF(N$2:N583,"CASA",K$2:K583)=0,"",SUMIF(N$2:N583,"CASA",K$2:K583)),""))</f>
        <v/>
      </c>
      <c r="N583" s="17" t="str">
        <f>IF(J583="","",IF(J583=0.2,"CASA",IF(Dati!G583="","",Dati!G583)))</f>
        <v/>
      </c>
    </row>
    <row r="584" spans="1:14" ht="15" customHeight="1" x14ac:dyDescent="0.2">
      <c r="A584" s="23" t="str">
        <f>IF(Dati!A584="","",Dati!A584)</f>
        <v/>
      </c>
      <c r="B584" s="17" t="str">
        <f>IF(Dati!B584="","",Dati!B584)</f>
        <v/>
      </c>
      <c r="C584" s="17" t="str">
        <f>IF(B584="","",IF(ISNUMBER(B583),IF(B584-B583&lt;0,B584,IF(B584-B583=0,"",B584-B583)),B584))</f>
        <v/>
      </c>
      <c r="D584" s="18" t="str">
        <f>IF(Dati!C584="","",IF(Dati!C584&gt;1,Dati!C584/100,Dati!C584))</f>
        <v/>
      </c>
      <c r="E584" s="18" t="str">
        <f>IF(Dati!D584="","",IF(Dati!D584&gt;1,Dati!D584/100,Dati!D584))</f>
        <v/>
      </c>
      <c r="F584" s="18" t="str">
        <f>IF(OR(D584="",E584=""),"",IF(OR(D584&gt;1,E584&gt;1),(E584-D584)/100,E584-D584))</f>
        <v/>
      </c>
      <c r="G584" s="17" t="str">
        <f>IF(F584="","",IF(64*F584=0,"",64*F584))</f>
        <v/>
      </c>
      <c r="H584" s="19" t="str">
        <f>IF(Dati!E584="","",Dati!E584)</f>
        <v/>
      </c>
      <c r="I584" s="19" t="str">
        <f>IFERROR(IF(OR(C584="",C584=0),"",H584/C584*100),"")</f>
        <v/>
      </c>
      <c r="J584" s="20" t="str">
        <f>IF(Dati!F584="","",Dati!F584)</f>
        <v/>
      </c>
      <c r="K584" s="19" t="str">
        <f>IF(OR(H584="",J584=""),"",IF(H584*J584=0,"",H584*J584))</f>
        <v/>
      </c>
      <c r="L584" s="19" t="str">
        <f>IF(A584="","",IFERROR(IF(SUMPRODUCT((ISNUMBER(A$2:A584))*(A$2:A584&gt;1000)*(MONTH(IF(ISNUMBER(A$2:A584),A$2:A584,1))=MONTH(A584))*(YEAR(IF(ISNUMBER(A$2:A584),A$2:A584,1))=YEAR(A584))*IF(ISNUMBER(K$2:K584),K$2:K584,0))=0,"",SUMPRODUCT((ISNUMBER(A$2:A584))*(A$2:A584&gt;1000)*(MONTH(IF(ISNUMBER(A$2:A584),A$2:A584,1))=MONTH(A584))*(YEAR(IF(ISNUMBER(A$2:A584),A$2:A584,1))=YEAR(A584))*IF(ISNUMBER(K$2:K584),K$2:K584,0))),""))</f>
        <v/>
      </c>
      <c r="M584" s="21" t="str">
        <f>IF(A584="","",IFERROR(IF(SUMIF(N$2:N584,"CASA",K$2:K584)=0,"",SUMIF(N$2:N584,"CASA",K$2:K584)),""))</f>
        <v/>
      </c>
      <c r="N584" s="17" t="str">
        <f>IF(J584="","",IF(J584=0.2,"CASA",IF(Dati!G584="","",Dati!G584)))</f>
        <v/>
      </c>
    </row>
    <row r="585" spans="1:14" ht="15" customHeight="1" x14ac:dyDescent="0.2">
      <c r="A585" s="23" t="str">
        <f>IF(Dati!A585="","",Dati!A585)</f>
        <v/>
      </c>
      <c r="B585" s="17" t="str">
        <f>IF(Dati!B585="","",Dati!B585)</f>
        <v/>
      </c>
      <c r="C585" s="17" t="str">
        <f>IF(B585="","",IF(ISNUMBER(B584),IF(B585-B584&lt;0,B585,IF(B585-B584=0,"",B585-B584)),B585))</f>
        <v/>
      </c>
      <c r="D585" s="18" t="str">
        <f>IF(Dati!C585="","",IF(Dati!C585&gt;1,Dati!C585/100,Dati!C585))</f>
        <v/>
      </c>
      <c r="E585" s="18" t="str">
        <f>IF(Dati!D585="","",IF(Dati!D585&gt;1,Dati!D585/100,Dati!D585))</f>
        <v/>
      </c>
      <c r="F585" s="18" t="str">
        <f>IF(OR(D585="",E585=""),"",IF(OR(D585&gt;1,E585&gt;1),(E585-D585)/100,E585-D585))</f>
        <v/>
      </c>
      <c r="G585" s="17" t="str">
        <f>IF(F585="","",IF(64*F585=0,"",64*F585))</f>
        <v/>
      </c>
      <c r="H585" s="19" t="str">
        <f>IF(Dati!E585="","",Dati!E585)</f>
        <v/>
      </c>
      <c r="I585" s="19" t="str">
        <f>IFERROR(IF(OR(C585="",C585=0),"",H585/C585*100),"")</f>
        <v/>
      </c>
      <c r="J585" s="20" t="str">
        <f>IF(Dati!F585="","",Dati!F585)</f>
        <v/>
      </c>
      <c r="K585" s="19" t="str">
        <f>IF(OR(H585="",J585=""),"",IF(H585*J585=0,"",H585*J585))</f>
        <v/>
      </c>
      <c r="L585" s="19" t="str">
        <f>IF(A585="","",IFERROR(IF(SUMPRODUCT((ISNUMBER(A$2:A585))*(A$2:A585&gt;1000)*(MONTH(IF(ISNUMBER(A$2:A585),A$2:A585,1))=MONTH(A585))*(YEAR(IF(ISNUMBER(A$2:A585),A$2:A585,1))=YEAR(A585))*IF(ISNUMBER(K$2:K585),K$2:K585,0))=0,"",SUMPRODUCT((ISNUMBER(A$2:A585))*(A$2:A585&gt;1000)*(MONTH(IF(ISNUMBER(A$2:A585),A$2:A585,1))=MONTH(A585))*(YEAR(IF(ISNUMBER(A$2:A585),A$2:A585,1))=YEAR(A585))*IF(ISNUMBER(K$2:K585),K$2:K585,0))),""))</f>
        <v/>
      </c>
      <c r="M585" s="21" t="str">
        <f>IF(A585="","",IFERROR(IF(SUMIF(N$2:N585,"CASA",K$2:K585)=0,"",SUMIF(N$2:N585,"CASA",K$2:K585)),""))</f>
        <v/>
      </c>
      <c r="N585" s="17" t="str">
        <f>IF(J585="","",IF(J585=0.2,"CASA",IF(Dati!G585="","",Dati!G585)))</f>
        <v/>
      </c>
    </row>
    <row r="586" spans="1:14" ht="15" customHeight="1" x14ac:dyDescent="0.2">
      <c r="A586" s="23" t="str">
        <f>IF(Dati!A586="","",Dati!A586)</f>
        <v/>
      </c>
      <c r="B586" s="17" t="str">
        <f>IF(Dati!B586="","",Dati!B586)</f>
        <v/>
      </c>
      <c r="C586" s="17" t="str">
        <f>IF(B586="","",IF(ISNUMBER(B585),IF(B586-B585&lt;0,B586,IF(B586-B585=0,"",B586-B585)),B586))</f>
        <v/>
      </c>
      <c r="D586" s="18" t="str">
        <f>IF(Dati!C586="","",IF(Dati!C586&gt;1,Dati!C586/100,Dati!C586))</f>
        <v/>
      </c>
      <c r="E586" s="18" t="str">
        <f>IF(Dati!D586="","",IF(Dati!D586&gt;1,Dati!D586/100,Dati!D586))</f>
        <v/>
      </c>
      <c r="F586" s="18" t="str">
        <f>IF(OR(D586="",E586=""),"",IF(OR(D586&gt;1,E586&gt;1),(E586-D586)/100,E586-D586))</f>
        <v/>
      </c>
      <c r="G586" s="17" t="str">
        <f>IF(F586="","",IF(64*F586=0,"",64*F586))</f>
        <v/>
      </c>
      <c r="H586" s="19" t="str">
        <f>IF(Dati!E586="","",Dati!E586)</f>
        <v/>
      </c>
      <c r="I586" s="19" t="str">
        <f>IFERROR(IF(OR(C586="",C586=0),"",H586/C586*100),"")</f>
        <v/>
      </c>
      <c r="J586" s="20" t="str">
        <f>IF(Dati!F586="","",Dati!F586)</f>
        <v/>
      </c>
      <c r="K586" s="19" t="str">
        <f>IF(OR(H586="",J586=""),"",IF(H586*J586=0,"",H586*J586))</f>
        <v/>
      </c>
      <c r="L586" s="19" t="str">
        <f>IF(A586="","",IFERROR(IF(SUMPRODUCT((ISNUMBER(A$2:A586))*(A$2:A586&gt;1000)*(MONTH(IF(ISNUMBER(A$2:A586),A$2:A586,1))=MONTH(A586))*(YEAR(IF(ISNUMBER(A$2:A586),A$2:A586,1))=YEAR(A586))*IF(ISNUMBER(K$2:K586),K$2:K586,0))=0,"",SUMPRODUCT((ISNUMBER(A$2:A586))*(A$2:A586&gt;1000)*(MONTH(IF(ISNUMBER(A$2:A586),A$2:A586,1))=MONTH(A586))*(YEAR(IF(ISNUMBER(A$2:A586),A$2:A586,1))=YEAR(A586))*IF(ISNUMBER(K$2:K586),K$2:K586,0))),""))</f>
        <v/>
      </c>
      <c r="M586" s="21" t="str">
        <f>IF(A586="","",IFERROR(IF(SUMIF(N$2:N586,"CASA",K$2:K586)=0,"",SUMIF(N$2:N586,"CASA",K$2:K586)),""))</f>
        <v/>
      </c>
      <c r="N586" s="17" t="str">
        <f>IF(J586="","",IF(J586=0.2,"CASA",IF(Dati!G586="","",Dati!G586)))</f>
        <v/>
      </c>
    </row>
    <row r="587" spans="1:14" ht="15" customHeight="1" x14ac:dyDescent="0.2">
      <c r="A587" s="23" t="str">
        <f>IF(Dati!A587="","",Dati!A587)</f>
        <v/>
      </c>
      <c r="B587" s="17" t="str">
        <f>IF(Dati!B587="","",Dati!B587)</f>
        <v/>
      </c>
      <c r="C587" s="17" t="str">
        <f>IF(B587="","",IF(ISNUMBER(B586),IF(B587-B586&lt;0,B587,IF(B587-B586=0,"",B587-B586)),B587))</f>
        <v/>
      </c>
      <c r="D587" s="18" t="str">
        <f>IF(Dati!C587="","",IF(Dati!C587&gt;1,Dati!C587/100,Dati!C587))</f>
        <v/>
      </c>
      <c r="E587" s="18" t="str">
        <f>IF(Dati!D587="","",IF(Dati!D587&gt;1,Dati!D587/100,Dati!D587))</f>
        <v/>
      </c>
      <c r="F587" s="18" t="str">
        <f>IF(OR(D587="",E587=""),"",IF(OR(D587&gt;1,E587&gt;1),(E587-D587)/100,E587-D587))</f>
        <v/>
      </c>
      <c r="G587" s="17" t="str">
        <f>IF(F587="","",IF(64*F587=0,"",64*F587))</f>
        <v/>
      </c>
      <c r="H587" s="19" t="str">
        <f>IF(Dati!E587="","",Dati!E587)</f>
        <v/>
      </c>
      <c r="I587" s="19" t="str">
        <f>IFERROR(IF(OR(C587="",C587=0),"",H587/C587*100),"")</f>
        <v/>
      </c>
      <c r="J587" s="20" t="str">
        <f>IF(Dati!F587="","",Dati!F587)</f>
        <v/>
      </c>
      <c r="K587" s="19" t="str">
        <f>IF(OR(H587="",J587=""),"",IF(H587*J587=0,"",H587*J587))</f>
        <v/>
      </c>
      <c r="L587" s="19" t="str">
        <f>IF(A587="","",IFERROR(IF(SUMPRODUCT((ISNUMBER(A$2:A587))*(A$2:A587&gt;1000)*(MONTH(IF(ISNUMBER(A$2:A587),A$2:A587,1))=MONTH(A587))*(YEAR(IF(ISNUMBER(A$2:A587),A$2:A587,1))=YEAR(A587))*IF(ISNUMBER(K$2:K587),K$2:K587,0))=0,"",SUMPRODUCT((ISNUMBER(A$2:A587))*(A$2:A587&gt;1000)*(MONTH(IF(ISNUMBER(A$2:A587),A$2:A587,1))=MONTH(A587))*(YEAR(IF(ISNUMBER(A$2:A587),A$2:A587,1))=YEAR(A587))*IF(ISNUMBER(K$2:K587),K$2:K587,0))),""))</f>
        <v/>
      </c>
      <c r="M587" s="21" t="str">
        <f>IF(A587="","",IFERROR(IF(SUMIF(N$2:N587,"CASA",K$2:K587)=0,"",SUMIF(N$2:N587,"CASA",K$2:K587)),""))</f>
        <v/>
      </c>
      <c r="N587" s="17" t="str">
        <f>IF(J587="","",IF(J587=0.2,"CASA",IF(Dati!G587="","",Dati!G587)))</f>
        <v/>
      </c>
    </row>
    <row r="588" spans="1:14" ht="15" customHeight="1" x14ac:dyDescent="0.2">
      <c r="A588" s="23" t="str">
        <f>IF(Dati!A588="","",Dati!A588)</f>
        <v/>
      </c>
      <c r="B588" s="17" t="str">
        <f>IF(Dati!B588="","",Dati!B588)</f>
        <v/>
      </c>
      <c r="C588" s="17" t="str">
        <f>IF(B588="","",IF(ISNUMBER(B587),IF(B588-B587&lt;0,B588,IF(B588-B587=0,"",B588-B587)),B588))</f>
        <v/>
      </c>
      <c r="D588" s="18" t="str">
        <f>IF(Dati!C588="","",IF(Dati!C588&gt;1,Dati!C588/100,Dati!C588))</f>
        <v/>
      </c>
      <c r="E588" s="18" t="str">
        <f>IF(Dati!D588="","",IF(Dati!D588&gt;1,Dati!D588/100,Dati!D588))</f>
        <v/>
      </c>
      <c r="F588" s="18" t="str">
        <f>IF(OR(D588="",E588=""),"",IF(OR(D588&gt;1,E588&gt;1),(E588-D588)/100,E588-D588))</f>
        <v/>
      </c>
      <c r="G588" s="17" t="str">
        <f>IF(F588="","",IF(64*F588=0,"",64*F588))</f>
        <v/>
      </c>
      <c r="H588" s="19" t="str">
        <f>IF(Dati!E588="","",Dati!E588)</f>
        <v/>
      </c>
      <c r="I588" s="19" t="str">
        <f>IFERROR(IF(OR(C588="",C588=0),"",H588/C588*100),"")</f>
        <v/>
      </c>
      <c r="J588" s="20" t="str">
        <f>IF(Dati!F588="","",Dati!F588)</f>
        <v/>
      </c>
      <c r="K588" s="19" t="str">
        <f>IF(OR(H588="",J588=""),"",IF(H588*J588=0,"",H588*J588))</f>
        <v/>
      </c>
      <c r="L588" s="19" t="str">
        <f>IF(A588="","",IFERROR(IF(SUMPRODUCT((ISNUMBER(A$2:A588))*(A$2:A588&gt;1000)*(MONTH(IF(ISNUMBER(A$2:A588),A$2:A588,1))=MONTH(A588))*(YEAR(IF(ISNUMBER(A$2:A588),A$2:A588,1))=YEAR(A588))*IF(ISNUMBER(K$2:K588),K$2:K588,0))=0,"",SUMPRODUCT((ISNUMBER(A$2:A588))*(A$2:A588&gt;1000)*(MONTH(IF(ISNUMBER(A$2:A588),A$2:A588,1))=MONTH(A588))*(YEAR(IF(ISNUMBER(A$2:A588),A$2:A588,1))=YEAR(A588))*IF(ISNUMBER(K$2:K588),K$2:K588,0))),""))</f>
        <v/>
      </c>
      <c r="M588" s="21" t="str">
        <f>IF(A588="","",IFERROR(IF(SUMIF(N$2:N588,"CASA",K$2:K588)=0,"",SUMIF(N$2:N588,"CASA",K$2:K588)),""))</f>
        <v/>
      </c>
      <c r="N588" s="17" t="str">
        <f>IF(J588="","",IF(J588=0.2,"CASA",IF(Dati!G588="","",Dati!G588)))</f>
        <v/>
      </c>
    </row>
    <row r="589" spans="1:14" ht="15" customHeight="1" x14ac:dyDescent="0.2">
      <c r="A589" s="23" t="str">
        <f>IF(Dati!A589="","",Dati!A589)</f>
        <v/>
      </c>
      <c r="B589" s="17" t="str">
        <f>IF(Dati!B589="","",Dati!B589)</f>
        <v/>
      </c>
      <c r="C589" s="17" t="str">
        <f>IF(B589="","",IF(ISNUMBER(B588),IF(B589-B588&lt;0,B589,IF(B589-B588=0,"",B589-B588)),B589))</f>
        <v/>
      </c>
      <c r="D589" s="18" t="str">
        <f>IF(Dati!C589="","",IF(Dati!C589&gt;1,Dati!C589/100,Dati!C589))</f>
        <v/>
      </c>
      <c r="E589" s="18" t="str">
        <f>IF(Dati!D589="","",IF(Dati!D589&gt;1,Dati!D589/100,Dati!D589))</f>
        <v/>
      </c>
      <c r="F589" s="18" t="str">
        <f>IF(OR(D589="",E589=""),"",IF(OR(D589&gt;1,E589&gt;1),(E589-D589)/100,E589-D589))</f>
        <v/>
      </c>
      <c r="G589" s="17" t="str">
        <f>IF(F589="","",IF(64*F589=0,"",64*F589))</f>
        <v/>
      </c>
      <c r="H589" s="19" t="str">
        <f>IF(Dati!E589="","",Dati!E589)</f>
        <v/>
      </c>
      <c r="I589" s="19" t="str">
        <f>IFERROR(IF(OR(C589="",C589=0),"",H589/C589*100),"")</f>
        <v/>
      </c>
      <c r="J589" s="20" t="str">
        <f>IF(Dati!F589="","",Dati!F589)</f>
        <v/>
      </c>
      <c r="K589" s="19" t="str">
        <f>IF(OR(H589="",J589=""),"",IF(H589*J589=0,"",H589*J589))</f>
        <v/>
      </c>
      <c r="L589" s="19" t="str">
        <f>IF(A589="","",IFERROR(IF(SUMPRODUCT((ISNUMBER(A$2:A589))*(A$2:A589&gt;1000)*(MONTH(IF(ISNUMBER(A$2:A589),A$2:A589,1))=MONTH(A589))*(YEAR(IF(ISNUMBER(A$2:A589),A$2:A589,1))=YEAR(A589))*IF(ISNUMBER(K$2:K589),K$2:K589,0))=0,"",SUMPRODUCT((ISNUMBER(A$2:A589))*(A$2:A589&gt;1000)*(MONTH(IF(ISNUMBER(A$2:A589),A$2:A589,1))=MONTH(A589))*(YEAR(IF(ISNUMBER(A$2:A589),A$2:A589,1))=YEAR(A589))*IF(ISNUMBER(K$2:K589),K$2:K589,0))),""))</f>
        <v/>
      </c>
      <c r="M589" s="21" t="str">
        <f>IF(A589="","",IFERROR(IF(SUMIF(N$2:N589,"CASA",K$2:K589)=0,"",SUMIF(N$2:N589,"CASA",K$2:K589)),""))</f>
        <v/>
      </c>
      <c r="N589" s="17" t="str">
        <f>IF(J589="","",IF(J589=0.2,"CASA",IF(Dati!G589="","",Dati!G589)))</f>
        <v/>
      </c>
    </row>
    <row r="590" spans="1:14" ht="15" customHeight="1" x14ac:dyDescent="0.2">
      <c r="A590" s="23" t="str">
        <f>IF(Dati!A590="","",Dati!A590)</f>
        <v/>
      </c>
      <c r="B590" s="17" t="str">
        <f>IF(Dati!B590="","",Dati!B590)</f>
        <v/>
      </c>
      <c r="C590" s="17" t="str">
        <f>IF(B590="","",IF(ISNUMBER(B589),IF(B590-B589&lt;0,B590,IF(B590-B589=0,"",B590-B589)),B590))</f>
        <v/>
      </c>
      <c r="D590" s="18" t="str">
        <f>IF(Dati!C590="","",IF(Dati!C590&gt;1,Dati!C590/100,Dati!C590))</f>
        <v/>
      </c>
      <c r="E590" s="18" t="str">
        <f>IF(Dati!D590="","",IF(Dati!D590&gt;1,Dati!D590/100,Dati!D590))</f>
        <v/>
      </c>
      <c r="F590" s="18" t="str">
        <f>IF(OR(D590="",E590=""),"",IF(OR(D590&gt;1,E590&gt;1),(E590-D590)/100,E590-D590))</f>
        <v/>
      </c>
      <c r="G590" s="17" t="str">
        <f>IF(F590="","",IF(64*F590=0,"",64*F590))</f>
        <v/>
      </c>
      <c r="H590" s="19" t="str">
        <f>IF(Dati!E590="","",Dati!E590)</f>
        <v/>
      </c>
      <c r="I590" s="19" t="str">
        <f>IFERROR(IF(OR(C590="",C590=0),"",H590/C590*100),"")</f>
        <v/>
      </c>
      <c r="J590" s="20" t="str">
        <f>IF(Dati!F590="","",Dati!F590)</f>
        <v/>
      </c>
      <c r="K590" s="19" t="str">
        <f>IF(OR(H590="",J590=""),"",IF(H590*J590=0,"",H590*J590))</f>
        <v/>
      </c>
      <c r="L590" s="19" t="str">
        <f>IF(A590="","",IFERROR(IF(SUMPRODUCT((ISNUMBER(A$2:A590))*(A$2:A590&gt;1000)*(MONTH(IF(ISNUMBER(A$2:A590),A$2:A590,1))=MONTH(A590))*(YEAR(IF(ISNUMBER(A$2:A590),A$2:A590,1))=YEAR(A590))*IF(ISNUMBER(K$2:K590),K$2:K590,0))=0,"",SUMPRODUCT((ISNUMBER(A$2:A590))*(A$2:A590&gt;1000)*(MONTH(IF(ISNUMBER(A$2:A590),A$2:A590,1))=MONTH(A590))*(YEAR(IF(ISNUMBER(A$2:A590),A$2:A590,1))=YEAR(A590))*IF(ISNUMBER(K$2:K590),K$2:K590,0))),""))</f>
        <v/>
      </c>
      <c r="M590" s="21" t="str">
        <f>IF(A590="","",IFERROR(IF(SUMIF(N$2:N590,"CASA",K$2:K590)=0,"",SUMIF(N$2:N590,"CASA",K$2:K590)),""))</f>
        <v/>
      </c>
      <c r="N590" s="17" t="str">
        <f>IF(J590="","",IF(J590=0.2,"CASA",IF(Dati!G590="","",Dati!G590)))</f>
        <v/>
      </c>
    </row>
    <row r="591" spans="1:14" ht="15" customHeight="1" x14ac:dyDescent="0.2">
      <c r="A591" s="23" t="str">
        <f>IF(Dati!A591="","",Dati!A591)</f>
        <v/>
      </c>
      <c r="B591" s="17" t="str">
        <f>IF(Dati!B591="","",Dati!B591)</f>
        <v/>
      </c>
      <c r="C591" s="17" t="str">
        <f>IF(B591="","",IF(ISNUMBER(B590),IF(B591-B590&lt;0,B591,IF(B591-B590=0,"",B591-B590)),B591))</f>
        <v/>
      </c>
      <c r="D591" s="18" t="str">
        <f>IF(Dati!C591="","",IF(Dati!C591&gt;1,Dati!C591/100,Dati!C591))</f>
        <v/>
      </c>
      <c r="E591" s="18" t="str">
        <f>IF(Dati!D591="","",IF(Dati!D591&gt;1,Dati!D591/100,Dati!D591))</f>
        <v/>
      </c>
      <c r="F591" s="18" t="str">
        <f>IF(OR(D591="",E591=""),"",IF(OR(D591&gt;1,E591&gt;1),(E591-D591)/100,E591-D591))</f>
        <v/>
      </c>
      <c r="G591" s="17" t="str">
        <f>IF(F591="","",IF(64*F591=0,"",64*F591))</f>
        <v/>
      </c>
      <c r="H591" s="19" t="str">
        <f>IF(Dati!E591="","",Dati!E591)</f>
        <v/>
      </c>
      <c r="I591" s="19" t="str">
        <f>IFERROR(IF(OR(C591="",C591=0),"",H591/C591*100),"")</f>
        <v/>
      </c>
      <c r="J591" s="20" t="str">
        <f>IF(Dati!F591="","",Dati!F591)</f>
        <v/>
      </c>
      <c r="K591" s="19" t="str">
        <f>IF(OR(H591="",J591=""),"",IF(H591*J591=0,"",H591*J591))</f>
        <v/>
      </c>
      <c r="L591" s="19" t="str">
        <f>IF(A591="","",IFERROR(IF(SUMPRODUCT((ISNUMBER(A$2:A591))*(A$2:A591&gt;1000)*(MONTH(IF(ISNUMBER(A$2:A591),A$2:A591,1))=MONTH(A591))*(YEAR(IF(ISNUMBER(A$2:A591),A$2:A591,1))=YEAR(A591))*IF(ISNUMBER(K$2:K591),K$2:K591,0))=0,"",SUMPRODUCT((ISNUMBER(A$2:A591))*(A$2:A591&gt;1000)*(MONTH(IF(ISNUMBER(A$2:A591),A$2:A591,1))=MONTH(A591))*(YEAR(IF(ISNUMBER(A$2:A591),A$2:A591,1))=YEAR(A591))*IF(ISNUMBER(K$2:K591),K$2:K591,0))),""))</f>
        <v/>
      </c>
      <c r="M591" s="21" t="str">
        <f>IF(A591="","",IFERROR(IF(SUMIF(N$2:N591,"CASA",K$2:K591)=0,"",SUMIF(N$2:N591,"CASA",K$2:K591)),""))</f>
        <v/>
      </c>
      <c r="N591" s="17" t="str">
        <f>IF(J591="","",IF(J591=0.2,"CASA",IF(Dati!G591="","",Dati!G591)))</f>
        <v/>
      </c>
    </row>
    <row r="592" spans="1:14" ht="15" customHeight="1" x14ac:dyDescent="0.2">
      <c r="A592" s="23" t="str">
        <f>IF(Dati!A592="","",Dati!A592)</f>
        <v/>
      </c>
      <c r="B592" s="17" t="str">
        <f>IF(Dati!B592="","",Dati!B592)</f>
        <v/>
      </c>
      <c r="C592" s="17" t="str">
        <f>IF(B592="","",IF(ISNUMBER(B591),IF(B592-B591&lt;0,B592,IF(B592-B591=0,"",B592-B591)),B592))</f>
        <v/>
      </c>
      <c r="D592" s="18" t="str">
        <f>IF(Dati!C592="","",IF(Dati!C592&gt;1,Dati!C592/100,Dati!C592))</f>
        <v/>
      </c>
      <c r="E592" s="18" t="str">
        <f>IF(Dati!D592="","",IF(Dati!D592&gt;1,Dati!D592/100,Dati!D592))</f>
        <v/>
      </c>
      <c r="F592" s="18" t="str">
        <f>IF(OR(D592="",E592=""),"",IF(OR(D592&gt;1,E592&gt;1),(E592-D592)/100,E592-D592))</f>
        <v/>
      </c>
      <c r="G592" s="17" t="str">
        <f>IF(F592="","",IF(64*F592=0,"",64*F592))</f>
        <v/>
      </c>
      <c r="H592" s="19" t="str">
        <f>IF(Dati!E592="","",Dati!E592)</f>
        <v/>
      </c>
      <c r="I592" s="19" t="str">
        <f>IFERROR(IF(OR(C592="",C592=0),"",H592/C592*100),"")</f>
        <v/>
      </c>
      <c r="J592" s="20" t="str">
        <f>IF(Dati!F592="","",Dati!F592)</f>
        <v/>
      </c>
      <c r="K592" s="19" t="str">
        <f>IF(OR(H592="",J592=""),"",IF(H592*J592=0,"",H592*J592))</f>
        <v/>
      </c>
      <c r="L592" s="19" t="str">
        <f>IF(A592="","",IFERROR(IF(SUMPRODUCT((ISNUMBER(A$2:A592))*(A$2:A592&gt;1000)*(MONTH(IF(ISNUMBER(A$2:A592),A$2:A592,1))=MONTH(A592))*(YEAR(IF(ISNUMBER(A$2:A592),A$2:A592,1))=YEAR(A592))*IF(ISNUMBER(K$2:K592),K$2:K592,0))=0,"",SUMPRODUCT((ISNUMBER(A$2:A592))*(A$2:A592&gt;1000)*(MONTH(IF(ISNUMBER(A$2:A592),A$2:A592,1))=MONTH(A592))*(YEAR(IF(ISNUMBER(A$2:A592),A$2:A592,1))=YEAR(A592))*IF(ISNUMBER(K$2:K592),K$2:K592,0))),""))</f>
        <v/>
      </c>
      <c r="M592" s="21" t="str">
        <f>IF(A592="","",IFERROR(IF(SUMIF(N$2:N592,"CASA",K$2:K592)=0,"",SUMIF(N$2:N592,"CASA",K$2:K592)),""))</f>
        <v/>
      </c>
      <c r="N592" s="17" t="str">
        <f>IF(J592="","",IF(J592=0.2,"CASA",IF(Dati!G592="","",Dati!G592)))</f>
        <v/>
      </c>
    </row>
    <row r="593" spans="1:14" ht="15" customHeight="1" x14ac:dyDescent="0.2">
      <c r="A593" s="23" t="str">
        <f>IF(Dati!A593="","",Dati!A593)</f>
        <v/>
      </c>
      <c r="B593" s="17" t="str">
        <f>IF(Dati!B593="","",Dati!B593)</f>
        <v/>
      </c>
      <c r="C593" s="17" t="str">
        <f>IF(B593="","",IF(ISNUMBER(B592),IF(B593-B592&lt;0,B593,IF(B593-B592=0,"",B593-B592)),B593))</f>
        <v/>
      </c>
      <c r="D593" s="18" t="str">
        <f>IF(Dati!C593="","",IF(Dati!C593&gt;1,Dati!C593/100,Dati!C593))</f>
        <v/>
      </c>
      <c r="E593" s="18" t="str">
        <f>IF(Dati!D593="","",IF(Dati!D593&gt;1,Dati!D593/100,Dati!D593))</f>
        <v/>
      </c>
      <c r="F593" s="18" t="str">
        <f>IF(OR(D593="",E593=""),"",IF(OR(D593&gt;1,E593&gt;1),(E593-D593)/100,E593-D593))</f>
        <v/>
      </c>
      <c r="G593" s="17" t="str">
        <f>IF(F593="","",IF(64*F593=0,"",64*F593))</f>
        <v/>
      </c>
      <c r="H593" s="19" t="str">
        <f>IF(Dati!E593="","",Dati!E593)</f>
        <v/>
      </c>
      <c r="I593" s="19" t="str">
        <f>IFERROR(IF(OR(C593="",C593=0),"",H593/C593*100),"")</f>
        <v/>
      </c>
      <c r="J593" s="20" t="str">
        <f>IF(Dati!F593="","",Dati!F593)</f>
        <v/>
      </c>
      <c r="K593" s="19" t="str">
        <f>IF(OR(H593="",J593=""),"",IF(H593*J593=0,"",H593*J593))</f>
        <v/>
      </c>
      <c r="L593" s="19" t="str">
        <f>IF(A593="","",IFERROR(IF(SUMPRODUCT((ISNUMBER(A$2:A593))*(A$2:A593&gt;1000)*(MONTH(IF(ISNUMBER(A$2:A593),A$2:A593,1))=MONTH(A593))*(YEAR(IF(ISNUMBER(A$2:A593),A$2:A593,1))=YEAR(A593))*IF(ISNUMBER(K$2:K593),K$2:K593,0))=0,"",SUMPRODUCT((ISNUMBER(A$2:A593))*(A$2:A593&gt;1000)*(MONTH(IF(ISNUMBER(A$2:A593),A$2:A593,1))=MONTH(A593))*(YEAR(IF(ISNUMBER(A$2:A593),A$2:A593,1))=YEAR(A593))*IF(ISNUMBER(K$2:K593),K$2:K593,0))),""))</f>
        <v/>
      </c>
      <c r="M593" s="21" t="str">
        <f>IF(A593="","",IFERROR(IF(SUMIF(N$2:N593,"CASA",K$2:K593)=0,"",SUMIF(N$2:N593,"CASA",K$2:K593)),""))</f>
        <v/>
      </c>
      <c r="N593" s="17" t="str">
        <f>IF(J593="","",IF(J593=0.2,"CASA",IF(Dati!G593="","",Dati!G593)))</f>
        <v/>
      </c>
    </row>
    <row r="594" spans="1:14" ht="15" customHeight="1" x14ac:dyDescent="0.2">
      <c r="A594" s="23" t="str">
        <f>IF(Dati!A594="","",Dati!A594)</f>
        <v/>
      </c>
      <c r="B594" s="17" t="str">
        <f>IF(Dati!B594="","",Dati!B594)</f>
        <v/>
      </c>
      <c r="C594" s="17" t="str">
        <f>IF(B594="","",IF(ISNUMBER(B593),IF(B594-B593&lt;0,B594,IF(B594-B593=0,"",B594-B593)),B594))</f>
        <v/>
      </c>
      <c r="D594" s="18" t="str">
        <f>IF(Dati!C594="","",IF(Dati!C594&gt;1,Dati!C594/100,Dati!C594))</f>
        <v/>
      </c>
      <c r="E594" s="18" t="str">
        <f>IF(Dati!D594="","",IF(Dati!D594&gt;1,Dati!D594/100,Dati!D594))</f>
        <v/>
      </c>
      <c r="F594" s="18" t="str">
        <f>IF(OR(D594="",E594=""),"",IF(OR(D594&gt;1,E594&gt;1),(E594-D594)/100,E594-D594))</f>
        <v/>
      </c>
      <c r="G594" s="17" t="str">
        <f>IF(F594="","",IF(64*F594=0,"",64*F594))</f>
        <v/>
      </c>
      <c r="H594" s="19" t="str">
        <f>IF(Dati!E594="","",Dati!E594)</f>
        <v/>
      </c>
      <c r="I594" s="19" t="str">
        <f>IFERROR(IF(OR(C594="",C594=0),"",H594/C594*100),"")</f>
        <v/>
      </c>
      <c r="J594" s="20" t="str">
        <f>IF(Dati!F594="","",Dati!F594)</f>
        <v/>
      </c>
      <c r="K594" s="19" t="str">
        <f>IF(OR(H594="",J594=""),"",IF(H594*J594=0,"",H594*J594))</f>
        <v/>
      </c>
      <c r="L594" s="19" t="str">
        <f>IF(A594="","",IFERROR(IF(SUMPRODUCT((ISNUMBER(A$2:A594))*(A$2:A594&gt;1000)*(MONTH(IF(ISNUMBER(A$2:A594),A$2:A594,1))=MONTH(A594))*(YEAR(IF(ISNUMBER(A$2:A594),A$2:A594,1))=YEAR(A594))*IF(ISNUMBER(K$2:K594),K$2:K594,0))=0,"",SUMPRODUCT((ISNUMBER(A$2:A594))*(A$2:A594&gt;1000)*(MONTH(IF(ISNUMBER(A$2:A594),A$2:A594,1))=MONTH(A594))*(YEAR(IF(ISNUMBER(A$2:A594),A$2:A594,1))=YEAR(A594))*IF(ISNUMBER(K$2:K594),K$2:K594,0))),""))</f>
        <v/>
      </c>
      <c r="M594" s="21" t="str">
        <f>IF(A594="","",IFERROR(IF(SUMIF(N$2:N594,"CASA",K$2:K594)=0,"",SUMIF(N$2:N594,"CASA",K$2:K594)),""))</f>
        <v/>
      </c>
      <c r="N594" s="17" t="str">
        <f>IF(J594="","",IF(J594=0.2,"CASA",IF(Dati!G594="","",Dati!G594)))</f>
        <v/>
      </c>
    </row>
    <row r="595" spans="1:14" ht="15" customHeight="1" x14ac:dyDescent="0.2">
      <c r="A595" s="23" t="str">
        <f>IF(Dati!A595="","",Dati!A595)</f>
        <v/>
      </c>
      <c r="B595" s="17" t="str">
        <f>IF(Dati!B595="","",Dati!B595)</f>
        <v/>
      </c>
      <c r="C595" s="17" t="str">
        <f>IF(B595="","",IF(ISNUMBER(B594),IF(B595-B594&lt;0,B595,IF(B595-B594=0,"",B595-B594)),B595))</f>
        <v/>
      </c>
      <c r="D595" s="18" t="str">
        <f>IF(Dati!C595="","",IF(Dati!C595&gt;1,Dati!C595/100,Dati!C595))</f>
        <v/>
      </c>
      <c r="E595" s="18" t="str">
        <f>IF(Dati!D595="","",IF(Dati!D595&gt;1,Dati!D595/100,Dati!D595))</f>
        <v/>
      </c>
      <c r="F595" s="18" t="str">
        <f>IF(OR(D595="",E595=""),"",IF(OR(D595&gt;1,E595&gt;1),(E595-D595)/100,E595-D595))</f>
        <v/>
      </c>
      <c r="G595" s="17" t="str">
        <f>IF(F595="","",IF(64*F595=0,"",64*F595))</f>
        <v/>
      </c>
      <c r="H595" s="19" t="str">
        <f>IF(Dati!E595="","",Dati!E595)</f>
        <v/>
      </c>
      <c r="I595" s="19" t="str">
        <f>IFERROR(IF(OR(C595="",C595=0),"",H595/C595*100),"")</f>
        <v/>
      </c>
      <c r="J595" s="20" t="str">
        <f>IF(Dati!F595="","",Dati!F595)</f>
        <v/>
      </c>
      <c r="K595" s="19" t="str">
        <f>IF(OR(H595="",J595=""),"",IF(H595*J595=0,"",H595*J595))</f>
        <v/>
      </c>
      <c r="L595" s="19" t="str">
        <f>IF(A595="","",IFERROR(IF(SUMPRODUCT((ISNUMBER(A$2:A595))*(A$2:A595&gt;1000)*(MONTH(IF(ISNUMBER(A$2:A595),A$2:A595,1))=MONTH(A595))*(YEAR(IF(ISNUMBER(A$2:A595),A$2:A595,1))=YEAR(A595))*IF(ISNUMBER(K$2:K595),K$2:K595,0))=0,"",SUMPRODUCT((ISNUMBER(A$2:A595))*(A$2:A595&gt;1000)*(MONTH(IF(ISNUMBER(A$2:A595),A$2:A595,1))=MONTH(A595))*(YEAR(IF(ISNUMBER(A$2:A595),A$2:A595,1))=YEAR(A595))*IF(ISNUMBER(K$2:K595),K$2:K595,0))),""))</f>
        <v/>
      </c>
      <c r="M595" s="21" t="str">
        <f>IF(A595="","",IFERROR(IF(SUMIF(N$2:N595,"CASA",K$2:K595)=0,"",SUMIF(N$2:N595,"CASA",K$2:K595)),""))</f>
        <v/>
      </c>
      <c r="N595" s="17" t="str">
        <f>IF(J595="","",IF(J595=0.2,"CASA",IF(Dati!G595="","",Dati!G595)))</f>
        <v/>
      </c>
    </row>
    <row r="596" spans="1:14" ht="15" customHeight="1" x14ac:dyDescent="0.2">
      <c r="A596" s="23" t="str">
        <f>IF(Dati!A596="","",Dati!A596)</f>
        <v/>
      </c>
      <c r="B596" s="17" t="str">
        <f>IF(Dati!B596="","",Dati!B596)</f>
        <v/>
      </c>
      <c r="C596" s="17" t="str">
        <f>IF(B596="","",IF(ISNUMBER(B595),IF(B596-B595&lt;0,B596,IF(B596-B595=0,"",B596-B595)),B596))</f>
        <v/>
      </c>
      <c r="D596" s="18" t="str">
        <f>IF(Dati!C596="","",IF(Dati!C596&gt;1,Dati!C596/100,Dati!C596))</f>
        <v/>
      </c>
      <c r="E596" s="18" t="str">
        <f>IF(Dati!D596="","",IF(Dati!D596&gt;1,Dati!D596/100,Dati!D596))</f>
        <v/>
      </c>
      <c r="F596" s="18" t="str">
        <f>IF(OR(D596="",E596=""),"",IF(OR(D596&gt;1,E596&gt;1),(E596-D596)/100,E596-D596))</f>
        <v/>
      </c>
      <c r="G596" s="17" t="str">
        <f>IF(F596="","",IF(64*F596=0,"",64*F596))</f>
        <v/>
      </c>
      <c r="H596" s="19" t="str">
        <f>IF(Dati!E596="","",Dati!E596)</f>
        <v/>
      </c>
      <c r="I596" s="19" t="str">
        <f>IFERROR(IF(OR(C596="",C596=0),"",H596/C596*100),"")</f>
        <v/>
      </c>
      <c r="J596" s="20" t="str">
        <f>IF(Dati!F596="","",Dati!F596)</f>
        <v/>
      </c>
      <c r="K596" s="19" t="str">
        <f>IF(OR(H596="",J596=""),"",IF(H596*J596=0,"",H596*J596))</f>
        <v/>
      </c>
      <c r="L596" s="19" t="str">
        <f>IF(A596="","",IFERROR(IF(SUMPRODUCT((ISNUMBER(A$2:A596))*(A$2:A596&gt;1000)*(MONTH(IF(ISNUMBER(A$2:A596),A$2:A596,1))=MONTH(A596))*(YEAR(IF(ISNUMBER(A$2:A596),A$2:A596,1))=YEAR(A596))*IF(ISNUMBER(K$2:K596),K$2:K596,0))=0,"",SUMPRODUCT((ISNUMBER(A$2:A596))*(A$2:A596&gt;1000)*(MONTH(IF(ISNUMBER(A$2:A596),A$2:A596,1))=MONTH(A596))*(YEAR(IF(ISNUMBER(A$2:A596),A$2:A596,1))=YEAR(A596))*IF(ISNUMBER(K$2:K596),K$2:K596,0))),""))</f>
        <v/>
      </c>
      <c r="M596" s="21" t="str">
        <f>IF(A596="","",IFERROR(IF(SUMIF(N$2:N596,"CASA",K$2:K596)=0,"",SUMIF(N$2:N596,"CASA",K$2:K596)),""))</f>
        <v/>
      </c>
      <c r="N596" s="17" t="str">
        <f>IF(J596="","",IF(J596=0.2,"CASA",IF(Dati!G596="","",Dati!G596)))</f>
        <v/>
      </c>
    </row>
    <row r="597" spans="1:14" ht="15" customHeight="1" x14ac:dyDescent="0.2">
      <c r="A597" s="23" t="str">
        <f>IF(Dati!A597="","",Dati!A597)</f>
        <v/>
      </c>
      <c r="B597" s="17" t="str">
        <f>IF(Dati!B597="","",Dati!B597)</f>
        <v/>
      </c>
      <c r="C597" s="17" t="str">
        <f>IF(B597="","",IF(ISNUMBER(B596),IF(B597-B596&lt;0,B597,IF(B597-B596=0,"",B597-B596)),B597))</f>
        <v/>
      </c>
      <c r="D597" s="18" t="str">
        <f>IF(Dati!C597="","",IF(Dati!C597&gt;1,Dati!C597/100,Dati!C597))</f>
        <v/>
      </c>
      <c r="E597" s="18" t="str">
        <f>IF(Dati!D597="","",IF(Dati!D597&gt;1,Dati!D597/100,Dati!D597))</f>
        <v/>
      </c>
      <c r="F597" s="18" t="str">
        <f>IF(OR(D597="",E597=""),"",IF(OR(D597&gt;1,E597&gt;1),(E597-D597)/100,E597-D597))</f>
        <v/>
      </c>
      <c r="G597" s="17" t="str">
        <f>IF(F597="","",IF(64*F597=0,"",64*F597))</f>
        <v/>
      </c>
      <c r="H597" s="19" t="str">
        <f>IF(Dati!E597="","",Dati!E597)</f>
        <v/>
      </c>
      <c r="I597" s="19" t="str">
        <f>IFERROR(IF(OR(C597="",C597=0),"",H597/C597*100),"")</f>
        <v/>
      </c>
      <c r="J597" s="20" t="str">
        <f>IF(Dati!F597="","",Dati!F597)</f>
        <v/>
      </c>
      <c r="K597" s="19" t="str">
        <f>IF(OR(H597="",J597=""),"",IF(H597*J597=0,"",H597*J597))</f>
        <v/>
      </c>
      <c r="L597" s="19" t="str">
        <f>IF(A597="","",IFERROR(IF(SUMPRODUCT((ISNUMBER(A$2:A597))*(A$2:A597&gt;1000)*(MONTH(IF(ISNUMBER(A$2:A597),A$2:A597,1))=MONTH(A597))*(YEAR(IF(ISNUMBER(A$2:A597),A$2:A597,1))=YEAR(A597))*IF(ISNUMBER(K$2:K597),K$2:K597,0))=0,"",SUMPRODUCT((ISNUMBER(A$2:A597))*(A$2:A597&gt;1000)*(MONTH(IF(ISNUMBER(A$2:A597),A$2:A597,1))=MONTH(A597))*(YEAR(IF(ISNUMBER(A$2:A597),A$2:A597,1))=YEAR(A597))*IF(ISNUMBER(K$2:K597),K$2:K597,0))),""))</f>
        <v/>
      </c>
      <c r="M597" s="21" t="str">
        <f>IF(A597="","",IFERROR(IF(SUMIF(N$2:N597,"CASA",K$2:K597)=0,"",SUMIF(N$2:N597,"CASA",K$2:K597)),""))</f>
        <v/>
      </c>
      <c r="N597" s="17" t="str">
        <f>IF(J597="","",IF(J597=0.2,"CASA",IF(Dati!G597="","",Dati!G597)))</f>
        <v/>
      </c>
    </row>
    <row r="598" spans="1:14" ht="15" customHeight="1" x14ac:dyDescent="0.2">
      <c r="A598" s="23" t="str">
        <f>IF(Dati!A598="","",Dati!A598)</f>
        <v/>
      </c>
      <c r="B598" s="17" t="str">
        <f>IF(Dati!B598="","",Dati!B598)</f>
        <v/>
      </c>
      <c r="C598" s="17" t="str">
        <f>IF(B598="","",IF(ISNUMBER(B597),IF(B598-B597&lt;0,B598,IF(B598-B597=0,"",B598-B597)),B598))</f>
        <v/>
      </c>
      <c r="D598" s="18" t="str">
        <f>IF(Dati!C598="","",IF(Dati!C598&gt;1,Dati!C598/100,Dati!C598))</f>
        <v/>
      </c>
      <c r="E598" s="18" t="str">
        <f>IF(Dati!D598="","",IF(Dati!D598&gt;1,Dati!D598/100,Dati!D598))</f>
        <v/>
      </c>
      <c r="F598" s="18" t="str">
        <f>IF(OR(D598="",E598=""),"",IF(OR(D598&gt;1,E598&gt;1),(E598-D598)/100,E598-D598))</f>
        <v/>
      </c>
      <c r="G598" s="17" t="str">
        <f>IF(F598="","",IF(64*F598=0,"",64*F598))</f>
        <v/>
      </c>
      <c r="H598" s="19" t="str">
        <f>IF(Dati!E598="","",Dati!E598)</f>
        <v/>
      </c>
      <c r="I598" s="19" t="str">
        <f>IFERROR(IF(OR(C598="",C598=0),"",H598/C598*100),"")</f>
        <v/>
      </c>
      <c r="J598" s="20" t="str">
        <f>IF(Dati!F598="","",Dati!F598)</f>
        <v/>
      </c>
      <c r="K598" s="19" t="str">
        <f>IF(OR(H598="",J598=""),"",IF(H598*J598=0,"",H598*J598))</f>
        <v/>
      </c>
      <c r="L598" s="19" t="str">
        <f>IF(A598="","",IFERROR(IF(SUMPRODUCT((ISNUMBER(A$2:A598))*(A$2:A598&gt;1000)*(MONTH(IF(ISNUMBER(A$2:A598),A$2:A598,1))=MONTH(A598))*(YEAR(IF(ISNUMBER(A$2:A598),A$2:A598,1))=YEAR(A598))*IF(ISNUMBER(K$2:K598),K$2:K598,0))=0,"",SUMPRODUCT((ISNUMBER(A$2:A598))*(A$2:A598&gt;1000)*(MONTH(IF(ISNUMBER(A$2:A598),A$2:A598,1))=MONTH(A598))*(YEAR(IF(ISNUMBER(A$2:A598),A$2:A598,1))=YEAR(A598))*IF(ISNUMBER(K$2:K598),K$2:K598,0))),""))</f>
        <v/>
      </c>
      <c r="M598" s="21" t="str">
        <f>IF(A598="","",IFERROR(IF(SUMIF(N$2:N598,"CASA",K$2:K598)=0,"",SUMIF(N$2:N598,"CASA",K$2:K598)),""))</f>
        <v/>
      </c>
      <c r="N598" s="17" t="str">
        <f>IF(J598="","",IF(J598=0.2,"CASA",IF(Dati!G598="","",Dati!G598)))</f>
        <v/>
      </c>
    </row>
    <row r="599" spans="1:14" ht="15" customHeight="1" x14ac:dyDescent="0.2">
      <c r="A599" s="23" t="str">
        <f>IF(Dati!A599="","",Dati!A599)</f>
        <v/>
      </c>
      <c r="B599" s="17" t="str">
        <f>IF(Dati!B599="","",Dati!B599)</f>
        <v/>
      </c>
      <c r="C599" s="17" t="str">
        <f>IF(B599="","",IF(ISNUMBER(B598),IF(B599-B598&lt;0,B599,IF(B599-B598=0,"",B599-B598)),B599))</f>
        <v/>
      </c>
      <c r="D599" s="18" t="str">
        <f>IF(Dati!C599="","",IF(Dati!C599&gt;1,Dati!C599/100,Dati!C599))</f>
        <v/>
      </c>
      <c r="E599" s="18" t="str">
        <f>IF(Dati!D599="","",IF(Dati!D599&gt;1,Dati!D599/100,Dati!D599))</f>
        <v/>
      </c>
      <c r="F599" s="18" t="str">
        <f>IF(OR(D599="",E599=""),"",IF(OR(D599&gt;1,E599&gt;1),(E599-D599)/100,E599-D599))</f>
        <v/>
      </c>
      <c r="G599" s="17" t="str">
        <f>IF(F599="","",IF(64*F599=0,"",64*F599))</f>
        <v/>
      </c>
      <c r="H599" s="19" t="str">
        <f>IF(Dati!E599="","",Dati!E599)</f>
        <v/>
      </c>
      <c r="I599" s="19" t="str">
        <f>IFERROR(IF(OR(C599="",C599=0),"",H599/C599*100),"")</f>
        <v/>
      </c>
      <c r="J599" s="20" t="str">
        <f>IF(Dati!F599="","",Dati!F599)</f>
        <v/>
      </c>
      <c r="K599" s="19" t="str">
        <f>IF(OR(H599="",J599=""),"",IF(H599*J599=0,"",H599*J599))</f>
        <v/>
      </c>
      <c r="L599" s="19" t="str">
        <f>IF(A599="","",IFERROR(IF(SUMPRODUCT((ISNUMBER(A$2:A599))*(A$2:A599&gt;1000)*(MONTH(IF(ISNUMBER(A$2:A599),A$2:A599,1))=MONTH(A599))*(YEAR(IF(ISNUMBER(A$2:A599),A$2:A599,1))=YEAR(A599))*IF(ISNUMBER(K$2:K599),K$2:K599,0))=0,"",SUMPRODUCT((ISNUMBER(A$2:A599))*(A$2:A599&gt;1000)*(MONTH(IF(ISNUMBER(A$2:A599),A$2:A599,1))=MONTH(A599))*(YEAR(IF(ISNUMBER(A$2:A599),A$2:A599,1))=YEAR(A599))*IF(ISNUMBER(K$2:K599),K$2:K599,0))),""))</f>
        <v/>
      </c>
      <c r="M599" s="21" t="str">
        <f>IF(A599="","",IFERROR(IF(SUMIF(N$2:N599,"CASA",K$2:K599)=0,"",SUMIF(N$2:N599,"CASA",K$2:K599)),""))</f>
        <v/>
      </c>
      <c r="N599" s="17" t="str">
        <f>IF(J599="","",IF(J599=0.2,"CASA",IF(Dati!G599="","",Dati!G599)))</f>
        <v/>
      </c>
    </row>
    <row r="600" spans="1:14" ht="15" customHeight="1" x14ac:dyDescent="0.2">
      <c r="A600" s="23" t="str">
        <f>IF(Dati!A600="","",Dati!A600)</f>
        <v/>
      </c>
      <c r="B600" s="17" t="str">
        <f>IF(Dati!B600="","",Dati!B600)</f>
        <v/>
      </c>
      <c r="C600" s="17" t="str">
        <f>IF(B600="","",IF(ISNUMBER(B599),IF(B600-B599&lt;0,B600,IF(B600-B599=0,"",B600-B599)),B600))</f>
        <v/>
      </c>
      <c r="D600" s="18" t="str">
        <f>IF(Dati!C600="","",IF(Dati!C600&gt;1,Dati!C600/100,Dati!C600))</f>
        <v/>
      </c>
      <c r="E600" s="18" t="str">
        <f>IF(Dati!D600="","",IF(Dati!D600&gt;1,Dati!D600/100,Dati!D600))</f>
        <v/>
      </c>
      <c r="F600" s="18" t="str">
        <f>IF(OR(D600="",E600=""),"",IF(OR(D600&gt;1,E600&gt;1),(E600-D600)/100,E600-D600))</f>
        <v/>
      </c>
      <c r="G600" s="17" t="str">
        <f>IF(F600="","",IF(64*F600=0,"",64*F600))</f>
        <v/>
      </c>
      <c r="H600" s="19" t="str">
        <f>IF(Dati!E600="","",Dati!E600)</f>
        <v/>
      </c>
      <c r="I600" s="19" t="str">
        <f>IFERROR(IF(OR(C600="",C600=0),"",H600/C600*100),"")</f>
        <v/>
      </c>
      <c r="J600" s="20" t="str">
        <f>IF(Dati!F600="","",Dati!F600)</f>
        <v/>
      </c>
      <c r="K600" s="19" t="str">
        <f>IF(OR(H600="",J600=""),"",IF(H600*J600=0,"",H600*J600))</f>
        <v/>
      </c>
      <c r="L600" s="19" t="str">
        <f>IF(A600="","",IFERROR(IF(SUMPRODUCT((ISNUMBER(A$2:A600))*(A$2:A600&gt;1000)*(MONTH(IF(ISNUMBER(A$2:A600),A$2:A600,1))=MONTH(A600))*(YEAR(IF(ISNUMBER(A$2:A600),A$2:A600,1))=YEAR(A600))*IF(ISNUMBER(K$2:K600),K$2:K600,0))=0,"",SUMPRODUCT((ISNUMBER(A$2:A600))*(A$2:A600&gt;1000)*(MONTH(IF(ISNUMBER(A$2:A600),A$2:A600,1))=MONTH(A600))*(YEAR(IF(ISNUMBER(A$2:A600),A$2:A600,1))=YEAR(A600))*IF(ISNUMBER(K$2:K600),K$2:K600,0))),""))</f>
        <v/>
      </c>
      <c r="M600" s="21" t="str">
        <f>IF(A600="","",IFERROR(IF(SUMIF(N$2:N600,"CASA",K$2:K600)=0,"",SUMIF(N$2:N600,"CASA",K$2:K600)),""))</f>
        <v/>
      </c>
      <c r="N600" s="17" t="str">
        <f>IF(J600="","",IF(J600=0.2,"CASA",IF(Dati!G600="","",Dati!G600)))</f>
        <v/>
      </c>
    </row>
    <row r="601" spans="1:14" ht="15" customHeight="1" x14ac:dyDescent="0.2">
      <c r="A601" s="23" t="str">
        <f>IF(Dati!A601="","",Dati!A601)</f>
        <v/>
      </c>
      <c r="B601" s="17" t="str">
        <f>IF(Dati!B601="","",Dati!B601)</f>
        <v/>
      </c>
      <c r="C601" s="17" t="str">
        <f>IF(B601="","",IF(ISNUMBER(B600),IF(B601-B600&lt;0,B601,IF(B601-B600=0,"",B601-B600)),B601))</f>
        <v/>
      </c>
      <c r="D601" s="18" t="str">
        <f>IF(Dati!C601="","",IF(Dati!C601&gt;1,Dati!C601/100,Dati!C601))</f>
        <v/>
      </c>
      <c r="E601" s="18" t="str">
        <f>IF(Dati!D601="","",IF(Dati!D601&gt;1,Dati!D601/100,Dati!D601))</f>
        <v/>
      </c>
      <c r="F601" s="18" t="str">
        <f>IF(OR(D601="",E601=""),"",IF(OR(D601&gt;1,E601&gt;1),(E601-D601)/100,E601-D601))</f>
        <v/>
      </c>
      <c r="G601" s="17" t="str">
        <f>IF(F601="","",IF(64*F601=0,"",64*F601))</f>
        <v/>
      </c>
      <c r="H601" s="19" t="str">
        <f>IF(Dati!E601="","",Dati!E601)</f>
        <v/>
      </c>
      <c r="I601" s="19" t="str">
        <f>IFERROR(IF(OR(C601="",C601=0),"",H601/C601*100),"")</f>
        <v/>
      </c>
      <c r="J601" s="20" t="str">
        <f>IF(Dati!F601="","",Dati!F601)</f>
        <v/>
      </c>
      <c r="K601" s="19" t="str">
        <f>IF(OR(H601="",J601=""),"",IF(H601*J601=0,"",H601*J601))</f>
        <v/>
      </c>
      <c r="L601" s="19" t="str">
        <f>IF(A601="","",IFERROR(IF(SUMPRODUCT((ISNUMBER(A$2:A601))*(A$2:A601&gt;1000)*(MONTH(IF(ISNUMBER(A$2:A601),A$2:A601,1))=MONTH(A601))*(YEAR(IF(ISNUMBER(A$2:A601),A$2:A601,1))=YEAR(A601))*IF(ISNUMBER(K$2:K601),K$2:K601,0))=0,"",SUMPRODUCT((ISNUMBER(A$2:A601))*(A$2:A601&gt;1000)*(MONTH(IF(ISNUMBER(A$2:A601),A$2:A601,1))=MONTH(A601))*(YEAR(IF(ISNUMBER(A$2:A601),A$2:A601,1))=YEAR(A601))*IF(ISNUMBER(K$2:K601),K$2:K601,0))),""))</f>
        <v/>
      </c>
      <c r="M601" s="21" t="str">
        <f>IF(A601="","",IFERROR(IF(SUMIF(N$2:N601,"CASA",K$2:K601)=0,"",SUMIF(N$2:N601,"CASA",K$2:K601)),""))</f>
        <v/>
      </c>
      <c r="N601" s="17" t="str">
        <f>IF(J601="","",IF(J601=0.2,"CASA",IF(Dati!G601="","",Dati!G601)))</f>
        <v/>
      </c>
    </row>
    <row r="602" spans="1:14" ht="15" customHeight="1" x14ac:dyDescent="0.2">
      <c r="A602" s="23" t="str">
        <f>IF(Dati!A602="","",Dati!A602)</f>
        <v/>
      </c>
      <c r="B602" s="17" t="str">
        <f>IF(Dati!B602="","",Dati!B602)</f>
        <v/>
      </c>
      <c r="C602" s="17" t="str">
        <f>IF(B602="","",IF(ISNUMBER(B601),IF(B602-B601&lt;0,B602,IF(B602-B601=0,"",B602-B601)),B602))</f>
        <v/>
      </c>
      <c r="D602" s="18" t="str">
        <f>IF(Dati!C602="","",IF(Dati!C602&gt;1,Dati!C602/100,Dati!C602))</f>
        <v/>
      </c>
      <c r="E602" s="18" t="str">
        <f>IF(Dati!D602="","",IF(Dati!D602&gt;1,Dati!D602/100,Dati!D602))</f>
        <v/>
      </c>
      <c r="F602" s="18" t="str">
        <f>IF(OR(D602="",E602=""),"",IF(OR(D602&gt;1,E602&gt;1),(E602-D602)/100,E602-D602))</f>
        <v/>
      </c>
      <c r="G602" s="17" t="str">
        <f>IF(F602="","",IF(64*F602=0,"",64*F602))</f>
        <v/>
      </c>
      <c r="H602" s="19" t="str">
        <f>IF(Dati!E602="","",Dati!E602)</f>
        <v/>
      </c>
      <c r="I602" s="19" t="str">
        <f>IFERROR(IF(OR(C602="",C602=0),"",H602/C602*100),"")</f>
        <v/>
      </c>
      <c r="J602" s="20" t="str">
        <f>IF(Dati!F602="","",Dati!F602)</f>
        <v/>
      </c>
      <c r="K602" s="19" t="str">
        <f>IF(OR(H602="",J602=""),"",IF(H602*J602=0,"",H602*J602))</f>
        <v/>
      </c>
      <c r="L602" s="19" t="str">
        <f>IF(A602="","",IFERROR(IF(SUMPRODUCT((ISNUMBER(A$2:A602))*(A$2:A602&gt;1000)*(MONTH(IF(ISNUMBER(A$2:A602),A$2:A602,1))=MONTH(A602))*(YEAR(IF(ISNUMBER(A$2:A602),A$2:A602,1))=YEAR(A602))*IF(ISNUMBER(K$2:K602),K$2:K602,0))=0,"",SUMPRODUCT((ISNUMBER(A$2:A602))*(A$2:A602&gt;1000)*(MONTH(IF(ISNUMBER(A$2:A602),A$2:A602,1))=MONTH(A602))*(YEAR(IF(ISNUMBER(A$2:A602),A$2:A602,1))=YEAR(A602))*IF(ISNUMBER(K$2:K602),K$2:K602,0))),""))</f>
        <v/>
      </c>
      <c r="M602" s="21" t="str">
        <f>IF(A602="","",IFERROR(IF(SUMIF(N$2:N602,"CASA",K$2:K602)=0,"",SUMIF(N$2:N602,"CASA",K$2:K602)),""))</f>
        <v/>
      </c>
      <c r="N602" s="17" t="str">
        <f>IF(J602="","",IF(J602=0.2,"CASA",IF(Dati!G602="","",Dati!G602)))</f>
        <v/>
      </c>
    </row>
    <row r="603" spans="1:14" ht="15" customHeight="1" x14ac:dyDescent="0.2">
      <c r="A603" s="23" t="str">
        <f>IF(Dati!A603="","",Dati!A603)</f>
        <v/>
      </c>
      <c r="B603" s="17" t="str">
        <f>IF(Dati!B603="","",Dati!B603)</f>
        <v/>
      </c>
      <c r="C603" s="17" t="str">
        <f>IF(B603="","",IF(ISNUMBER(B602),IF(B603-B602&lt;0,B603,IF(B603-B602=0,"",B603-B602)),B603))</f>
        <v/>
      </c>
      <c r="D603" s="18" t="str">
        <f>IF(Dati!C603="","",IF(Dati!C603&gt;1,Dati!C603/100,Dati!C603))</f>
        <v/>
      </c>
      <c r="E603" s="18" t="str">
        <f>IF(Dati!D603="","",IF(Dati!D603&gt;1,Dati!D603/100,Dati!D603))</f>
        <v/>
      </c>
      <c r="F603" s="18" t="str">
        <f>IF(OR(D603="",E603=""),"",IF(OR(D603&gt;1,E603&gt;1),(E603-D603)/100,E603-D603))</f>
        <v/>
      </c>
      <c r="G603" s="17" t="str">
        <f>IF(F603="","",IF(64*F603=0,"",64*F603))</f>
        <v/>
      </c>
      <c r="H603" s="19" t="str">
        <f>IF(Dati!E603="","",Dati!E603)</f>
        <v/>
      </c>
      <c r="I603" s="19" t="str">
        <f>IFERROR(IF(OR(C603="",C603=0),"",H603/C603*100),"")</f>
        <v/>
      </c>
      <c r="J603" s="20" t="str">
        <f>IF(Dati!F603="","",Dati!F603)</f>
        <v/>
      </c>
      <c r="K603" s="19" t="str">
        <f>IF(OR(H603="",J603=""),"",IF(H603*J603=0,"",H603*J603))</f>
        <v/>
      </c>
      <c r="L603" s="19" t="str">
        <f>IF(A603="","",IFERROR(IF(SUMPRODUCT((ISNUMBER(A$2:A603))*(A$2:A603&gt;1000)*(MONTH(IF(ISNUMBER(A$2:A603),A$2:A603,1))=MONTH(A603))*(YEAR(IF(ISNUMBER(A$2:A603),A$2:A603,1))=YEAR(A603))*IF(ISNUMBER(K$2:K603),K$2:K603,0))=0,"",SUMPRODUCT((ISNUMBER(A$2:A603))*(A$2:A603&gt;1000)*(MONTH(IF(ISNUMBER(A$2:A603),A$2:A603,1))=MONTH(A603))*(YEAR(IF(ISNUMBER(A$2:A603),A$2:A603,1))=YEAR(A603))*IF(ISNUMBER(K$2:K603),K$2:K603,0))),""))</f>
        <v/>
      </c>
      <c r="M603" s="21" t="str">
        <f>IF(A603="","",IFERROR(IF(SUMIF(N$2:N603,"CASA",K$2:K603)=0,"",SUMIF(N$2:N603,"CASA",K$2:K603)),""))</f>
        <v/>
      </c>
      <c r="N603" s="17" t="str">
        <f>IF(J603="","",IF(J603=0.2,"CASA",IF(Dati!G603="","",Dati!G603)))</f>
        <v/>
      </c>
    </row>
    <row r="604" spans="1:14" ht="15" customHeight="1" x14ac:dyDescent="0.2">
      <c r="A604" s="23" t="str">
        <f>IF(Dati!A604="","",Dati!A604)</f>
        <v/>
      </c>
      <c r="B604" s="17" t="str">
        <f>IF(Dati!B604="","",Dati!B604)</f>
        <v/>
      </c>
      <c r="C604" s="17" t="str">
        <f>IF(B604="","",IF(ISNUMBER(B603),IF(B604-B603&lt;0,B604,IF(B604-B603=0,"",B604-B603)),B604))</f>
        <v/>
      </c>
      <c r="D604" s="18" t="str">
        <f>IF(Dati!C604="","",IF(Dati!C604&gt;1,Dati!C604/100,Dati!C604))</f>
        <v/>
      </c>
      <c r="E604" s="18" t="str">
        <f>IF(Dati!D604="","",IF(Dati!D604&gt;1,Dati!D604/100,Dati!D604))</f>
        <v/>
      </c>
      <c r="F604" s="18" t="str">
        <f>IF(OR(D604="",E604=""),"",IF(OR(D604&gt;1,E604&gt;1),(E604-D604)/100,E604-D604))</f>
        <v/>
      </c>
      <c r="G604" s="17" t="str">
        <f>IF(F604="","",IF(64*F604=0,"",64*F604))</f>
        <v/>
      </c>
      <c r="H604" s="19" t="str">
        <f>IF(Dati!E604="","",Dati!E604)</f>
        <v/>
      </c>
      <c r="I604" s="19" t="str">
        <f>IFERROR(IF(OR(C604="",C604=0),"",H604/C604*100),"")</f>
        <v/>
      </c>
      <c r="J604" s="20" t="str">
        <f>IF(Dati!F604="","",Dati!F604)</f>
        <v/>
      </c>
      <c r="K604" s="19" t="str">
        <f>IF(OR(H604="",J604=""),"",IF(H604*J604=0,"",H604*J604))</f>
        <v/>
      </c>
      <c r="L604" s="19" t="str">
        <f>IF(A604="","",IFERROR(IF(SUMPRODUCT((ISNUMBER(A$2:A604))*(A$2:A604&gt;1000)*(MONTH(IF(ISNUMBER(A$2:A604),A$2:A604,1))=MONTH(A604))*(YEAR(IF(ISNUMBER(A$2:A604),A$2:A604,1))=YEAR(A604))*IF(ISNUMBER(K$2:K604),K$2:K604,0))=0,"",SUMPRODUCT((ISNUMBER(A$2:A604))*(A$2:A604&gt;1000)*(MONTH(IF(ISNUMBER(A$2:A604),A$2:A604,1))=MONTH(A604))*(YEAR(IF(ISNUMBER(A$2:A604),A$2:A604,1))=YEAR(A604))*IF(ISNUMBER(K$2:K604),K$2:K604,0))),""))</f>
        <v/>
      </c>
      <c r="M604" s="21" t="str">
        <f>IF(A604="","",IFERROR(IF(SUMIF(N$2:N604,"CASA",K$2:K604)=0,"",SUMIF(N$2:N604,"CASA",K$2:K604)),""))</f>
        <v/>
      </c>
      <c r="N604" s="17" t="str">
        <f>IF(J604="","",IF(J604=0.2,"CASA",IF(Dati!G604="","",Dati!G604)))</f>
        <v/>
      </c>
    </row>
    <row r="605" spans="1:14" ht="15" customHeight="1" x14ac:dyDescent="0.2">
      <c r="A605" s="23" t="str">
        <f>IF(Dati!A605="","",Dati!A605)</f>
        <v/>
      </c>
      <c r="B605" s="17" t="str">
        <f>IF(Dati!B605="","",Dati!B605)</f>
        <v/>
      </c>
      <c r="C605" s="17" t="str">
        <f>IF(B605="","",IF(ISNUMBER(B604),IF(B605-B604&lt;0,B605,IF(B605-B604=0,"",B605-B604)),B605))</f>
        <v/>
      </c>
      <c r="D605" s="18" t="str">
        <f>IF(Dati!C605="","",IF(Dati!C605&gt;1,Dati!C605/100,Dati!C605))</f>
        <v/>
      </c>
      <c r="E605" s="18" t="str">
        <f>IF(Dati!D605="","",IF(Dati!D605&gt;1,Dati!D605/100,Dati!D605))</f>
        <v/>
      </c>
      <c r="F605" s="18" t="str">
        <f>IF(OR(D605="",E605=""),"",IF(OR(D605&gt;1,E605&gt;1),(E605-D605)/100,E605-D605))</f>
        <v/>
      </c>
      <c r="G605" s="17" t="str">
        <f>IF(F605="","",IF(64*F605=0,"",64*F605))</f>
        <v/>
      </c>
      <c r="H605" s="19" t="str">
        <f>IF(Dati!E605="","",Dati!E605)</f>
        <v/>
      </c>
      <c r="I605" s="19" t="str">
        <f>IFERROR(IF(OR(C605="",C605=0),"",H605/C605*100),"")</f>
        <v/>
      </c>
      <c r="J605" s="20" t="str">
        <f>IF(Dati!F605="","",Dati!F605)</f>
        <v/>
      </c>
      <c r="K605" s="19" t="str">
        <f>IF(OR(H605="",J605=""),"",IF(H605*J605=0,"",H605*J605))</f>
        <v/>
      </c>
      <c r="L605" s="19" t="str">
        <f>IF(A605="","",IFERROR(IF(SUMPRODUCT((ISNUMBER(A$2:A605))*(A$2:A605&gt;1000)*(MONTH(IF(ISNUMBER(A$2:A605),A$2:A605,1))=MONTH(A605))*(YEAR(IF(ISNUMBER(A$2:A605),A$2:A605,1))=YEAR(A605))*IF(ISNUMBER(K$2:K605),K$2:K605,0))=0,"",SUMPRODUCT((ISNUMBER(A$2:A605))*(A$2:A605&gt;1000)*(MONTH(IF(ISNUMBER(A$2:A605),A$2:A605,1))=MONTH(A605))*(YEAR(IF(ISNUMBER(A$2:A605),A$2:A605,1))=YEAR(A605))*IF(ISNUMBER(K$2:K605),K$2:K605,0))),""))</f>
        <v/>
      </c>
      <c r="M605" s="21" t="str">
        <f>IF(A605="","",IFERROR(IF(SUMIF(N$2:N605,"CASA",K$2:K605)=0,"",SUMIF(N$2:N605,"CASA",K$2:K605)),""))</f>
        <v/>
      </c>
      <c r="N605" s="17" t="str">
        <f>IF(J605="","",IF(J605=0.2,"CASA",IF(Dati!G605="","",Dati!G605)))</f>
        <v/>
      </c>
    </row>
    <row r="606" spans="1:14" ht="15" customHeight="1" x14ac:dyDescent="0.2">
      <c r="A606" s="23" t="str">
        <f>IF(Dati!A606="","",Dati!A606)</f>
        <v/>
      </c>
      <c r="B606" s="17" t="str">
        <f>IF(Dati!B606="","",Dati!B606)</f>
        <v/>
      </c>
      <c r="C606" s="17" t="str">
        <f>IF(B606="","",IF(ISNUMBER(B605),IF(B606-B605&lt;0,B606,IF(B606-B605=0,"",B606-B605)),B606))</f>
        <v/>
      </c>
      <c r="D606" s="18" t="str">
        <f>IF(Dati!C606="","",IF(Dati!C606&gt;1,Dati!C606/100,Dati!C606))</f>
        <v/>
      </c>
      <c r="E606" s="18" t="str">
        <f>IF(Dati!D606="","",IF(Dati!D606&gt;1,Dati!D606/100,Dati!D606))</f>
        <v/>
      </c>
      <c r="F606" s="18" t="str">
        <f>IF(OR(D606="",E606=""),"",IF(OR(D606&gt;1,E606&gt;1),(E606-D606)/100,E606-D606))</f>
        <v/>
      </c>
      <c r="G606" s="17" t="str">
        <f>IF(F606="","",IF(64*F606=0,"",64*F606))</f>
        <v/>
      </c>
      <c r="H606" s="19" t="str">
        <f>IF(Dati!E606="","",Dati!E606)</f>
        <v/>
      </c>
      <c r="I606" s="19" t="str">
        <f>IFERROR(IF(OR(C606="",C606=0),"",H606/C606*100),"")</f>
        <v/>
      </c>
      <c r="J606" s="20" t="str">
        <f>IF(Dati!F606="","",Dati!F606)</f>
        <v/>
      </c>
      <c r="K606" s="19" t="str">
        <f>IF(OR(H606="",J606=""),"",IF(H606*J606=0,"",H606*J606))</f>
        <v/>
      </c>
      <c r="L606" s="19" t="str">
        <f>IF(A606="","",IFERROR(IF(SUMPRODUCT((ISNUMBER(A$2:A606))*(A$2:A606&gt;1000)*(MONTH(IF(ISNUMBER(A$2:A606),A$2:A606,1))=MONTH(A606))*(YEAR(IF(ISNUMBER(A$2:A606),A$2:A606,1))=YEAR(A606))*IF(ISNUMBER(K$2:K606),K$2:K606,0))=0,"",SUMPRODUCT((ISNUMBER(A$2:A606))*(A$2:A606&gt;1000)*(MONTH(IF(ISNUMBER(A$2:A606),A$2:A606,1))=MONTH(A606))*(YEAR(IF(ISNUMBER(A$2:A606),A$2:A606,1))=YEAR(A606))*IF(ISNUMBER(K$2:K606),K$2:K606,0))),""))</f>
        <v/>
      </c>
      <c r="M606" s="21" t="str">
        <f>IF(A606="","",IFERROR(IF(SUMIF(N$2:N606,"CASA",K$2:K606)=0,"",SUMIF(N$2:N606,"CASA",K$2:K606)),""))</f>
        <v/>
      </c>
      <c r="N606" s="17" t="str">
        <f>IF(J606="","",IF(J606=0.2,"CASA",IF(Dati!G606="","",Dati!G606)))</f>
        <v/>
      </c>
    </row>
    <row r="607" spans="1:14" ht="15" customHeight="1" x14ac:dyDescent="0.2">
      <c r="A607" s="23" t="str">
        <f>IF(Dati!A607="","",Dati!A607)</f>
        <v/>
      </c>
      <c r="B607" s="17" t="str">
        <f>IF(Dati!B607="","",Dati!B607)</f>
        <v/>
      </c>
      <c r="C607" s="17" t="str">
        <f>IF(B607="","",IF(ISNUMBER(B606),IF(B607-B606&lt;0,B607,IF(B607-B606=0,"",B607-B606)),B607))</f>
        <v/>
      </c>
      <c r="D607" s="18" t="str">
        <f>IF(Dati!C607="","",IF(Dati!C607&gt;1,Dati!C607/100,Dati!C607))</f>
        <v/>
      </c>
      <c r="E607" s="18" t="str">
        <f>IF(Dati!D607="","",IF(Dati!D607&gt;1,Dati!D607/100,Dati!D607))</f>
        <v/>
      </c>
      <c r="F607" s="18" t="str">
        <f>IF(OR(D607="",E607=""),"",IF(OR(D607&gt;1,E607&gt;1),(E607-D607)/100,E607-D607))</f>
        <v/>
      </c>
      <c r="G607" s="17" t="str">
        <f>IF(F607="","",IF(64*F607=0,"",64*F607))</f>
        <v/>
      </c>
      <c r="H607" s="19" t="str">
        <f>IF(Dati!E607="","",Dati!E607)</f>
        <v/>
      </c>
      <c r="I607" s="19" t="str">
        <f>IFERROR(IF(OR(C607="",C607=0),"",H607/C607*100),"")</f>
        <v/>
      </c>
      <c r="J607" s="20" t="str">
        <f>IF(Dati!F607="","",Dati!F607)</f>
        <v/>
      </c>
      <c r="K607" s="19" t="str">
        <f>IF(OR(H607="",J607=""),"",IF(H607*J607=0,"",H607*J607))</f>
        <v/>
      </c>
      <c r="L607" s="19" t="str">
        <f>IF(A607="","",IFERROR(IF(SUMPRODUCT((ISNUMBER(A$2:A607))*(A$2:A607&gt;1000)*(MONTH(IF(ISNUMBER(A$2:A607),A$2:A607,1))=MONTH(A607))*(YEAR(IF(ISNUMBER(A$2:A607),A$2:A607,1))=YEAR(A607))*IF(ISNUMBER(K$2:K607),K$2:K607,0))=0,"",SUMPRODUCT((ISNUMBER(A$2:A607))*(A$2:A607&gt;1000)*(MONTH(IF(ISNUMBER(A$2:A607),A$2:A607,1))=MONTH(A607))*(YEAR(IF(ISNUMBER(A$2:A607),A$2:A607,1))=YEAR(A607))*IF(ISNUMBER(K$2:K607),K$2:K607,0))),""))</f>
        <v/>
      </c>
      <c r="M607" s="21" t="str">
        <f>IF(A607="","",IFERROR(IF(SUMIF(N$2:N607,"CASA",K$2:K607)=0,"",SUMIF(N$2:N607,"CASA",K$2:K607)),""))</f>
        <v/>
      </c>
      <c r="N607" s="17" t="str">
        <f>IF(J607="","",IF(J607=0.2,"CASA",IF(Dati!G607="","",Dati!G607)))</f>
        <v/>
      </c>
    </row>
    <row r="608" spans="1:14" ht="15" customHeight="1" x14ac:dyDescent="0.2">
      <c r="A608" s="23" t="str">
        <f>IF(Dati!A608="","",Dati!A608)</f>
        <v/>
      </c>
      <c r="B608" s="17" t="str">
        <f>IF(Dati!B608="","",Dati!B608)</f>
        <v/>
      </c>
      <c r="C608" s="17" t="str">
        <f>IF(B608="","",IF(ISNUMBER(B607),IF(B608-B607&lt;0,B608,IF(B608-B607=0,"",B608-B607)),B608))</f>
        <v/>
      </c>
      <c r="D608" s="18" t="str">
        <f>IF(Dati!C608="","",IF(Dati!C608&gt;1,Dati!C608/100,Dati!C608))</f>
        <v/>
      </c>
      <c r="E608" s="18" t="str">
        <f>IF(Dati!D608="","",IF(Dati!D608&gt;1,Dati!D608/100,Dati!D608))</f>
        <v/>
      </c>
      <c r="F608" s="18" t="str">
        <f>IF(OR(D608="",E608=""),"",IF(OR(D608&gt;1,E608&gt;1),(E608-D608)/100,E608-D608))</f>
        <v/>
      </c>
      <c r="G608" s="17" t="str">
        <f>IF(F608="","",IF(64*F608=0,"",64*F608))</f>
        <v/>
      </c>
      <c r="H608" s="19" t="str">
        <f>IF(Dati!E608="","",Dati!E608)</f>
        <v/>
      </c>
      <c r="I608" s="19" t="str">
        <f>IFERROR(IF(OR(C608="",C608=0),"",H608/C608*100),"")</f>
        <v/>
      </c>
      <c r="J608" s="20" t="str">
        <f>IF(Dati!F608="","",Dati!F608)</f>
        <v/>
      </c>
      <c r="K608" s="19" t="str">
        <f>IF(OR(H608="",J608=""),"",IF(H608*J608=0,"",H608*J608))</f>
        <v/>
      </c>
      <c r="L608" s="19" t="str">
        <f>IF(A608="","",IFERROR(IF(SUMPRODUCT((ISNUMBER(A$2:A608))*(A$2:A608&gt;1000)*(MONTH(IF(ISNUMBER(A$2:A608),A$2:A608,1))=MONTH(A608))*(YEAR(IF(ISNUMBER(A$2:A608),A$2:A608,1))=YEAR(A608))*IF(ISNUMBER(K$2:K608),K$2:K608,0))=0,"",SUMPRODUCT((ISNUMBER(A$2:A608))*(A$2:A608&gt;1000)*(MONTH(IF(ISNUMBER(A$2:A608),A$2:A608,1))=MONTH(A608))*(YEAR(IF(ISNUMBER(A$2:A608),A$2:A608,1))=YEAR(A608))*IF(ISNUMBER(K$2:K608),K$2:K608,0))),""))</f>
        <v/>
      </c>
      <c r="M608" s="21" t="str">
        <f>IF(A608="","",IFERROR(IF(SUMIF(N$2:N608,"CASA",K$2:K608)=0,"",SUMIF(N$2:N608,"CASA",K$2:K608)),""))</f>
        <v/>
      </c>
      <c r="N608" s="17" t="str">
        <f>IF(J608="","",IF(J608=0.2,"CASA",IF(Dati!G608="","",Dati!G608)))</f>
        <v/>
      </c>
    </row>
    <row r="609" spans="1:14" ht="15" customHeight="1" x14ac:dyDescent="0.2">
      <c r="A609" s="23" t="str">
        <f>IF(Dati!A609="","",Dati!A609)</f>
        <v/>
      </c>
      <c r="B609" s="17" t="str">
        <f>IF(Dati!B609="","",Dati!B609)</f>
        <v/>
      </c>
      <c r="C609" s="17" t="str">
        <f>IF(B609="","",IF(ISNUMBER(B608),IF(B609-B608&lt;0,B609,IF(B609-B608=0,"",B609-B608)),B609))</f>
        <v/>
      </c>
      <c r="D609" s="18" t="str">
        <f>IF(Dati!C609="","",IF(Dati!C609&gt;1,Dati!C609/100,Dati!C609))</f>
        <v/>
      </c>
      <c r="E609" s="18" t="str">
        <f>IF(Dati!D609="","",IF(Dati!D609&gt;1,Dati!D609/100,Dati!D609))</f>
        <v/>
      </c>
      <c r="F609" s="18" t="str">
        <f>IF(OR(D609="",E609=""),"",IF(OR(D609&gt;1,E609&gt;1),(E609-D609)/100,E609-D609))</f>
        <v/>
      </c>
      <c r="G609" s="17" t="str">
        <f>IF(F609="","",IF(64*F609=0,"",64*F609))</f>
        <v/>
      </c>
      <c r="H609" s="19" t="str">
        <f>IF(Dati!E609="","",Dati!E609)</f>
        <v/>
      </c>
      <c r="I609" s="19" t="str">
        <f>IFERROR(IF(OR(C609="",C609=0),"",H609/C609*100),"")</f>
        <v/>
      </c>
      <c r="J609" s="20" t="str">
        <f>IF(Dati!F609="","",Dati!F609)</f>
        <v/>
      </c>
      <c r="K609" s="19" t="str">
        <f>IF(OR(H609="",J609=""),"",IF(H609*J609=0,"",H609*J609))</f>
        <v/>
      </c>
      <c r="L609" s="19" t="str">
        <f>IF(A609="","",IFERROR(IF(SUMPRODUCT((ISNUMBER(A$2:A609))*(A$2:A609&gt;1000)*(MONTH(IF(ISNUMBER(A$2:A609),A$2:A609,1))=MONTH(A609))*(YEAR(IF(ISNUMBER(A$2:A609),A$2:A609,1))=YEAR(A609))*IF(ISNUMBER(K$2:K609),K$2:K609,0))=0,"",SUMPRODUCT((ISNUMBER(A$2:A609))*(A$2:A609&gt;1000)*(MONTH(IF(ISNUMBER(A$2:A609),A$2:A609,1))=MONTH(A609))*(YEAR(IF(ISNUMBER(A$2:A609),A$2:A609,1))=YEAR(A609))*IF(ISNUMBER(K$2:K609),K$2:K609,0))),""))</f>
        <v/>
      </c>
      <c r="M609" s="21" t="str">
        <f>IF(A609="","",IFERROR(IF(SUMIF(N$2:N609,"CASA",K$2:K609)=0,"",SUMIF(N$2:N609,"CASA",K$2:K609)),""))</f>
        <v/>
      </c>
      <c r="N609" s="17" t="str">
        <f>IF(J609="","",IF(J609=0.2,"CASA",IF(Dati!G609="","",Dati!G609)))</f>
        <v/>
      </c>
    </row>
    <row r="610" spans="1:14" ht="15" customHeight="1" x14ac:dyDescent="0.2">
      <c r="A610" s="23" t="str">
        <f>IF(Dati!A610="","",Dati!A610)</f>
        <v/>
      </c>
      <c r="B610" s="17" t="str">
        <f>IF(Dati!B610="","",Dati!B610)</f>
        <v/>
      </c>
      <c r="C610" s="17" t="str">
        <f>IF(B610="","",IF(ISNUMBER(B609),IF(B610-B609&lt;0,B610,IF(B610-B609=0,"",B610-B609)),B610))</f>
        <v/>
      </c>
      <c r="D610" s="18" t="str">
        <f>IF(Dati!C610="","",IF(Dati!C610&gt;1,Dati!C610/100,Dati!C610))</f>
        <v/>
      </c>
      <c r="E610" s="18" t="str">
        <f>IF(Dati!D610="","",IF(Dati!D610&gt;1,Dati!D610/100,Dati!D610))</f>
        <v/>
      </c>
      <c r="F610" s="18" t="str">
        <f>IF(OR(D610="",E610=""),"",IF(OR(D610&gt;1,E610&gt;1),(E610-D610)/100,E610-D610))</f>
        <v/>
      </c>
      <c r="G610" s="17" t="str">
        <f>IF(F610="","",IF(64*F610=0,"",64*F610))</f>
        <v/>
      </c>
      <c r="H610" s="19" t="str">
        <f>IF(Dati!E610="","",Dati!E610)</f>
        <v/>
      </c>
      <c r="I610" s="19" t="str">
        <f>IFERROR(IF(OR(C610="",C610=0),"",H610/C610*100),"")</f>
        <v/>
      </c>
      <c r="J610" s="20" t="str">
        <f>IF(Dati!F610="","",Dati!F610)</f>
        <v/>
      </c>
      <c r="K610" s="19" t="str">
        <f>IF(OR(H610="",J610=""),"",IF(H610*J610=0,"",H610*J610))</f>
        <v/>
      </c>
      <c r="L610" s="19" t="str">
        <f>IF(A610="","",IFERROR(IF(SUMPRODUCT((ISNUMBER(A$2:A610))*(A$2:A610&gt;1000)*(MONTH(IF(ISNUMBER(A$2:A610),A$2:A610,1))=MONTH(A610))*(YEAR(IF(ISNUMBER(A$2:A610),A$2:A610,1))=YEAR(A610))*IF(ISNUMBER(K$2:K610),K$2:K610,0))=0,"",SUMPRODUCT((ISNUMBER(A$2:A610))*(A$2:A610&gt;1000)*(MONTH(IF(ISNUMBER(A$2:A610),A$2:A610,1))=MONTH(A610))*(YEAR(IF(ISNUMBER(A$2:A610),A$2:A610,1))=YEAR(A610))*IF(ISNUMBER(K$2:K610),K$2:K610,0))),""))</f>
        <v/>
      </c>
      <c r="M610" s="21" t="str">
        <f>IF(A610="","",IFERROR(IF(SUMIF(N$2:N610,"CASA",K$2:K610)=0,"",SUMIF(N$2:N610,"CASA",K$2:K610)),""))</f>
        <v/>
      </c>
      <c r="N610" s="17" t="str">
        <f>IF(J610="","",IF(J610=0.2,"CASA",IF(Dati!G610="","",Dati!G610)))</f>
        <v/>
      </c>
    </row>
    <row r="611" spans="1:14" ht="15" customHeight="1" x14ac:dyDescent="0.2">
      <c r="A611" s="23" t="str">
        <f>IF(Dati!A611="","",Dati!A611)</f>
        <v/>
      </c>
      <c r="B611" s="17" t="str">
        <f>IF(Dati!B611="","",Dati!B611)</f>
        <v/>
      </c>
      <c r="C611" s="17" t="str">
        <f>IF(B611="","",IF(ISNUMBER(B610),IF(B611-B610&lt;0,B611,IF(B611-B610=0,"",B611-B610)),B611))</f>
        <v/>
      </c>
      <c r="D611" s="18" t="str">
        <f>IF(Dati!C611="","",IF(Dati!C611&gt;1,Dati!C611/100,Dati!C611))</f>
        <v/>
      </c>
      <c r="E611" s="18" t="str">
        <f>IF(Dati!D611="","",IF(Dati!D611&gt;1,Dati!D611/100,Dati!D611))</f>
        <v/>
      </c>
      <c r="F611" s="18" t="str">
        <f>IF(OR(D611="",E611=""),"",IF(OR(D611&gt;1,E611&gt;1),(E611-D611)/100,E611-D611))</f>
        <v/>
      </c>
      <c r="G611" s="17" t="str">
        <f>IF(F611="","",IF(64*F611=0,"",64*F611))</f>
        <v/>
      </c>
      <c r="H611" s="19" t="str">
        <f>IF(Dati!E611="","",Dati!E611)</f>
        <v/>
      </c>
      <c r="I611" s="19" t="str">
        <f>IFERROR(IF(OR(C611="",C611=0),"",H611/C611*100),"")</f>
        <v/>
      </c>
      <c r="J611" s="20" t="str">
        <f>IF(Dati!F611="","",Dati!F611)</f>
        <v/>
      </c>
      <c r="K611" s="19" t="str">
        <f>IF(OR(H611="",J611=""),"",IF(H611*J611=0,"",H611*J611))</f>
        <v/>
      </c>
      <c r="L611" s="19" t="str">
        <f>IF(A611="","",IFERROR(IF(SUMPRODUCT((ISNUMBER(A$2:A611))*(A$2:A611&gt;1000)*(MONTH(IF(ISNUMBER(A$2:A611),A$2:A611,1))=MONTH(A611))*(YEAR(IF(ISNUMBER(A$2:A611),A$2:A611,1))=YEAR(A611))*IF(ISNUMBER(K$2:K611),K$2:K611,0))=0,"",SUMPRODUCT((ISNUMBER(A$2:A611))*(A$2:A611&gt;1000)*(MONTH(IF(ISNUMBER(A$2:A611),A$2:A611,1))=MONTH(A611))*(YEAR(IF(ISNUMBER(A$2:A611),A$2:A611,1))=YEAR(A611))*IF(ISNUMBER(K$2:K611),K$2:K611,0))),""))</f>
        <v/>
      </c>
      <c r="M611" s="21" t="str">
        <f>IF(A611="","",IFERROR(IF(SUMIF(N$2:N611,"CASA",K$2:K611)=0,"",SUMIF(N$2:N611,"CASA",K$2:K611)),""))</f>
        <v/>
      </c>
      <c r="N611" s="17" t="str">
        <f>IF(J611="","",IF(J611=0.2,"CASA",IF(Dati!G611="","",Dati!G611)))</f>
        <v/>
      </c>
    </row>
    <row r="612" spans="1:14" ht="15" customHeight="1" x14ac:dyDescent="0.2">
      <c r="A612" s="23" t="str">
        <f>IF(Dati!A612="","",Dati!A612)</f>
        <v/>
      </c>
      <c r="B612" s="17" t="str">
        <f>IF(Dati!B612="","",Dati!B612)</f>
        <v/>
      </c>
      <c r="C612" s="17" t="str">
        <f>IF(B612="","",IF(ISNUMBER(B611),IF(B612-B611&lt;0,B612,IF(B612-B611=0,"",B612-B611)),B612))</f>
        <v/>
      </c>
      <c r="D612" s="18" t="str">
        <f>IF(Dati!C612="","",IF(Dati!C612&gt;1,Dati!C612/100,Dati!C612))</f>
        <v/>
      </c>
      <c r="E612" s="18" t="str">
        <f>IF(Dati!D612="","",IF(Dati!D612&gt;1,Dati!D612/100,Dati!D612))</f>
        <v/>
      </c>
      <c r="F612" s="18" t="str">
        <f>IF(OR(D612="",E612=""),"",IF(OR(D612&gt;1,E612&gt;1),(E612-D612)/100,E612-D612))</f>
        <v/>
      </c>
      <c r="G612" s="17" t="str">
        <f>IF(F612="","",IF(64*F612=0,"",64*F612))</f>
        <v/>
      </c>
      <c r="H612" s="19" t="str">
        <f>IF(Dati!E612="","",Dati!E612)</f>
        <v/>
      </c>
      <c r="I612" s="19" t="str">
        <f>IFERROR(IF(OR(C612="",C612=0),"",H612/C612*100),"")</f>
        <v/>
      </c>
      <c r="J612" s="20" t="str">
        <f>IF(Dati!F612="","",Dati!F612)</f>
        <v/>
      </c>
      <c r="K612" s="19" t="str">
        <f>IF(OR(H612="",J612=""),"",IF(H612*J612=0,"",H612*J612))</f>
        <v/>
      </c>
      <c r="L612" s="19" t="str">
        <f>IF(A612="","",IFERROR(IF(SUMPRODUCT((ISNUMBER(A$2:A612))*(A$2:A612&gt;1000)*(MONTH(IF(ISNUMBER(A$2:A612),A$2:A612,1))=MONTH(A612))*(YEAR(IF(ISNUMBER(A$2:A612),A$2:A612,1))=YEAR(A612))*IF(ISNUMBER(K$2:K612),K$2:K612,0))=0,"",SUMPRODUCT((ISNUMBER(A$2:A612))*(A$2:A612&gt;1000)*(MONTH(IF(ISNUMBER(A$2:A612),A$2:A612,1))=MONTH(A612))*(YEAR(IF(ISNUMBER(A$2:A612),A$2:A612,1))=YEAR(A612))*IF(ISNUMBER(K$2:K612),K$2:K612,0))),""))</f>
        <v/>
      </c>
      <c r="M612" s="21" t="str">
        <f>IF(A612="","",IFERROR(IF(SUMIF(N$2:N612,"CASA",K$2:K612)=0,"",SUMIF(N$2:N612,"CASA",K$2:K612)),""))</f>
        <v/>
      </c>
      <c r="N612" s="17" t="str">
        <f>IF(J612="","",IF(J612=0.2,"CASA",IF(Dati!G612="","",Dati!G612)))</f>
        <v/>
      </c>
    </row>
    <row r="613" spans="1:14" ht="15" customHeight="1" x14ac:dyDescent="0.2">
      <c r="A613" s="23" t="str">
        <f>IF(Dati!A613="","",Dati!A613)</f>
        <v/>
      </c>
      <c r="B613" s="17" t="str">
        <f>IF(Dati!B613="","",Dati!B613)</f>
        <v/>
      </c>
      <c r="C613" s="17" t="str">
        <f>IF(B613="","",IF(ISNUMBER(B612),IF(B613-B612&lt;0,B613,IF(B613-B612=0,"",B613-B612)),B613))</f>
        <v/>
      </c>
      <c r="D613" s="18" t="str">
        <f>IF(Dati!C613="","",IF(Dati!C613&gt;1,Dati!C613/100,Dati!C613))</f>
        <v/>
      </c>
      <c r="E613" s="18" t="str">
        <f>IF(Dati!D613="","",IF(Dati!D613&gt;1,Dati!D613/100,Dati!D613))</f>
        <v/>
      </c>
      <c r="F613" s="18" t="str">
        <f>IF(OR(D613="",E613=""),"",IF(OR(D613&gt;1,E613&gt;1),(E613-D613)/100,E613-D613))</f>
        <v/>
      </c>
      <c r="G613" s="17" t="str">
        <f>IF(F613="","",IF(64*F613=0,"",64*F613))</f>
        <v/>
      </c>
      <c r="H613" s="19" t="str">
        <f>IF(Dati!E613="","",Dati!E613)</f>
        <v/>
      </c>
      <c r="I613" s="19" t="str">
        <f>IFERROR(IF(OR(C613="",C613=0),"",H613/C613*100),"")</f>
        <v/>
      </c>
      <c r="J613" s="20" t="str">
        <f>IF(Dati!F613="","",Dati!F613)</f>
        <v/>
      </c>
      <c r="K613" s="19" t="str">
        <f>IF(OR(H613="",J613=""),"",IF(H613*J613=0,"",H613*J613))</f>
        <v/>
      </c>
      <c r="L613" s="19" t="str">
        <f>IF(A613="","",IFERROR(IF(SUMPRODUCT((ISNUMBER(A$2:A613))*(A$2:A613&gt;1000)*(MONTH(IF(ISNUMBER(A$2:A613),A$2:A613,1))=MONTH(A613))*(YEAR(IF(ISNUMBER(A$2:A613),A$2:A613,1))=YEAR(A613))*IF(ISNUMBER(K$2:K613),K$2:K613,0))=0,"",SUMPRODUCT((ISNUMBER(A$2:A613))*(A$2:A613&gt;1000)*(MONTH(IF(ISNUMBER(A$2:A613),A$2:A613,1))=MONTH(A613))*(YEAR(IF(ISNUMBER(A$2:A613),A$2:A613,1))=YEAR(A613))*IF(ISNUMBER(K$2:K613),K$2:K613,0))),""))</f>
        <v/>
      </c>
      <c r="M613" s="21" t="str">
        <f>IF(A613="","",IFERROR(IF(SUMIF(N$2:N613,"CASA",K$2:K613)=0,"",SUMIF(N$2:N613,"CASA",K$2:K613)),""))</f>
        <v/>
      </c>
      <c r="N613" s="17" t="str">
        <f>IF(J613="","",IF(J613=0.2,"CASA",IF(Dati!G613="","",Dati!G613)))</f>
        <v/>
      </c>
    </row>
    <row r="614" spans="1:14" ht="15" customHeight="1" x14ac:dyDescent="0.2">
      <c r="A614" s="23" t="str">
        <f>IF(Dati!A614="","",Dati!A614)</f>
        <v/>
      </c>
      <c r="B614" s="17" t="str">
        <f>IF(Dati!B614="","",Dati!B614)</f>
        <v/>
      </c>
      <c r="C614" s="17" t="str">
        <f>IF(B614="","",IF(ISNUMBER(B613),IF(B614-B613&lt;0,B614,IF(B614-B613=0,"",B614-B613)),B614))</f>
        <v/>
      </c>
      <c r="D614" s="18" t="str">
        <f>IF(Dati!C614="","",IF(Dati!C614&gt;1,Dati!C614/100,Dati!C614))</f>
        <v/>
      </c>
      <c r="E614" s="18" t="str">
        <f>IF(Dati!D614="","",IF(Dati!D614&gt;1,Dati!D614/100,Dati!D614))</f>
        <v/>
      </c>
      <c r="F614" s="18" t="str">
        <f>IF(OR(D614="",E614=""),"",IF(OR(D614&gt;1,E614&gt;1),(E614-D614)/100,E614-D614))</f>
        <v/>
      </c>
      <c r="G614" s="17" t="str">
        <f>IF(F614="","",IF(64*F614=0,"",64*F614))</f>
        <v/>
      </c>
      <c r="H614" s="19" t="str">
        <f>IF(Dati!E614="","",Dati!E614)</f>
        <v/>
      </c>
      <c r="I614" s="19" t="str">
        <f>IFERROR(IF(OR(C614="",C614=0),"",H614/C614*100),"")</f>
        <v/>
      </c>
      <c r="J614" s="20" t="str">
        <f>IF(Dati!F614="","",Dati!F614)</f>
        <v/>
      </c>
      <c r="K614" s="19" t="str">
        <f>IF(OR(H614="",J614=""),"",IF(H614*J614=0,"",H614*J614))</f>
        <v/>
      </c>
      <c r="L614" s="19" t="str">
        <f>IF(A614="","",IFERROR(IF(SUMPRODUCT((ISNUMBER(A$2:A614))*(A$2:A614&gt;1000)*(MONTH(IF(ISNUMBER(A$2:A614),A$2:A614,1))=MONTH(A614))*(YEAR(IF(ISNUMBER(A$2:A614),A$2:A614,1))=YEAR(A614))*IF(ISNUMBER(K$2:K614),K$2:K614,0))=0,"",SUMPRODUCT((ISNUMBER(A$2:A614))*(A$2:A614&gt;1000)*(MONTH(IF(ISNUMBER(A$2:A614),A$2:A614,1))=MONTH(A614))*(YEAR(IF(ISNUMBER(A$2:A614),A$2:A614,1))=YEAR(A614))*IF(ISNUMBER(K$2:K614),K$2:K614,0))),""))</f>
        <v/>
      </c>
      <c r="M614" s="21" t="str">
        <f>IF(A614="","",IFERROR(IF(SUMIF(N$2:N614,"CASA",K$2:K614)=0,"",SUMIF(N$2:N614,"CASA",K$2:K614)),""))</f>
        <v/>
      </c>
      <c r="N614" s="17" t="str">
        <f>IF(J614="","",IF(J614=0.2,"CASA",IF(Dati!G614="","",Dati!G614)))</f>
        <v/>
      </c>
    </row>
    <row r="615" spans="1:14" ht="15" customHeight="1" x14ac:dyDescent="0.2">
      <c r="A615" s="23" t="str">
        <f>IF(Dati!A615="","",Dati!A615)</f>
        <v/>
      </c>
      <c r="B615" s="17" t="str">
        <f>IF(Dati!B615="","",Dati!B615)</f>
        <v/>
      </c>
      <c r="C615" s="17" t="str">
        <f>IF(B615="","",IF(ISNUMBER(B614),IF(B615-B614&lt;0,B615,IF(B615-B614=0,"",B615-B614)),B615))</f>
        <v/>
      </c>
      <c r="D615" s="18" t="str">
        <f>IF(Dati!C615="","",IF(Dati!C615&gt;1,Dati!C615/100,Dati!C615))</f>
        <v/>
      </c>
      <c r="E615" s="18" t="str">
        <f>IF(Dati!D615="","",IF(Dati!D615&gt;1,Dati!D615/100,Dati!D615))</f>
        <v/>
      </c>
      <c r="F615" s="18" t="str">
        <f>IF(OR(D615="",E615=""),"",IF(OR(D615&gt;1,E615&gt;1),(E615-D615)/100,E615-D615))</f>
        <v/>
      </c>
      <c r="G615" s="17" t="str">
        <f>IF(F615="","",IF(64*F615=0,"",64*F615))</f>
        <v/>
      </c>
      <c r="H615" s="19" t="str">
        <f>IF(Dati!E615="","",Dati!E615)</f>
        <v/>
      </c>
      <c r="I615" s="19" t="str">
        <f>IFERROR(IF(OR(C615="",C615=0),"",H615/C615*100),"")</f>
        <v/>
      </c>
      <c r="J615" s="20" t="str">
        <f>IF(Dati!F615="","",Dati!F615)</f>
        <v/>
      </c>
      <c r="K615" s="19" t="str">
        <f>IF(OR(H615="",J615=""),"",IF(H615*J615=0,"",H615*J615))</f>
        <v/>
      </c>
      <c r="L615" s="19" t="str">
        <f>IF(A615="","",IFERROR(IF(SUMPRODUCT((ISNUMBER(A$2:A615))*(A$2:A615&gt;1000)*(MONTH(IF(ISNUMBER(A$2:A615),A$2:A615,1))=MONTH(A615))*(YEAR(IF(ISNUMBER(A$2:A615),A$2:A615,1))=YEAR(A615))*IF(ISNUMBER(K$2:K615),K$2:K615,0))=0,"",SUMPRODUCT((ISNUMBER(A$2:A615))*(A$2:A615&gt;1000)*(MONTH(IF(ISNUMBER(A$2:A615),A$2:A615,1))=MONTH(A615))*(YEAR(IF(ISNUMBER(A$2:A615),A$2:A615,1))=YEAR(A615))*IF(ISNUMBER(K$2:K615),K$2:K615,0))),""))</f>
        <v/>
      </c>
      <c r="M615" s="21" t="str">
        <f>IF(A615="","",IFERROR(IF(SUMIF(N$2:N615,"CASA",K$2:K615)=0,"",SUMIF(N$2:N615,"CASA",K$2:K615)),""))</f>
        <v/>
      </c>
      <c r="N615" s="17" t="str">
        <f>IF(J615="","",IF(J615=0.2,"CASA",IF(Dati!G615="","",Dati!G615)))</f>
        <v/>
      </c>
    </row>
    <row r="616" spans="1:14" ht="15" customHeight="1" x14ac:dyDescent="0.2">
      <c r="A616" s="23" t="str">
        <f>IF(Dati!A616="","",Dati!A616)</f>
        <v/>
      </c>
      <c r="B616" s="17" t="str">
        <f>IF(Dati!B616="","",Dati!B616)</f>
        <v/>
      </c>
      <c r="C616" s="17" t="str">
        <f>IF(B616="","",IF(ISNUMBER(B615),IF(B616-B615&lt;0,B616,IF(B616-B615=0,"",B616-B615)),B616))</f>
        <v/>
      </c>
      <c r="D616" s="18" t="str">
        <f>IF(Dati!C616="","",IF(Dati!C616&gt;1,Dati!C616/100,Dati!C616))</f>
        <v/>
      </c>
      <c r="E616" s="18" t="str">
        <f>IF(Dati!D616="","",IF(Dati!D616&gt;1,Dati!D616/100,Dati!D616))</f>
        <v/>
      </c>
      <c r="F616" s="18" t="str">
        <f>IF(OR(D616="",E616=""),"",IF(OR(D616&gt;1,E616&gt;1),(E616-D616)/100,E616-D616))</f>
        <v/>
      </c>
      <c r="G616" s="17" t="str">
        <f>IF(F616="","",IF(64*F616=0,"",64*F616))</f>
        <v/>
      </c>
      <c r="H616" s="19" t="str">
        <f>IF(Dati!E616="","",Dati!E616)</f>
        <v/>
      </c>
      <c r="I616" s="19" t="str">
        <f>IFERROR(IF(OR(C616="",C616=0),"",H616/C616*100),"")</f>
        <v/>
      </c>
      <c r="J616" s="20" t="str">
        <f>IF(Dati!F616="","",Dati!F616)</f>
        <v/>
      </c>
      <c r="K616" s="19" t="str">
        <f>IF(OR(H616="",J616=""),"",IF(H616*J616=0,"",H616*J616))</f>
        <v/>
      </c>
      <c r="L616" s="19" t="str">
        <f>IF(A616="","",IFERROR(IF(SUMPRODUCT((ISNUMBER(A$2:A616))*(A$2:A616&gt;1000)*(MONTH(IF(ISNUMBER(A$2:A616),A$2:A616,1))=MONTH(A616))*(YEAR(IF(ISNUMBER(A$2:A616),A$2:A616,1))=YEAR(A616))*IF(ISNUMBER(K$2:K616),K$2:K616,0))=0,"",SUMPRODUCT((ISNUMBER(A$2:A616))*(A$2:A616&gt;1000)*(MONTH(IF(ISNUMBER(A$2:A616),A$2:A616,1))=MONTH(A616))*(YEAR(IF(ISNUMBER(A$2:A616),A$2:A616,1))=YEAR(A616))*IF(ISNUMBER(K$2:K616),K$2:K616,0))),""))</f>
        <v/>
      </c>
      <c r="M616" s="21" t="str">
        <f>IF(A616="","",IFERROR(IF(SUMIF(N$2:N616,"CASA",K$2:K616)=0,"",SUMIF(N$2:N616,"CASA",K$2:K616)),""))</f>
        <v/>
      </c>
      <c r="N616" s="17" t="str">
        <f>IF(J616="","",IF(J616=0.2,"CASA",IF(Dati!G616="","",Dati!G616)))</f>
        <v/>
      </c>
    </row>
    <row r="617" spans="1:14" ht="15" customHeight="1" x14ac:dyDescent="0.2">
      <c r="A617" s="23" t="str">
        <f>IF(Dati!A617="","",Dati!A617)</f>
        <v/>
      </c>
      <c r="B617" s="17" t="str">
        <f>IF(Dati!B617="","",Dati!B617)</f>
        <v/>
      </c>
      <c r="C617" s="17" t="str">
        <f>IF(B617="","",IF(ISNUMBER(B616),IF(B617-B616&lt;0,B617,IF(B617-B616=0,"",B617-B616)),B617))</f>
        <v/>
      </c>
      <c r="D617" s="18" t="str">
        <f>IF(Dati!C617="","",IF(Dati!C617&gt;1,Dati!C617/100,Dati!C617))</f>
        <v/>
      </c>
      <c r="E617" s="18" t="str">
        <f>IF(Dati!D617="","",IF(Dati!D617&gt;1,Dati!D617/100,Dati!D617))</f>
        <v/>
      </c>
      <c r="F617" s="18" t="str">
        <f>IF(OR(D617="",E617=""),"",IF(OR(D617&gt;1,E617&gt;1),(E617-D617)/100,E617-D617))</f>
        <v/>
      </c>
      <c r="G617" s="17" t="str">
        <f>IF(F617="","",IF(64*F617=0,"",64*F617))</f>
        <v/>
      </c>
      <c r="H617" s="19" t="str">
        <f>IF(Dati!E617="","",Dati!E617)</f>
        <v/>
      </c>
      <c r="I617" s="19" t="str">
        <f>IFERROR(IF(OR(C617="",C617=0),"",H617/C617*100),"")</f>
        <v/>
      </c>
      <c r="J617" s="20" t="str">
        <f>IF(Dati!F617="","",Dati!F617)</f>
        <v/>
      </c>
      <c r="K617" s="19" t="str">
        <f>IF(OR(H617="",J617=""),"",IF(H617*J617=0,"",H617*J617))</f>
        <v/>
      </c>
      <c r="L617" s="19" t="str">
        <f>IF(A617="","",IFERROR(IF(SUMPRODUCT((ISNUMBER(A$2:A617))*(A$2:A617&gt;1000)*(MONTH(IF(ISNUMBER(A$2:A617),A$2:A617,1))=MONTH(A617))*(YEAR(IF(ISNUMBER(A$2:A617),A$2:A617,1))=YEAR(A617))*IF(ISNUMBER(K$2:K617),K$2:K617,0))=0,"",SUMPRODUCT((ISNUMBER(A$2:A617))*(A$2:A617&gt;1000)*(MONTH(IF(ISNUMBER(A$2:A617),A$2:A617,1))=MONTH(A617))*(YEAR(IF(ISNUMBER(A$2:A617),A$2:A617,1))=YEAR(A617))*IF(ISNUMBER(K$2:K617),K$2:K617,0))),""))</f>
        <v/>
      </c>
      <c r="M617" s="21" t="str">
        <f>IF(A617="","",IFERROR(IF(SUMIF(N$2:N617,"CASA",K$2:K617)=0,"",SUMIF(N$2:N617,"CASA",K$2:K617)),""))</f>
        <v/>
      </c>
      <c r="N617" s="17" t="str">
        <f>IF(J617="","",IF(J617=0.2,"CASA",IF(Dati!G617="","",Dati!G617)))</f>
        <v/>
      </c>
    </row>
    <row r="618" spans="1:14" ht="15" customHeight="1" x14ac:dyDescent="0.2">
      <c r="A618" s="23" t="str">
        <f>IF(Dati!A618="","",Dati!A618)</f>
        <v/>
      </c>
      <c r="B618" s="17" t="str">
        <f>IF(Dati!B618="","",Dati!B618)</f>
        <v/>
      </c>
      <c r="C618" s="17" t="str">
        <f>IF(B618="","",IF(ISNUMBER(B617),IF(B618-B617&lt;0,B618,IF(B618-B617=0,"",B618-B617)),B618))</f>
        <v/>
      </c>
      <c r="D618" s="18" t="str">
        <f>IF(Dati!C618="","",IF(Dati!C618&gt;1,Dati!C618/100,Dati!C618))</f>
        <v/>
      </c>
      <c r="E618" s="18" t="str">
        <f>IF(Dati!D618="","",IF(Dati!D618&gt;1,Dati!D618/100,Dati!D618))</f>
        <v/>
      </c>
      <c r="F618" s="18" t="str">
        <f>IF(OR(D618="",E618=""),"",IF(OR(D618&gt;1,E618&gt;1),(E618-D618)/100,E618-D618))</f>
        <v/>
      </c>
      <c r="G618" s="17" t="str">
        <f>IF(F618="","",IF(64*F618=0,"",64*F618))</f>
        <v/>
      </c>
      <c r="H618" s="19" t="str">
        <f>IF(Dati!E618="","",Dati!E618)</f>
        <v/>
      </c>
      <c r="I618" s="19" t="str">
        <f>IFERROR(IF(OR(C618="",C618=0),"",H618/C618*100),"")</f>
        <v/>
      </c>
      <c r="J618" s="20" t="str">
        <f>IF(Dati!F618="","",Dati!F618)</f>
        <v/>
      </c>
      <c r="K618" s="19" t="str">
        <f>IF(OR(H618="",J618=""),"",IF(H618*J618=0,"",H618*J618))</f>
        <v/>
      </c>
      <c r="L618" s="19" t="str">
        <f>IF(A618="","",IFERROR(IF(SUMPRODUCT((ISNUMBER(A$2:A618))*(A$2:A618&gt;1000)*(MONTH(IF(ISNUMBER(A$2:A618),A$2:A618,1))=MONTH(A618))*(YEAR(IF(ISNUMBER(A$2:A618),A$2:A618,1))=YEAR(A618))*IF(ISNUMBER(K$2:K618),K$2:K618,0))=0,"",SUMPRODUCT((ISNUMBER(A$2:A618))*(A$2:A618&gt;1000)*(MONTH(IF(ISNUMBER(A$2:A618),A$2:A618,1))=MONTH(A618))*(YEAR(IF(ISNUMBER(A$2:A618),A$2:A618,1))=YEAR(A618))*IF(ISNUMBER(K$2:K618),K$2:K618,0))),""))</f>
        <v/>
      </c>
      <c r="M618" s="21" t="str">
        <f>IF(A618="","",IFERROR(IF(SUMIF(N$2:N618,"CASA",K$2:K618)=0,"",SUMIF(N$2:N618,"CASA",K$2:K618)),""))</f>
        <v/>
      </c>
      <c r="N618" s="17" t="str">
        <f>IF(J618="","",IF(J618=0.2,"CASA",IF(Dati!G618="","",Dati!G618)))</f>
        <v/>
      </c>
    </row>
    <row r="619" spans="1:14" ht="15" customHeight="1" x14ac:dyDescent="0.2">
      <c r="A619" s="23" t="str">
        <f>IF(Dati!A619="","",Dati!A619)</f>
        <v/>
      </c>
      <c r="B619" s="17" t="str">
        <f>IF(Dati!B619="","",Dati!B619)</f>
        <v/>
      </c>
      <c r="C619" s="17" t="str">
        <f>IF(B619="","",IF(ISNUMBER(B618),IF(B619-B618&lt;0,B619,IF(B619-B618=0,"",B619-B618)),B619))</f>
        <v/>
      </c>
      <c r="D619" s="18" t="str">
        <f>IF(Dati!C619="","",IF(Dati!C619&gt;1,Dati!C619/100,Dati!C619))</f>
        <v/>
      </c>
      <c r="E619" s="18" t="str">
        <f>IF(Dati!D619="","",IF(Dati!D619&gt;1,Dati!D619/100,Dati!D619))</f>
        <v/>
      </c>
      <c r="F619" s="18" t="str">
        <f>IF(OR(D619="",E619=""),"",IF(OR(D619&gt;1,E619&gt;1),(E619-D619)/100,E619-D619))</f>
        <v/>
      </c>
      <c r="G619" s="17" t="str">
        <f>IF(F619="","",IF(64*F619=0,"",64*F619))</f>
        <v/>
      </c>
      <c r="H619" s="19" t="str">
        <f>IF(Dati!E619="","",Dati!E619)</f>
        <v/>
      </c>
      <c r="I619" s="19" t="str">
        <f>IFERROR(IF(OR(C619="",C619=0),"",H619/C619*100),"")</f>
        <v/>
      </c>
      <c r="J619" s="20" t="str">
        <f>IF(Dati!F619="","",Dati!F619)</f>
        <v/>
      </c>
      <c r="K619" s="19" t="str">
        <f>IF(OR(H619="",J619=""),"",IF(H619*J619=0,"",H619*J619))</f>
        <v/>
      </c>
      <c r="L619" s="19" t="str">
        <f>IF(A619="","",IFERROR(IF(SUMPRODUCT((ISNUMBER(A$2:A619))*(A$2:A619&gt;1000)*(MONTH(IF(ISNUMBER(A$2:A619),A$2:A619,1))=MONTH(A619))*(YEAR(IF(ISNUMBER(A$2:A619),A$2:A619,1))=YEAR(A619))*IF(ISNUMBER(K$2:K619),K$2:K619,0))=0,"",SUMPRODUCT((ISNUMBER(A$2:A619))*(A$2:A619&gt;1000)*(MONTH(IF(ISNUMBER(A$2:A619),A$2:A619,1))=MONTH(A619))*(YEAR(IF(ISNUMBER(A$2:A619),A$2:A619,1))=YEAR(A619))*IF(ISNUMBER(K$2:K619),K$2:K619,0))),""))</f>
        <v/>
      </c>
      <c r="M619" s="21" t="str">
        <f>IF(A619="","",IFERROR(IF(SUMIF(N$2:N619,"CASA",K$2:K619)=0,"",SUMIF(N$2:N619,"CASA",K$2:K619)),""))</f>
        <v/>
      </c>
      <c r="N619" s="17" t="str">
        <f>IF(J619="","",IF(J619=0.2,"CASA",IF(Dati!G619="","",Dati!G619)))</f>
        <v/>
      </c>
    </row>
    <row r="620" spans="1:14" ht="15" customHeight="1" x14ac:dyDescent="0.2">
      <c r="A620" s="23" t="str">
        <f>IF(Dati!A620="","",Dati!A620)</f>
        <v/>
      </c>
      <c r="B620" s="17" t="str">
        <f>IF(Dati!B620="","",Dati!B620)</f>
        <v/>
      </c>
      <c r="C620" s="17" t="str">
        <f>IF(B620="","",IF(ISNUMBER(B619),IF(B620-B619&lt;0,B620,IF(B620-B619=0,"",B620-B619)),B620))</f>
        <v/>
      </c>
      <c r="D620" s="18" t="str">
        <f>IF(Dati!C620="","",IF(Dati!C620&gt;1,Dati!C620/100,Dati!C620))</f>
        <v/>
      </c>
      <c r="E620" s="18" t="str">
        <f>IF(Dati!D620="","",IF(Dati!D620&gt;1,Dati!D620/100,Dati!D620))</f>
        <v/>
      </c>
      <c r="F620" s="18" t="str">
        <f>IF(OR(D620="",E620=""),"",IF(OR(D620&gt;1,E620&gt;1),(E620-D620)/100,E620-D620))</f>
        <v/>
      </c>
      <c r="G620" s="17" t="str">
        <f>IF(F620="","",IF(64*F620=0,"",64*F620))</f>
        <v/>
      </c>
      <c r="H620" s="19" t="str">
        <f>IF(Dati!E620="","",Dati!E620)</f>
        <v/>
      </c>
      <c r="I620" s="19" t="str">
        <f>IFERROR(IF(OR(C620="",C620=0),"",H620/C620*100),"")</f>
        <v/>
      </c>
      <c r="J620" s="20" t="str">
        <f>IF(Dati!F620="","",Dati!F620)</f>
        <v/>
      </c>
      <c r="K620" s="19" t="str">
        <f>IF(OR(H620="",J620=""),"",IF(H620*J620=0,"",H620*J620))</f>
        <v/>
      </c>
      <c r="L620" s="19" t="str">
        <f>IF(A620="","",IFERROR(IF(SUMPRODUCT((ISNUMBER(A$2:A620))*(A$2:A620&gt;1000)*(MONTH(IF(ISNUMBER(A$2:A620),A$2:A620,1))=MONTH(A620))*(YEAR(IF(ISNUMBER(A$2:A620),A$2:A620,1))=YEAR(A620))*IF(ISNUMBER(K$2:K620),K$2:K620,0))=0,"",SUMPRODUCT((ISNUMBER(A$2:A620))*(A$2:A620&gt;1000)*(MONTH(IF(ISNUMBER(A$2:A620),A$2:A620,1))=MONTH(A620))*(YEAR(IF(ISNUMBER(A$2:A620),A$2:A620,1))=YEAR(A620))*IF(ISNUMBER(K$2:K620),K$2:K620,0))),""))</f>
        <v/>
      </c>
      <c r="M620" s="21" t="str">
        <f>IF(A620="","",IFERROR(IF(SUMIF(N$2:N620,"CASA",K$2:K620)=0,"",SUMIF(N$2:N620,"CASA",K$2:K620)),""))</f>
        <v/>
      </c>
      <c r="N620" s="17" t="str">
        <f>IF(J620="","",IF(J620=0.2,"CASA",IF(Dati!G620="","",Dati!G620)))</f>
        <v/>
      </c>
    </row>
    <row r="621" spans="1:14" ht="15" customHeight="1" x14ac:dyDescent="0.2">
      <c r="A621" s="23" t="str">
        <f>IF(Dati!A621="","",Dati!A621)</f>
        <v/>
      </c>
      <c r="B621" s="17" t="str">
        <f>IF(Dati!B621="","",Dati!B621)</f>
        <v/>
      </c>
      <c r="C621" s="17" t="str">
        <f>IF(B621="","",IF(ISNUMBER(B620),IF(B621-B620&lt;0,B621,IF(B621-B620=0,"",B621-B620)),B621))</f>
        <v/>
      </c>
      <c r="D621" s="18" t="str">
        <f>IF(Dati!C621="","",IF(Dati!C621&gt;1,Dati!C621/100,Dati!C621))</f>
        <v/>
      </c>
      <c r="E621" s="18" t="str">
        <f>IF(Dati!D621="","",IF(Dati!D621&gt;1,Dati!D621/100,Dati!D621))</f>
        <v/>
      </c>
      <c r="F621" s="18" t="str">
        <f>IF(OR(D621="",E621=""),"",IF(OR(D621&gt;1,E621&gt;1),(E621-D621)/100,E621-D621))</f>
        <v/>
      </c>
      <c r="G621" s="17" t="str">
        <f>IF(F621="","",IF(64*F621=0,"",64*F621))</f>
        <v/>
      </c>
      <c r="H621" s="19" t="str">
        <f>IF(Dati!E621="","",Dati!E621)</f>
        <v/>
      </c>
      <c r="I621" s="19" t="str">
        <f>IFERROR(IF(OR(C621="",C621=0),"",H621/C621*100),"")</f>
        <v/>
      </c>
      <c r="J621" s="20" t="str">
        <f>IF(Dati!F621="","",Dati!F621)</f>
        <v/>
      </c>
      <c r="K621" s="19" t="str">
        <f>IF(OR(H621="",J621=""),"",IF(H621*J621=0,"",H621*J621))</f>
        <v/>
      </c>
      <c r="L621" s="19" t="str">
        <f>IF(A621="","",IFERROR(IF(SUMPRODUCT((ISNUMBER(A$2:A621))*(A$2:A621&gt;1000)*(MONTH(IF(ISNUMBER(A$2:A621),A$2:A621,1))=MONTH(A621))*(YEAR(IF(ISNUMBER(A$2:A621),A$2:A621,1))=YEAR(A621))*IF(ISNUMBER(K$2:K621),K$2:K621,0))=0,"",SUMPRODUCT((ISNUMBER(A$2:A621))*(A$2:A621&gt;1000)*(MONTH(IF(ISNUMBER(A$2:A621),A$2:A621,1))=MONTH(A621))*(YEAR(IF(ISNUMBER(A$2:A621),A$2:A621,1))=YEAR(A621))*IF(ISNUMBER(K$2:K621),K$2:K621,0))),""))</f>
        <v/>
      </c>
      <c r="M621" s="21" t="str">
        <f>IF(A621="","",IFERROR(IF(SUMIF(N$2:N621,"CASA",K$2:K621)=0,"",SUMIF(N$2:N621,"CASA",K$2:K621)),""))</f>
        <v/>
      </c>
      <c r="N621" s="17" t="str">
        <f>IF(J621="","",IF(J621=0.2,"CASA",IF(Dati!G621="","",Dati!G621)))</f>
        <v/>
      </c>
    </row>
    <row r="622" spans="1:14" ht="15" customHeight="1" x14ac:dyDescent="0.2">
      <c r="A622" s="23" t="str">
        <f>IF(Dati!A622="","",Dati!A622)</f>
        <v/>
      </c>
      <c r="B622" s="17" t="str">
        <f>IF(Dati!B622="","",Dati!B622)</f>
        <v/>
      </c>
      <c r="C622" s="17" t="str">
        <f>IF(B622="","",IF(ISNUMBER(B621),IF(B622-B621&lt;0,B622,IF(B622-B621=0,"",B622-B621)),B622))</f>
        <v/>
      </c>
      <c r="D622" s="18" t="str">
        <f>IF(Dati!C622="","",IF(Dati!C622&gt;1,Dati!C622/100,Dati!C622))</f>
        <v/>
      </c>
      <c r="E622" s="18" t="str">
        <f>IF(Dati!D622="","",IF(Dati!D622&gt;1,Dati!D622/100,Dati!D622))</f>
        <v/>
      </c>
      <c r="F622" s="18" t="str">
        <f>IF(OR(D622="",E622=""),"",IF(OR(D622&gt;1,E622&gt;1),(E622-D622)/100,E622-D622))</f>
        <v/>
      </c>
      <c r="G622" s="17" t="str">
        <f>IF(F622="","",IF(64*F622=0,"",64*F622))</f>
        <v/>
      </c>
      <c r="H622" s="19" t="str">
        <f>IF(Dati!E622="","",Dati!E622)</f>
        <v/>
      </c>
      <c r="I622" s="19" t="str">
        <f>IFERROR(IF(OR(C622="",C622=0),"",H622/C622*100),"")</f>
        <v/>
      </c>
      <c r="J622" s="20" t="str">
        <f>IF(Dati!F622="","",Dati!F622)</f>
        <v/>
      </c>
      <c r="K622" s="19" t="str">
        <f>IF(OR(H622="",J622=""),"",IF(H622*J622=0,"",H622*J622))</f>
        <v/>
      </c>
      <c r="L622" s="19" t="str">
        <f>IF(A622="","",IFERROR(IF(SUMPRODUCT((ISNUMBER(A$2:A622))*(A$2:A622&gt;1000)*(MONTH(IF(ISNUMBER(A$2:A622),A$2:A622,1))=MONTH(A622))*(YEAR(IF(ISNUMBER(A$2:A622),A$2:A622,1))=YEAR(A622))*IF(ISNUMBER(K$2:K622),K$2:K622,0))=0,"",SUMPRODUCT((ISNUMBER(A$2:A622))*(A$2:A622&gt;1000)*(MONTH(IF(ISNUMBER(A$2:A622),A$2:A622,1))=MONTH(A622))*(YEAR(IF(ISNUMBER(A$2:A622),A$2:A622,1))=YEAR(A622))*IF(ISNUMBER(K$2:K622),K$2:K622,0))),""))</f>
        <v/>
      </c>
      <c r="M622" s="21" t="str">
        <f>IF(A622="","",IFERROR(IF(SUMIF(N$2:N622,"CASA",K$2:K622)=0,"",SUMIF(N$2:N622,"CASA",K$2:K622)),""))</f>
        <v/>
      </c>
      <c r="N622" s="17" t="str">
        <f>IF(J622="","",IF(J622=0.2,"CASA",IF(Dati!G622="","",Dati!G622)))</f>
        <v/>
      </c>
    </row>
    <row r="623" spans="1:14" ht="15" customHeight="1" x14ac:dyDescent="0.2">
      <c r="A623" s="23" t="str">
        <f>IF(Dati!A623="","",Dati!A623)</f>
        <v/>
      </c>
      <c r="B623" s="17" t="str">
        <f>IF(Dati!B623="","",Dati!B623)</f>
        <v/>
      </c>
      <c r="C623" s="17" t="str">
        <f>IF(B623="","",IF(ISNUMBER(B622),IF(B623-B622&lt;0,B623,IF(B623-B622=0,"",B623-B622)),B623))</f>
        <v/>
      </c>
      <c r="D623" s="18" t="str">
        <f>IF(Dati!C623="","",IF(Dati!C623&gt;1,Dati!C623/100,Dati!C623))</f>
        <v/>
      </c>
      <c r="E623" s="18" t="str">
        <f>IF(Dati!D623="","",IF(Dati!D623&gt;1,Dati!D623/100,Dati!D623))</f>
        <v/>
      </c>
      <c r="F623" s="18" t="str">
        <f>IF(OR(D623="",E623=""),"",IF(OR(D623&gt;1,E623&gt;1),(E623-D623)/100,E623-D623))</f>
        <v/>
      </c>
      <c r="G623" s="17" t="str">
        <f>IF(F623="","",IF(64*F623=0,"",64*F623))</f>
        <v/>
      </c>
      <c r="H623" s="19" t="str">
        <f>IF(Dati!E623="","",Dati!E623)</f>
        <v/>
      </c>
      <c r="I623" s="19" t="str">
        <f>IFERROR(IF(OR(C623="",C623=0),"",H623/C623*100),"")</f>
        <v/>
      </c>
      <c r="J623" s="20" t="str">
        <f>IF(Dati!F623="","",Dati!F623)</f>
        <v/>
      </c>
      <c r="K623" s="19" t="str">
        <f>IF(OR(H623="",J623=""),"",IF(H623*J623=0,"",H623*J623))</f>
        <v/>
      </c>
      <c r="L623" s="19" t="str">
        <f>IF(A623="","",IFERROR(IF(SUMPRODUCT((ISNUMBER(A$2:A623))*(A$2:A623&gt;1000)*(MONTH(IF(ISNUMBER(A$2:A623),A$2:A623,1))=MONTH(A623))*(YEAR(IF(ISNUMBER(A$2:A623),A$2:A623,1))=YEAR(A623))*IF(ISNUMBER(K$2:K623),K$2:K623,0))=0,"",SUMPRODUCT((ISNUMBER(A$2:A623))*(A$2:A623&gt;1000)*(MONTH(IF(ISNUMBER(A$2:A623),A$2:A623,1))=MONTH(A623))*(YEAR(IF(ISNUMBER(A$2:A623),A$2:A623,1))=YEAR(A623))*IF(ISNUMBER(K$2:K623),K$2:K623,0))),""))</f>
        <v/>
      </c>
      <c r="M623" s="21" t="str">
        <f>IF(A623="","",IFERROR(IF(SUMIF(N$2:N623,"CASA",K$2:K623)=0,"",SUMIF(N$2:N623,"CASA",K$2:K623)),""))</f>
        <v/>
      </c>
      <c r="N623" s="17" t="str">
        <f>IF(J623="","",IF(J623=0.2,"CASA",IF(Dati!G623="","",Dati!G623)))</f>
        <v/>
      </c>
    </row>
    <row r="624" spans="1:14" ht="15" customHeight="1" x14ac:dyDescent="0.2">
      <c r="A624" s="23" t="str">
        <f>IF(Dati!A624="","",Dati!A624)</f>
        <v/>
      </c>
      <c r="B624" s="17" t="str">
        <f>IF(Dati!B624="","",Dati!B624)</f>
        <v/>
      </c>
      <c r="C624" s="17" t="str">
        <f>IF(B624="","",IF(ISNUMBER(B623),IF(B624-B623&lt;0,B624,IF(B624-B623=0,"",B624-B623)),B624))</f>
        <v/>
      </c>
      <c r="D624" s="18" t="str">
        <f>IF(Dati!C624="","",IF(Dati!C624&gt;1,Dati!C624/100,Dati!C624))</f>
        <v/>
      </c>
      <c r="E624" s="18" t="str">
        <f>IF(Dati!D624="","",IF(Dati!D624&gt;1,Dati!D624/100,Dati!D624))</f>
        <v/>
      </c>
      <c r="F624" s="18" t="str">
        <f>IF(OR(D624="",E624=""),"",IF(OR(D624&gt;1,E624&gt;1),(E624-D624)/100,E624-D624))</f>
        <v/>
      </c>
      <c r="G624" s="17" t="str">
        <f>IF(F624="","",IF(64*F624=0,"",64*F624))</f>
        <v/>
      </c>
      <c r="H624" s="19" t="str">
        <f>IF(Dati!E624="","",Dati!E624)</f>
        <v/>
      </c>
      <c r="I624" s="19" t="str">
        <f>IFERROR(IF(OR(C624="",C624=0),"",H624/C624*100),"")</f>
        <v/>
      </c>
      <c r="J624" s="20" t="str">
        <f>IF(Dati!F624="","",Dati!F624)</f>
        <v/>
      </c>
      <c r="K624" s="19" t="str">
        <f>IF(OR(H624="",J624=""),"",IF(H624*J624=0,"",H624*J624))</f>
        <v/>
      </c>
      <c r="L624" s="19" t="str">
        <f>IF(A624="","",IFERROR(IF(SUMPRODUCT((ISNUMBER(A$2:A624))*(A$2:A624&gt;1000)*(MONTH(IF(ISNUMBER(A$2:A624),A$2:A624,1))=MONTH(A624))*(YEAR(IF(ISNUMBER(A$2:A624),A$2:A624,1))=YEAR(A624))*IF(ISNUMBER(K$2:K624),K$2:K624,0))=0,"",SUMPRODUCT((ISNUMBER(A$2:A624))*(A$2:A624&gt;1000)*(MONTH(IF(ISNUMBER(A$2:A624),A$2:A624,1))=MONTH(A624))*(YEAR(IF(ISNUMBER(A$2:A624),A$2:A624,1))=YEAR(A624))*IF(ISNUMBER(K$2:K624),K$2:K624,0))),""))</f>
        <v/>
      </c>
      <c r="M624" s="21" t="str">
        <f>IF(A624="","",IFERROR(IF(SUMIF(N$2:N624,"CASA",K$2:K624)=0,"",SUMIF(N$2:N624,"CASA",K$2:K624)),""))</f>
        <v/>
      </c>
      <c r="N624" s="17" t="str">
        <f>IF(J624="","",IF(J624=0.2,"CASA",IF(Dati!G624="","",Dati!G624)))</f>
        <v/>
      </c>
    </row>
    <row r="625" spans="1:14" ht="15" customHeight="1" x14ac:dyDescent="0.2">
      <c r="A625" s="23" t="str">
        <f>IF(Dati!A625="","",Dati!A625)</f>
        <v/>
      </c>
      <c r="B625" s="17" t="str">
        <f>IF(Dati!B625="","",Dati!B625)</f>
        <v/>
      </c>
      <c r="C625" s="17" t="str">
        <f>IF(B625="","",IF(ISNUMBER(B624),IF(B625-B624&lt;0,B625,IF(B625-B624=0,"",B625-B624)),B625))</f>
        <v/>
      </c>
      <c r="D625" s="18" t="str">
        <f>IF(Dati!C625="","",IF(Dati!C625&gt;1,Dati!C625/100,Dati!C625))</f>
        <v/>
      </c>
      <c r="E625" s="18" t="str">
        <f>IF(Dati!D625="","",IF(Dati!D625&gt;1,Dati!D625/100,Dati!D625))</f>
        <v/>
      </c>
      <c r="F625" s="18" t="str">
        <f>IF(OR(D625="",E625=""),"",IF(OR(D625&gt;1,E625&gt;1),(E625-D625)/100,E625-D625))</f>
        <v/>
      </c>
      <c r="G625" s="17" t="str">
        <f>IF(F625="","",IF(64*F625=0,"",64*F625))</f>
        <v/>
      </c>
      <c r="H625" s="19" t="str">
        <f>IF(Dati!E625="","",Dati!E625)</f>
        <v/>
      </c>
      <c r="I625" s="19" t="str">
        <f>IFERROR(IF(OR(C625="",C625=0),"",H625/C625*100),"")</f>
        <v/>
      </c>
      <c r="J625" s="20" t="str">
        <f>IF(Dati!F625="","",Dati!F625)</f>
        <v/>
      </c>
      <c r="K625" s="19" t="str">
        <f>IF(OR(H625="",J625=""),"",IF(H625*J625=0,"",H625*J625))</f>
        <v/>
      </c>
      <c r="L625" s="19" t="str">
        <f>IF(A625="","",IFERROR(IF(SUMPRODUCT((ISNUMBER(A$2:A625))*(A$2:A625&gt;1000)*(MONTH(IF(ISNUMBER(A$2:A625),A$2:A625,1))=MONTH(A625))*(YEAR(IF(ISNUMBER(A$2:A625),A$2:A625,1))=YEAR(A625))*IF(ISNUMBER(K$2:K625),K$2:K625,0))=0,"",SUMPRODUCT((ISNUMBER(A$2:A625))*(A$2:A625&gt;1000)*(MONTH(IF(ISNUMBER(A$2:A625),A$2:A625,1))=MONTH(A625))*(YEAR(IF(ISNUMBER(A$2:A625),A$2:A625,1))=YEAR(A625))*IF(ISNUMBER(K$2:K625),K$2:K625,0))),""))</f>
        <v/>
      </c>
      <c r="M625" s="21" t="str">
        <f>IF(A625="","",IFERROR(IF(SUMIF(N$2:N625,"CASA",K$2:K625)=0,"",SUMIF(N$2:N625,"CASA",K$2:K625)),""))</f>
        <v/>
      </c>
      <c r="N625" s="17" t="str">
        <f>IF(J625="","",IF(J625=0.2,"CASA",IF(Dati!G625="","",Dati!G625)))</f>
        <v/>
      </c>
    </row>
    <row r="626" spans="1:14" ht="15" customHeight="1" x14ac:dyDescent="0.2">
      <c r="A626" s="23" t="str">
        <f>IF(Dati!A626="","",Dati!A626)</f>
        <v/>
      </c>
      <c r="B626" s="17" t="str">
        <f>IF(Dati!B626="","",Dati!B626)</f>
        <v/>
      </c>
      <c r="C626" s="17" t="str">
        <f>IF(B626="","",IF(ISNUMBER(B625),IF(B626-B625&lt;0,B626,IF(B626-B625=0,"",B626-B625)),B626))</f>
        <v/>
      </c>
      <c r="D626" s="18" t="str">
        <f>IF(Dati!C626="","",IF(Dati!C626&gt;1,Dati!C626/100,Dati!C626))</f>
        <v/>
      </c>
      <c r="E626" s="18" t="str">
        <f>IF(Dati!D626="","",IF(Dati!D626&gt;1,Dati!D626/100,Dati!D626))</f>
        <v/>
      </c>
      <c r="F626" s="18" t="str">
        <f>IF(OR(D626="",E626=""),"",IF(OR(D626&gt;1,E626&gt;1),(E626-D626)/100,E626-D626))</f>
        <v/>
      </c>
      <c r="G626" s="17" t="str">
        <f>IF(F626="","",IF(64*F626=0,"",64*F626))</f>
        <v/>
      </c>
      <c r="H626" s="19" t="str">
        <f>IF(Dati!E626="","",Dati!E626)</f>
        <v/>
      </c>
      <c r="I626" s="19" t="str">
        <f>IFERROR(IF(OR(C626="",C626=0),"",H626/C626*100),"")</f>
        <v/>
      </c>
      <c r="J626" s="20" t="str">
        <f>IF(Dati!F626="","",Dati!F626)</f>
        <v/>
      </c>
      <c r="K626" s="19" t="str">
        <f>IF(OR(H626="",J626=""),"",IF(H626*J626=0,"",H626*J626))</f>
        <v/>
      </c>
      <c r="L626" s="19" t="str">
        <f>IF(A626="","",IFERROR(IF(SUMPRODUCT((ISNUMBER(A$2:A626))*(A$2:A626&gt;1000)*(MONTH(IF(ISNUMBER(A$2:A626),A$2:A626,1))=MONTH(A626))*(YEAR(IF(ISNUMBER(A$2:A626),A$2:A626,1))=YEAR(A626))*IF(ISNUMBER(K$2:K626),K$2:K626,0))=0,"",SUMPRODUCT((ISNUMBER(A$2:A626))*(A$2:A626&gt;1000)*(MONTH(IF(ISNUMBER(A$2:A626),A$2:A626,1))=MONTH(A626))*(YEAR(IF(ISNUMBER(A$2:A626),A$2:A626,1))=YEAR(A626))*IF(ISNUMBER(K$2:K626),K$2:K626,0))),""))</f>
        <v/>
      </c>
      <c r="M626" s="21" t="str">
        <f>IF(A626="","",IFERROR(IF(SUMIF(N$2:N626,"CASA",K$2:K626)=0,"",SUMIF(N$2:N626,"CASA",K$2:K626)),""))</f>
        <v/>
      </c>
      <c r="N626" s="17" t="str">
        <f>IF(J626="","",IF(J626=0.2,"CASA",IF(Dati!G626="","",Dati!G626)))</f>
        <v/>
      </c>
    </row>
    <row r="627" spans="1:14" ht="15" customHeight="1" x14ac:dyDescent="0.2">
      <c r="A627" s="23" t="str">
        <f>IF(Dati!A627="","",Dati!A627)</f>
        <v/>
      </c>
      <c r="B627" s="17" t="str">
        <f>IF(Dati!B627="","",Dati!B627)</f>
        <v/>
      </c>
      <c r="C627" s="17" t="str">
        <f>IF(B627="","",IF(ISNUMBER(B626),IF(B627-B626&lt;0,B627,IF(B627-B626=0,"",B627-B626)),B627))</f>
        <v/>
      </c>
      <c r="D627" s="18" t="str">
        <f>IF(Dati!C627="","",IF(Dati!C627&gt;1,Dati!C627/100,Dati!C627))</f>
        <v/>
      </c>
      <c r="E627" s="18" t="str">
        <f>IF(Dati!D627="","",IF(Dati!D627&gt;1,Dati!D627/100,Dati!D627))</f>
        <v/>
      </c>
      <c r="F627" s="18" t="str">
        <f>IF(OR(D627="",E627=""),"",IF(OR(D627&gt;1,E627&gt;1),(E627-D627)/100,E627-D627))</f>
        <v/>
      </c>
      <c r="G627" s="17" t="str">
        <f>IF(F627="","",IF(64*F627=0,"",64*F627))</f>
        <v/>
      </c>
      <c r="H627" s="19" t="str">
        <f>IF(Dati!E627="","",Dati!E627)</f>
        <v/>
      </c>
      <c r="I627" s="19" t="str">
        <f>IFERROR(IF(OR(C627="",C627=0),"",H627/C627*100),"")</f>
        <v/>
      </c>
      <c r="J627" s="20" t="str">
        <f>IF(Dati!F627="","",Dati!F627)</f>
        <v/>
      </c>
      <c r="K627" s="19" t="str">
        <f>IF(OR(H627="",J627=""),"",IF(H627*J627=0,"",H627*J627))</f>
        <v/>
      </c>
      <c r="L627" s="19" t="str">
        <f>IF(A627="","",IFERROR(IF(SUMPRODUCT((ISNUMBER(A$2:A627))*(A$2:A627&gt;1000)*(MONTH(IF(ISNUMBER(A$2:A627),A$2:A627,1))=MONTH(A627))*(YEAR(IF(ISNUMBER(A$2:A627),A$2:A627,1))=YEAR(A627))*IF(ISNUMBER(K$2:K627),K$2:K627,0))=0,"",SUMPRODUCT((ISNUMBER(A$2:A627))*(A$2:A627&gt;1000)*(MONTH(IF(ISNUMBER(A$2:A627),A$2:A627,1))=MONTH(A627))*(YEAR(IF(ISNUMBER(A$2:A627),A$2:A627,1))=YEAR(A627))*IF(ISNUMBER(K$2:K627),K$2:K627,0))),""))</f>
        <v/>
      </c>
      <c r="M627" s="21" t="str">
        <f>IF(A627="","",IFERROR(IF(SUMIF(N$2:N627,"CASA",K$2:K627)=0,"",SUMIF(N$2:N627,"CASA",K$2:K627)),""))</f>
        <v/>
      </c>
      <c r="N627" s="17" t="str">
        <f>IF(J627="","",IF(J627=0.2,"CASA",IF(Dati!G627="","",Dati!G627)))</f>
        <v/>
      </c>
    </row>
    <row r="628" spans="1:14" ht="15" customHeight="1" x14ac:dyDescent="0.2">
      <c r="A628" s="23" t="str">
        <f>IF(Dati!A628="","",Dati!A628)</f>
        <v/>
      </c>
      <c r="B628" s="17" t="str">
        <f>IF(Dati!B628="","",Dati!B628)</f>
        <v/>
      </c>
      <c r="C628" s="17" t="str">
        <f>IF(B628="","",IF(ISNUMBER(B627),IF(B628-B627&lt;0,B628,IF(B628-B627=0,"",B628-B627)),B628))</f>
        <v/>
      </c>
      <c r="D628" s="18" t="str">
        <f>IF(Dati!C628="","",IF(Dati!C628&gt;1,Dati!C628/100,Dati!C628))</f>
        <v/>
      </c>
      <c r="E628" s="18" t="str">
        <f>IF(Dati!D628="","",IF(Dati!D628&gt;1,Dati!D628/100,Dati!D628))</f>
        <v/>
      </c>
      <c r="F628" s="18" t="str">
        <f>IF(OR(D628="",E628=""),"",IF(OR(D628&gt;1,E628&gt;1),(E628-D628)/100,E628-D628))</f>
        <v/>
      </c>
      <c r="G628" s="17" t="str">
        <f>IF(F628="","",IF(64*F628=0,"",64*F628))</f>
        <v/>
      </c>
      <c r="H628" s="19" t="str">
        <f>IF(Dati!E628="","",Dati!E628)</f>
        <v/>
      </c>
      <c r="I628" s="19" t="str">
        <f>IFERROR(IF(OR(C628="",C628=0),"",H628/C628*100),"")</f>
        <v/>
      </c>
      <c r="J628" s="20" t="str">
        <f>IF(Dati!F628="","",Dati!F628)</f>
        <v/>
      </c>
      <c r="K628" s="19" t="str">
        <f>IF(OR(H628="",J628=""),"",IF(H628*J628=0,"",H628*J628))</f>
        <v/>
      </c>
      <c r="L628" s="19" t="str">
        <f>IF(A628="","",IFERROR(IF(SUMPRODUCT((ISNUMBER(A$2:A628))*(A$2:A628&gt;1000)*(MONTH(IF(ISNUMBER(A$2:A628),A$2:A628,1))=MONTH(A628))*(YEAR(IF(ISNUMBER(A$2:A628),A$2:A628,1))=YEAR(A628))*IF(ISNUMBER(K$2:K628),K$2:K628,0))=0,"",SUMPRODUCT((ISNUMBER(A$2:A628))*(A$2:A628&gt;1000)*(MONTH(IF(ISNUMBER(A$2:A628),A$2:A628,1))=MONTH(A628))*(YEAR(IF(ISNUMBER(A$2:A628),A$2:A628,1))=YEAR(A628))*IF(ISNUMBER(K$2:K628),K$2:K628,0))),""))</f>
        <v/>
      </c>
      <c r="M628" s="21" t="str">
        <f>IF(A628="","",IFERROR(IF(SUMIF(N$2:N628,"CASA",K$2:K628)=0,"",SUMIF(N$2:N628,"CASA",K$2:K628)),""))</f>
        <v/>
      </c>
      <c r="N628" s="17" t="str">
        <f>IF(J628="","",IF(J628=0.2,"CASA",IF(Dati!G628="","",Dati!G628)))</f>
        <v/>
      </c>
    </row>
    <row r="629" spans="1:14" ht="15" customHeight="1" x14ac:dyDescent="0.2">
      <c r="A629" s="23" t="str">
        <f>IF(Dati!A629="","",Dati!A629)</f>
        <v/>
      </c>
      <c r="B629" s="17" t="str">
        <f>IF(Dati!B629="","",Dati!B629)</f>
        <v/>
      </c>
      <c r="C629" s="17" t="str">
        <f>IF(B629="","",IF(ISNUMBER(B628),IF(B629-B628&lt;0,B629,IF(B629-B628=0,"",B629-B628)),B629))</f>
        <v/>
      </c>
      <c r="D629" s="18" t="str">
        <f>IF(Dati!C629="","",IF(Dati!C629&gt;1,Dati!C629/100,Dati!C629))</f>
        <v/>
      </c>
      <c r="E629" s="18" t="str">
        <f>IF(Dati!D629="","",IF(Dati!D629&gt;1,Dati!D629/100,Dati!D629))</f>
        <v/>
      </c>
      <c r="F629" s="18" t="str">
        <f>IF(OR(D629="",E629=""),"",IF(OR(D629&gt;1,E629&gt;1),(E629-D629)/100,E629-D629))</f>
        <v/>
      </c>
      <c r="G629" s="17" t="str">
        <f>IF(F629="","",IF(64*F629=0,"",64*F629))</f>
        <v/>
      </c>
      <c r="H629" s="19" t="str">
        <f>IF(Dati!E629="","",Dati!E629)</f>
        <v/>
      </c>
      <c r="I629" s="19" t="str">
        <f>IFERROR(IF(OR(C629="",C629=0),"",H629/C629*100),"")</f>
        <v/>
      </c>
      <c r="J629" s="20" t="str">
        <f>IF(Dati!F629="","",Dati!F629)</f>
        <v/>
      </c>
      <c r="K629" s="19" t="str">
        <f>IF(OR(H629="",J629=""),"",IF(H629*J629=0,"",H629*J629))</f>
        <v/>
      </c>
      <c r="L629" s="19" t="str">
        <f>IF(A629="","",IFERROR(IF(SUMPRODUCT((ISNUMBER(A$2:A629))*(A$2:A629&gt;1000)*(MONTH(IF(ISNUMBER(A$2:A629),A$2:A629,1))=MONTH(A629))*(YEAR(IF(ISNUMBER(A$2:A629),A$2:A629,1))=YEAR(A629))*IF(ISNUMBER(K$2:K629),K$2:K629,0))=0,"",SUMPRODUCT((ISNUMBER(A$2:A629))*(A$2:A629&gt;1000)*(MONTH(IF(ISNUMBER(A$2:A629),A$2:A629,1))=MONTH(A629))*(YEAR(IF(ISNUMBER(A$2:A629),A$2:A629,1))=YEAR(A629))*IF(ISNUMBER(K$2:K629),K$2:K629,0))),""))</f>
        <v/>
      </c>
      <c r="M629" s="21" t="str">
        <f>IF(A629="","",IFERROR(IF(SUMIF(N$2:N629,"CASA",K$2:K629)=0,"",SUMIF(N$2:N629,"CASA",K$2:K629)),""))</f>
        <v/>
      </c>
      <c r="N629" s="17" t="str">
        <f>IF(J629="","",IF(J629=0.2,"CASA",IF(Dati!G629="","",Dati!G629)))</f>
        <v/>
      </c>
    </row>
    <row r="630" spans="1:14" ht="15" customHeight="1" x14ac:dyDescent="0.2">
      <c r="A630" s="23" t="str">
        <f>IF(Dati!A630="","",Dati!A630)</f>
        <v/>
      </c>
      <c r="B630" s="17" t="str">
        <f>IF(Dati!B630="","",Dati!B630)</f>
        <v/>
      </c>
      <c r="C630" s="17" t="str">
        <f>IF(B630="","",IF(ISNUMBER(B629),IF(B630-B629&lt;0,B630,IF(B630-B629=0,"",B630-B629)),B630))</f>
        <v/>
      </c>
      <c r="D630" s="18" t="str">
        <f>IF(Dati!C630="","",IF(Dati!C630&gt;1,Dati!C630/100,Dati!C630))</f>
        <v/>
      </c>
      <c r="E630" s="18" t="str">
        <f>IF(Dati!D630="","",IF(Dati!D630&gt;1,Dati!D630/100,Dati!D630))</f>
        <v/>
      </c>
      <c r="F630" s="18" t="str">
        <f>IF(OR(D630="",E630=""),"",IF(OR(D630&gt;1,E630&gt;1),(E630-D630)/100,E630-D630))</f>
        <v/>
      </c>
      <c r="G630" s="17" t="str">
        <f>IF(F630="","",IF(64*F630=0,"",64*F630))</f>
        <v/>
      </c>
      <c r="H630" s="19" t="str">
        <f>IF(Dati!E630="","",Dati!E630)</f>
        <v/>
      </c>
      <c r="I630" s="19" t="str">
        <f>IFERROR(IF(OR(C630="",C630=0),"",H630/C630*100),"")</f>
        <v/>
      </c>
      <c r="J630" s="20" t="str">
        <f>IF(Dati!F630="","",Dati!F630)</f>
        <v/>
      </c>
      <c r="K630" s="19" t="str">
        <f>IF(OR(H630="",J630=""),"",IF(H630*J630=0,"",H630*J630))</f>
        <v/>
      </c>
      <c r="L630" s="19" t="str">
        <f>IF(A630="","",IFERROR(IF(SUMPRODUCT((ISNUMBER(A$2:A630))*(A$2:A630&gt;1000)*(MONTH(IF(ISNUMBER(A$2:A630),A$2:A630,1))=MONTH(A630))*(YEAR(IF(ISNUMBER(A$2:A630),A$2:A630,1))=YEAR(A630))*IF(ISNUMBER(K$2:K630),K$2:K630,0))=0,"",SUMPRODUCT((ISNUMBER(A$2:A630))*(A$2:A630&gt;1000)*(MONTH(IF(ISNUMBER(A$2:A630),A$2:A630,1))=MONTH(A630))*(YEAR(IF(ISNUMBER(A$2:A630),A$2:A630,1))=YEAR(A630))*IF(ISNUMBER(K$2:K630),K$2:K630,0))),""))</f>
        <v/>
      </c>
      <c r="M630" s="21" t="str">
        <f>IF(A630="","",IFERROR(IF(SUMIF(N$2:N630,"CASA",K$2:K630)=0,"",SUMIF(N$2:N630,"CASA",K$2:K630)),""))</f>
        <v/>
      </c>
      <c r="N630" s="17" t="str">
        <f>IF(J630="","",IF(J630=0.2,"CASA",IF(Dati!G630="","",Dati!G630)))</f>
        <v/>
      </c>
    </row>
    <row r="631" spans="1:14" ht="15" customHeight="1" x14ac:dyDescent="0.2">
      <c r="A631" s="23" t="str">
        <f>IF(Dati!A631="","",Dati!A631)</f>
        <v/>
      </c>
      <c r="B631" s="17" t="str">
        <f>IF(Dati!B631="","",Dati!B631)</f>
        <v/>
      </c>
      <c r="C631" s="17" t="str">
        <f>IF(B631="","",IF(ISNUMBER(B630),IF(B631-B630&lt;0,B631,IF(B631-B630=0,"",B631-B630)),B631))</f>
        <v/>
      </c>
      <c r="D631" s="18" t="str">
        <f>IF(Dati!C631="","",IF(Dati!C631&gt;1,Dati!C631/100,Dati!C631))</f>
        <v/>
      </c>
      <c r="E631" s="18" t="str">
        <f>IF(Dati!D631="","",IF(Dati!D631&gt;1,Dati!D631/100,Dati!D631))</f>
        <v/>
      </c>
      <c r="F631" s="18" t="str">
        <f>IF(OR(D631="",E631=""),"",IF(OR(D631&gt;1,E631&gt;1),(E631-D631)/100,E631-D631))</f>
        <v/>
      </c>
      <c r="G631" s="17" t="str">
        <f>IF(F631="","",IF(64*F631=0,"",64*F631))</f>
        <v/>
      </c>
      <c r="H631" s="19" t="str">
        <f>IF(Dati!E631="","",Dati!E631)</f>
        <v/>
      </c>
      <c r="I631" s="19" t="str">
        <f>IFERROR(IF(OR(C631="",C631=0),"",H631/C631*100),"")</f>
        <v/>
      </c>
      <c r="J631" s="20" t="str">
        <f>IF(Dati!F631="","",Dati!F631)</f>
        <v/>
      </c>
      <c r="K631" s="19" t="str">
        <f>IF(OR(H631="",J631=""),"",IF(H631*J631=0,"",H631*J631))</f>
        <v/>
      </c>
      <c r="L631" s="19" t="str">
        <f>IF(A631="","",IFERROR(IF(SUMPRODUCT((ISNUMBER(A$2:A631))*(A$2:A631&gt;1000)*(MONTH(IF(ISNUMBER(A$2:A631),A$2:A631,1))=MONTH(A631))*(YEAR(IF(ISNUMBER(A$2:A631),A$2:A631,1))=YEAR(A631))*IF(ISNUMBER(K$2:K631),K$2:K631,0))=0,"",SUMPRODUCT((ISNUMBER(A$2:A631))*(A$2:A631&gt;1000)*(MONTH(IF(ISNUMBER(A$2:A631),A$2:A631,1))=MONTH(A631))*(YEAR(IF(ISNUMBER(A$2:A631),A$2:A631,1))=YEAR(A631))*IF(ISNUMBER(K$2:K631),K$2:K631,0))),""))</f>
        <v/>
      </c>
      <c r="M631" s="21" t="str">
        <f>IF(A631="","",IFERROR(IF(SUMIF(N$2:N631,"CASA",K$2:K631)=0,"",SUMIF(N$2:N631,"CASA",K$2:K631)),""))</f>
        <v/>
      </c>
      <c r="N631" s="17" t="str">
        <f>IF(J631="","",IF(J631=0.2,"CASA",IF(Dati!G631="","",Dati!G631)))</f>
        <v/>
      </c>
    </row>
    <row r="632" spans="1:14" ht="15" customHeight="1" x14ac:dyDescent="0.2">
      <c r="A632" s="23" t="str">
        <f>IF(Dati!A632="","",Dati!A632)</f>
        <v/>
      </c>
      <c r="B632" s="17" t="str">
        <f>IF(Dati!B632="","",Dati!B632)</f>
        <v/>
      </c>
      <c r="C632" s="17" t="str">
        <f>IF(B632="","",IF(ISNUMBER(B631),IF(B632-B631&lt;0,B632,IF(B632-B631=0,"",B632-B631)),B632))</f>
        <v/>
      </c>
      <c r="D632" s="18" t="str">
        <f>IF(Dati!C632="","",IF(Dati!C632&gt;1,Dati!C632/100,Dati!C632))</f>
        <v/>
      </c>
      <c r="E632" s="18" t="str">
        <f>IF(Dati!D632="","",IF(Dati!D632&gt;1,Dati!D632/100,Dati!D632))</f>
        <v/>
      </c>
      <c r="F632" s="18" t="str">
        <f>IF(OR(D632="",E632=""),"",IF(OR(D632&gt;1,E632&gt;1),(E632-D632)/100,E632-D632))</f>
        <v/>
      </c>
      <c r="G632" s="17" t="str">
        <f>IF(F632="","",IF(64*F632=0,"",64*F632))</f>
        <v/>
      </c>
      <c r="H632" s="19" t="str">
        <f>IF(Dati!E632="","",Dati!E632)</f>
        <v/>
      </c>
      <c r="I632" s="19" t="str">
        <f>IFERROR(IF(OR(C632="",C632=0),"",H632/C632*100),"")</f>
        <v/>
      </c>
      <c r="J632" s="20" t="str">
        <f>IF(Dati!F632="","",Dati!F632)</f>
        <v/>
      </c>
      <c r="K632" s="19" t="str">
        <f>IF(OR(H632="",J632=""),"",IF(H632*J632=0,"",H632*J632))</f>
        <v/>
      </c>
      <c r="L632" s="19" t="str">
        <f>IF(A632="","",IFERROR(IF(SUMPRODUCT((ISNUMBER(A$2:A632))*(A$2:A632&gt;1000)*(MONTH(IF(ISNUMBER(A$2:A632),A$2:A632,1))=MONTH(A632))*(YEAR(IF(ISNUMBER(A$2:A632),A$2:A632,1))=YEAR(A632))*IF(ISNUMBER(K$2:K632),K$2:K632,0))=0,"",SUMPRODUCT((ISNUMBER(A$2:A632))*(A$2:A632&gt;1000)*(MONTH(IF(ISNUMBER(A$2:A632),A$2:A632,1))=MONTH(A632))*(YEAR(IF(ISNUMBER(A$2:A632),A$2:A632,1))=YEAR(A632))*IF(ISNUMBER(K$2:K632),K$2:K632,0))),""))</f>
        <v/>
      </c>
      <c r="M632" s="21" t="str">
        <f>IF(A632="","",IFERROR(IF(SUMIF(N$2:N632,"CASA",K$2:K632)=0,"",SUMIF(N$2:N632,"CASA",K$2:K632)),""))</f>
        <v/>
      </c>
      <c r="N632" s="17" t="str">
        <f>IF(J632="","",IF(J632=0.2,"CASA",IF(Dati!G632="","",Dati!G632)))</f>
        <v/>
      </c>
    </row>
    <row r="633" spans="1:14" ht="15" customHeight="1" x14ac:dyDescent="0.2">
      <c r="A633" s="23" t="str">
        <f>IF(Dati!A633="","",Dati!A633)</f>
        <v/>
      </c>
      <c r="B633" s="17" t="str">
        <f>IF(Dati!B633="","",Dati!B633)</f>
        <v/>
      </c>
      <c r="C633" s="17" t="str">
        <f>IF(B633="","",IF(ISNUMBER(B632),IF(B633-B632&lt;0,B633,IF(B633-B632=0,"",B633-B632)),B633))</f>
        <v/>
      </c>
      <c r="D633" s="18" t="str">
        <f>IF(Dati!C633="","",IF(Dati!C633&gt;1,Dati!C633/100,Dati!C633))</f>
        <v/>
      </c>
      <c r="E633" s="18" t="str">
        <f>IF(Dati!D633="","",IF(Dati!D633&gt;1,Dati!D633/100,Dati!D633))</f>
        <v/>
      </c>
      <c r="F633" s="18" t="str">
        <f>IF(OR(D633="",E633=""),"",IF(OR(D633&gt;1,E633&gt;1),(E633-D633)/100,E633-D633))</f>
        <v/>
      </c>
      <c r="G633" s="17" t="str">
        <f>IF(F633="","",IF(64*F633=0,"",64*F633))</f>
        <v/>
      </c>
      <c r="H633" s="19" t="str">
        <f>IF(Dati!E633="","",Dati!E633)</f>
        <v/>
      </c>
      <c r="I633" s="19" t="str">
        <f>IFERROR(IF(OR(C633="",C633=0),"",H633/C633*100),"")</f>
        <v/>
      </c>
      <c r="J633" s="20" t="str">
        <f>IF(Dati!F633="","",Dati!F633)</f>
        <v/>
      </c>
      <c r="K633" s="19" t="str">
        <f>IF(OR(H633="",J633=""),"",IF(H633*J633=0,"",H633*J633))</f>
        <v/>
      </c>
      <c r="L633" s="19" t="str">
        <f>IF(A633="","",IFERROR(IF(SUMPRODUCT((ISNUMBER(A$2:A633))*(A$2:A633&gt;1000)*(MONTH(IF(ISNUMBER(A$2:A633),A$2:A633,1))=MONTH(A633))*(YEAR(IF(ISNUMBER(A$2:A633),A$2:A633,1))=YEAR(A633))*IF(ISNUMBER(K$2:K633),K$2:K633,0))=0,"",SUMPRODUCT((ISNUMBER(A$2:A633))*(A$2:A633&gt;1000)*(MONTH(IF(ISNUMBER(A$2:A633),A$2:A633,1))=MONTH(A633))*(YEAR(IF(ISNUMBER(A$2:A633),A$2:A633,1))=YEAR(A633))*IF(ISNUMBER(K$2:K633),K$2:K633,0))),""))</f>
        <v/>
      </c>
      <c r="M633" s="21" t="str">
        <f>IF(A633="","",IFERROR(IF(SUMIF(N$2:N633,"CASA",K$2:K633)=0,"",SUMIF(N$2:N633,"CASA",K$2:K633)),""))</f>
        <v/>
      </c>
      <c r="N633" s="17" t="str">
        <f>IF(J633="","",IF(J633=0.2,"CASA",IF(Dati!G633="","",Dati!G633)))</f>
        <v/>
      </c>
    </row>
    <row r="634" spans="1:14" ht="15" customHeight="1" x14ac:dyDescent="0.2">
      <c r="A634" s="23" t="str">
        <f>IF(Dati!A634="","",Dati!A634)</f>
        <v/>
      </c>
      <c r="B634" s="17" t="str">
        <f>IF(Dati!B634="","",Dati!B634)</f>
        <v/>
      </c>
      <c r="C634" s="17" t="str">
        <f>IF(B634="","",IF(ISNUMBER(B633),IF(B634-B633&lt;0,B634,IF(B634-B633=0,"",B634-B633)),B634))</f>
        <v/>
      </c>
      <c r="D634" s="18" t="str">
        <f>IF(Dati!C634="","",IF(Dati!C634&gt;1,Dati!C634/100,Dati!C634))</f>
        <v/>
      </c>
      <c r="E634" s="18" t="str">
        <f>IF(Dati!D634="","",IF(Dati!D634&gt;1,Dati!D634/100,Dati!D634))</f>
        <v/>
      </c>
      <c r="F634" s="18" t="str">
        <f>IF(OR(D634="",E634=""),"",IF(OR(D634&gt;1,E634&gt;1),(E634-D634)/100,E634-D634))</f>
        <v/>
      </c>
      <c r="G634" s="17" t="str">
        <f>IF(F634="","",IF(64*F634=0,"",64*F634))</f>
        <v/>
      </c>
      <c r="H634" s="19" t="str">
        <f>IF(Dati!E634="","",Dati!E634)</f>
        <v/>
      </c>
      <c r="I634" s="19" t="str">
        <f>IFERROR(IF(OR(C634="",C634=0),"",H634/C634*100),"")</f>
        <v/>
      </c>
      <c r="J634" s="20" t="str">
        <f>IF(Dati!F634="","",Dati!F634)</f>
        <v/>
      </c>
      <c r="K634" s="19" t="str">
        <f>IF(OR(H634="",J634=""),"",IF(H634*J634=0,"",H634*J634))</f>
        <v/>
      </c>
      <c r="L634" s="19" t="str">
        <f>IF(A634="","",IFERROR(IF(SUMPRODUCT((ISNUMBER(A$2:A634))*(A$2:A634&gt;1000)*(MONTH(IF(ISNUMBER(A$2:A634),A$2:A634,1))=MONTH(A634))*(YEAR(IF(ISNUMBER(A$2:A634),A$2:A634,1))=YEAR(A634))*IF(ISNUMBER(K$2:K634),K$2:K634,0))=0,"",SUMPRODUCT((ISNUMBER(A$2:A634))*(A$2:A634&gt;1000)*(MONTH(IF(ISNUMBER(A$2:A634),A$2:A634,1))=MONTH(A634))*(YEAR(IF(ISNUMBER(A$2:A634),A$2:A634,1))=YEAR(A634))*IF(ISNUMBER(K$2:K634),K$2:K634,0))),""))</f>
        <v/>
      </c>
      <c r="M634" s="21" t="str">
        <f>IF(A634="","",IFERROR(IF(SUMIF(N$2:N634,"CASA",K$2:K634)=0,"",SUMIF(N$2:N634,"CASA",K$2:K634)),""))</f>
        <v/>
      </c>
      <c r="N634" s="17" t="str">
        <f>IF(J634="","",IF(J634=0.2,"CASA",IF(Dati!G634="","",Dati!G634)))</f>
        <v/>
      </c>
    </row>
    <row r="635" spans="1:14" ht="15" customHeight="1" x14ac:dyDescent="0.2">
      <c r="A635" s="23" t="str">
        <f>IF(Dati!A635="","",Dati!A635)</f>
        <v/>
      </c>
      <c r="B635" s="17" t="str">
        <f>IF(Dati!B635="","",Dati!B635)</f>
        <v/>
      </c>
      <c r="C635" s="17" t="str">
        <f>IF(B635="","",IF(ISNUMBER(B634),IF(B635-B634&lt;0,B635,IF(B635-B634=0,"",B635-B634)),B635))</f>
        <v/>
      </c>
      <c r="D635" s="18" t="str">
        <f>IF(Dati!C635="","",IF(Dati!C635&gt;1,Dati!C635/100,Dati!C635))</f>
        <v/>
      </c>
      <c r="E635" s="18" t="str">
        <f>IF(Dati!D635="","",IF(Dati!D635&gt;1,Dati!D635/100,Dati!D635))</f>
        <v/>
      </c>
      <c r="F635" s="18" t="str">
        <f>IF(OR(D635="",E635=""),"",IF(OR(D635&gt;1,E635&gt;1),(E635-D635)/100,E635-D635))</f>
        <v/>
      </c>
      <c r="G635" s="17" t="str">
        <f>IF(F635="","",IF(64*F635=0,"",64*F635))</f>
        <v/>
      </c>
      <c r="H635" s="19" t="str">
        <f>IF(Dati!E635="","",Dati!E635)</f>
        <v/>
      </c>
      <c r="I635" s="19" t="str">
        <f>IFERROR(IF(OR(C635="",C635=0),"",H635/C635*100),"")</f>
        <v/>
      </c>
      <c r="J635" s="20" t="str">
        <f>IF(Dati!F635="","",Dati!F635)</f>
        <v/>
      </c>
      <c r="K635" s="19" t="str">
        <f>IF(OR(H635="",J635=""),"",IF(H635*J635=0,"",H635*J635))</f>
        <v/>
      </c>
      <c r="L635" s="19" t="str">
        <f>IF(A635="","",IFERROR(IF(SUMPRODUCT((ISNUMBER(A$2:A635))*(A$2:A635&gt;1000)*(MONTH(IF(ISNUMBER(A$2:A635),A$2:A635,1))=MONTH(A635))*(YEAR(IF(ISNUMBER(A$2:A635),A$2:A635,1))=YEAR(A635))*IF(ISNUMBER(K$2:K635),K$2:K635,0))=0,"",SUMPRODUCT((ISNUMBER(A$2:A635))*(A$2:A635&gt;1000)*(MONTH(IF(ISNUMBER(A$2:A635),A$2:A635,1))=MONTH(A635))*(YEAR(IF(ISNUMBER(A$2:A635),A$2:A635,1))=YEAR(A635))*IF(ISNUMBER(K$2:K635),K$2:K635,0))),""))</f>
        <v/>
      </c>
      <c r="M635" s="21" t="str">
        <f>IF(A635="","",IFERROR(IF(SUMIF(N$2:N635,"CASA",K$2:K635)=0,"",SUMIF(N$2:N635,"CASA",K$2:K635)),""))</f>
        <v/>
      </c>
      <c r="N635" s="17" t="str">
        <f>IF(J635="","",IF(J635=0.2,"CASA",IF(Dati!G635="","",Dati!G635)))</f>
        <v/>
      </c>
    </row>
    <row r="636" spans="1:14" ht="15" customHeight="1" x14ac:dyDescent="0.2">
      <c r="A636" s="23" t="str">
        <f>IF(Dati!A636="","",Dati!A636)</f>
        <v/>
      </c>
      <c r="B636" s="17" t="str">
        <f>IF(Dati!B636="","",Dati!B636)</f>
        <v/>
      </c>
      <c r="C636" s="17" t="str">
        <f>IF(B636="","",IF(ISNUMBER(B635),IF(B636-B635&lt;0,B636,IF(B636-B635=0,"",B636-B635)),B636))</f>
        <v/>
      </c>
      <c r="D636" s="18" t="str">
        <f>IF(Dati!C636="","",IF(Dati!C636&gt;1,Dati!C636/100,Dati!C636))</f>
        <v/>
      </c>
      <c r="E636" s="18" t="str">
        <f>IF(Dati!D636="","",IF(Dati!D636&gt;1,Dati!D636/100,Dati!D636))</f>
        <v/>
      </c>
      <c r="F636" s="18" t="str">
        <f>IF(OR(D636="",E636=""),"",IF(OR(D636&gt;1,E636&gt;1),(E636-D636)/100,E636-D636))</f>
        <v/>
      </c>
      <c r="G636" s="17" t="str">
        <f>IF(F636="","",IF(64*F636=0,"",64*F636))</f>
        <v/>
      </c>
      <c r="H636" s="19" t="str">
        <f>IF(Dati!E636="","",Dati!E636)</f>
        <v/>
      </c>
      <c r="I636" s="19" t="str">
        <f>IFERROR(IF(OR(C636="",C636=0),"",H636/C636*100),"")</f>
        <v/>
      </c>
      <c r="J636" s="20" t="str">
        <f>IF(Dati!F636="","",Dati!F636)</f>
        <v/>
      </c>
      <c r="K636" s="19" t="str">
        <f>IF(OR(H636="",J636=""),"",IF(H636*J636=0,"",H636*J636))</f>
        <v/>
      </c>
      <c r="L636" s="19" t="str">
        <f>IF(A636="","",IFERROR(IF(SUMPRODUCT((ISNUMBER(A$2:A636))*(A$2:A636&gt;1000)*(MONTH(IF(ISNUMBER(A$2:A636),A$2:A636,1))=MONTH(A636))*(YEAR(IF(ISNUMBER(A$2:A636),A$2:A636,1))=YEAR(A636))*IF(ISNUMBER(K$2:K636),K$2:K636,0))=0,"",SUMPRODUCT((ISNUMBER(A$2:A636))*(A$2:A636&gt;1000)*(MONTH(IF(ISNUMBER(A$2:A636),A$2:A636,1))=MONTH(A636))*(YEAR(IF(ISNUMBER(A$2:A636),A$2:A636,1))=YEAR(A636))*IF(ISNUMBER(K$2:K636),K$2:K636,0))),""))</f>
        <v/>
      </c>
      <c r="M636" s="21" t="str">
        <f>IF(A636="","",IFERROR(IF(SUMIF(N$2:N636,"CASA",K$2:K636)=0,"",SUMIF(N$2:N636,"CASA",K$2:K636)),""))</f>
        <v/>
      </c>
      <c r="N636" s="17" t="str">
        <f>IF(J636="","",IF(J636=0.2,"CASA",IF(Dati!G636="","",Dati!G636)))</f>
        <v/>
      </c>
    </row>
    <row r="637" spans="1:14" ht="15" customHeight="1" x14ac:dyDescent="0.2">
      <c r="A637" s="23" t="str">
        <f>IF(Dati!A637="","",Dati!A637)</f>
        <v/>
      </c>
      <c r="B637" s="17" t="str">
        <f>IF(Dati!B637="","",Dati!B637)</f>
        <v/>
      </c>
      <c r="C637" s="17" t="str">
        <f>IF(B637="","",IF(ISNUMBER(B636),IF(B637-B636&lt;0,B637,IF(B637-B636=0,"",B637-B636)),B637))</f>
        <v/>
      </c>
      <c r="D637" s="18" t="str">
        <f>IF(Dati!C637="","",IF(Dati!C637&gt;1,Dati!C637/100,Dati!C637))</f>
        <v/>
      </c>
      <c r="E637" s="18" t="str">
        <f>IF(Dati!D637="","",IF(Dati!D637&gt;1,Dati!D637/100,Dati!D637))</f>
        <v/>
      </c>
      <c r="F637" s="18" t="str">
        <f>IF(OR(D637="",E637=""),"",IF(OR(D637&gt;1,E637&gt;1),(E637-D637)/100,E637-D637))</f>
        <v/>
      </c>
      <c r="G637" s="17" t="str">
        <f>IF(F637="","",IF(64*F637=0,"",64*F637))</f>
        <v/>
      </c>
      <c r="H637" s="19" t="str">
        <f>IF(Dati!E637="","",Dati!E637)</f>
        <v/>
      </c>
      <c r="I637" s="19" t="str">
        <f>IFERROR(IF(OR(C637="",C637=0),"",H637/C637*100),"")</f>
        <v/>
      </c>
      <c r="J637" s="20" t="str">
        <f>IF(Dati!F637="","",Dati!F637)</f>
        <v/>
      </c>
      <c r="K637" s="19" t="str">
        <f>IF(OR(H637="",J637=""),"",IF(H637*J637=0,"",H637*J637))</f>
        <v/>
      </c>
      <c r="L637" s="19" t="str">
        <f>IF(A637="","",IFERROR(IF(SUMPRODUCT((ISNUMBER(A$2:A637))*(A$2:A637&gt;1000)*(MONTH(IF(ISNUMBER(A$2:A637),A$2:A637,1))=MONTH(A637))*(YEAR(IF(ISNUMBER(A$2:A637),A$2:A637,1))=YEAR(A637))*IF(ISNUMBER(K$2:K637),K$2:K637,0))=0,"",SUMPRODUCT((ISNUMBER(A$2:A637))*(A$2:A637&gt;1000)*(MONTH(IF(ISNUMBER(A$2:A637),A$2:A637,1))=MONTH(A637))*(YEAR(IF(ISNUMBER(A$2:A637),A$2:A637,1))=YEAR(A637))*IF(ISNUMBER(K$2:K637),K$2:K637,0))),""))</f>
        <v/>
      </c>
      <c r="M637" s="21" t="str">
        <f>IF(A637="","",IFERROR(IF(SUMIF(N$2:N637,"CASA",K$2:K637)=0,"",SUMIF(N$2:N637,"CASA",K$2:K637)),""))</f>
        <v/>
      </c>
      <c r="N637" s="17" t="str">
        <f>IF(J637="","",IF(J637=0.2,"CASA",IF(Dati!G637="","",Dati!G637)))</f>
        <v/>
      </c>
    </row>
    <row r="638" spans="1:14" ht="15" customHeight="1" x14ac:dyDescent="0.2">
      <c r="A638" s="23" t="str">
        <f>IF(Dati!A638="","",Dati!A638)</f>
        <v/>
      </c>
      <c r="B638" s="17" t="str">
        <f>IF(Dati!B638="","",Dati!B638)</f>
        <v/>
      </c>
      <c r="C638" s="17" t="str">
        <f>IF(B638="","",IF(ISNUMBER(B637),IF(B638-B637&lt;0,B638,IF(B638-B637=0,"",B638-B637)),B638))</f>
        <v/>
      </c>
      <c r="D638" s="18" t="str">
        <f>IF(Dati!C638="","",IF(Dati!C638&gt;1,Dati!C638/100,Dati!C638))</f>
        <v/>
      </c>
      <c r="E638" s="18" t="str">
        <f>IF(Dati!D638="","",IF(Dati!D638&gt;1,Dati!D638/100,Dati!D638))</f>
        <v/>
      </c>
      <c r="F638" s="18" t="str">
        <f>IF(OR(D638="",E638=""),"",IF(OR(D638&gt;1,E638&gt;1),(E638-D638)/100,E638-D638))</f>
        <v/>
      </c>
      <c r="G638" s="17" t="str">
        <f>IF(F638="","",IF(64*F638=0,"",64*F638))</f>
        <v/>
      </c>
      <c r="H638" s="19" t="str">
        <f>IF(Dati!E638="","",Dati!E638)</f>
        <v/>
      </c>
      <c r="I638" s="19" t="str">
        <f>IFERROR(IF(OR(C638="",C638=0),"",H638/C638*100),"")</f>
        <v/>
      </c>
      <c r="J638" s="20" t="str">
        <f>IF(Dati!F638="","",Dati!F638)</f>
        <v/>
      </c>
      <c r="K638" s="19" t="str">
        <f>IF(OR(H638="",J638=""),"",IF(H638*J638=0,"",H638*J638))</f>
        <v/>
      </c>
      <c r="L638" s="19" t="str">
        <f>IF(A638="","",IFERROR(IF(SUMPRODUCT((ISNUMBER(A$2:A638))*(A$2:A638&gt;1000)*(MONTH(IF(ISNUMBER(A$2:A638),A$2:A638,1))=MONTH(A638))*(YEAR(IF(ISNUMBER(A$2:A638),A$2:A638,1))=YEAR(A638))*IF(ISNUMBER(K$2:K638),K$2:K638,0))=0,"",SUMPRODUCT((ISNUMBER(A$2:A638))*(A$2:A638&gt;1000)*(MONTH(IF(ISNUMBER(A$2:A638),A$2:A638,1))=MONTH(A638))*(YEAR(IF(ISNUMBER(A$2:A638),A$2:A638,1))=YEAR(A638))*IF(ISNUMBER(K$2:K638),K$2:K638,0))),""))</f>
        <v/>
      </c>
      <c r="M638" s="21" t="str">
        <f>IF(A638="","",IFERROR(IF(SUMIF(N$2:N638,"CASA",K$2:K638)=0,"",SUMIF(N$2:N638,"CASA",K$2:K638)),""))</f>
        <v/>
      </c>
      <c r="N638" s="17" t="str">
        <f>IF(J638="","",IF(J638=0.2,"CASA",IF(Dati!G638="","",Dati!G638)))</f>
        <v/>
      </c>
    </row>
    <row r="639" spans="1:14" ht="15" customHeight="1" x14ac:dyDescent="0.2">
      <c r="A639" s="23" t="str">
        <f>IF(Dati!A639="","",Dati!A639)</f>
        <v/>
      </c>
      <c r="B639" s="17" t="str">
        <f>IF(Dati!B639="","",Dati!B639)</f>
        <v/>
      </c>
      <c r="C639" s="17" t="str">
        <f>IF(B639="","",IF(ISNUMBER(B638),IF(B639-B638&lt;0,B639,IF(B639-B638=0,"",B639-B638)),B639))</f>
        <v/>
      </c>
      <c r="D639" s="18" t="str">
        <f>IF(Dati!C639="","",IF(Dati!C639&gt;1,Dati!C639/100,Dati!C639))</f>
        <v/>
      </c>
      <c r="E639" s="18" t="str">
        <f>IF(Dati!D639="","",IF(Dati!D639&gt;1,Dati!D639/100,Dati!D639))</f>
        <v/>
      </c>
      <c r="F639" s="18" t="str">
        <f>IF(OR(D639="",E639=""),"",IF(OR(D639&gt;1,E639&gt;1),(E639-D639)/100,E639-D639))</f>
        <v/>
      </c>
      <c r="G639" s="17" t="str">
        <f>IF(F639="","",IF(64*F639=0,"",64*F639))</f>
        <v/>
      </c>
      <c r="H639" s="19" t="str">
        <f>IF(Dati!E639="","",Dati!E639)</f>
        <v/>
      </c>
      <c r="I639" s="19" t="str">
        <f>IFERROR(IF(OR(C639="",C639=0),"",H639/C639*100),"")</f>
        <v/>
      </c>
      <c r="J639" s="20" t="str">
        <f>IF(Dati!F639="","",Dati!F639)</f>
        <v/>
      </c>
      <c r="K639" s="19" t="str">
        <f>IF(OR(H639="",J639=""),"",IF(H639*J639=0,"",H639*J639))</f>
        <v/>
      </c>
      <c r="L639" s="19" t="str">
        <f>IF(A639="","",IFERROR(IF(SUMPRODUCT((ISNUMBER(A$2:A639))*(A$2:A639&gt;1000)*(MONTH(IF(ISNUMBER(A$2:A639),A$2:A639,1))=MONTH(A639))*(YEAR(IF(ISNUMBER(A$2:A639),A$2:A639,1))=YEAR(A639))*IF(ISNUMBER(K$2:K639),K$2:K639,0))=0,"",SUMPRODUCT((ISNUMBER(A$2:A639))*(A$2:A639&gt;1000)*(MONTH(IF(ISNUMBER(A$2:A639),A$2:A639,1))=MONTH(A639))*(YEAR(IF(ISNUMBER(A$2:A639),A$2:A639,1))=YEAR(A639))*IF(ISNUMBER(K$2:K639),K$2:K639,0))),""))</f>
        <v/>
      </c>
      <c r="M639" s="21" t="str">
        <f>IF(A639="","",IFERROR(IF(SUMIF(N$2:N639,"CASA",K$2:K639)=0,"",SUMIF(N$2:N639,"CASA",K$2:K639)),""))</f>
        <v/>
      </c>
      <c r="N639" s="17" t="str">
        <f>IF(J639="","",IF(J639=0.2,"CASA",IF(Dati!G639="","",Dati!G639)))</f>
        <v/>
      </c>
    </row>
    <row r="640" spans="1:14" ht="15" customHeight="1" x14ac:dyDescent="0.2">
      <c r="A640" s="23" t="str">
        <f>IF(Dati!A640="","",Dati!A640)</f>
        <v/>
      </c>
      <c r="B640" s="17" t="str">
        <f>IF(Dati!B640="","",Dati!B640)</f>
        <v/>
      </c>
      <c r="C640" s="17" t="str">
        <f>IF(B640="","",IF(ISNUMBER(B639),IF(B640-B639&lt;0,B640,IF(B640-B639=0,"",B640-B639)),B640))</f>
        <v/>
      </c>
      <c r="D640" s="18" t="str">
        <f>IF(Dati!C640="","",IF(Dati!C640&gt;1,Dati!C640/100,Dati!C640))</f>
        <v/>
      </c>
      <c r="E640" s="18" t="str">
        <f>IF(Dati!D640="","",IF(Dati!D640&gt;1,Dati!D640/100,Dati!D640))</f>
        <v/>
      </c>
      <c r="F640" s="18" t="str">
        <f>IF(OR(D640="",E640=""),"",IF(OR(D640&gt;1,E640&gt;1),(E640-D640)/100,E640-D640))</f>
        <v/>
      </c>
      <c r="G640" s="17" t="str">
        <f>IF(F640="","",IF(64*F640=0,"",64*F640))</f>
        <v/>
      </c>
      <c r="H640" s="19" t="str">
        <f>IF(Dati!E640="","",Dati!E640)</f>
        <v/>
      </c>
      <c r="I640" s="19" t="str">
        <f>IFERROR(IF(OR(C640="",C640=0),"",H640/C640*100),"")</f>
        <v/>
      </c>
      <c r="J640" s="20" t="str">
        <f>IF(Dati!F640="","",Dati!F640)</f>
        <v/>
      </c>
      <c r="K640" s="19" t="str">
        <f>IF(OR(H640="",J640=""),"",IF(H640*J640=0,"",H640*J640))</f>
        <v/>
      </c>
      <c r="L640" s="19" t="str">
        <f>IF(A640="","",IFERROR(IF(SUMPRODUCT((ISNUMBER(A$2:A640))*(A$2:A640&gt;1000)*(MONTH(IF(ISNUMBER(A$2:A640),A$2:A640,1))=MONTH(A640))*(YEAR(IF(ISNUMBER(A$2:A640),A$2:A640,1))=YEAR(A640))*IF(ISNUMBER(K$2:K640),K$2:K640,0))=0,"",SUMPRODUCT((ISNUMBER(A$2:A640))*(A$2:A640&gt;1000)*(MONTH(IF(ISNUMBER(A$2:A640),A$2:A640,1))=MONTH(A640))*(YEAR(IF(ISNUMBER(A$2:A640),A$2:A640,1))=YEAR(A640))*IF(ISNUMBER(K$2:K640),K$2:K640,0))),""))</f>
        <v/>
      </c>
      <c r="M640" s="21" t="str">
        <f>IF(A640="","",IFERROR(IF(SUMIF(N$2:N640,"CASA",K$2:K640)=0,"",SUMIF(N$2:N640,"CASA",K$2:K640)),""))</f>
        <v/>
      </c>
      <c r="N640" s="17" t="str">
        <f>IF(J640="","",IF(J640=0.2,"CASA",IF(Dati!G640="","",Dati!G640)))</f>
        <v/>
      </c>
    </row>
    <row r="641" spans="1:14" ht="15" customHeight="1" x14ac:dyDescent="0.2">
      <c r="A641" s="23" t="str">
        <f>IF(Dati!A641="","",Dati!A641)</f>
        <v/>
      </c>
      <c r="B641" s="17" t="str">
        <f>IF(Dati!B641="","",Dati!B641)</f>
        <v/>
      </c>
      <c r="C641" s="17" t="str">
        <f>IF(B641="","",IF(ISNUMBER(B640),IF(B641-B640&lt;0,B641,IF(B641-B640=0,"",B641-B640)),B641))</f>
        <v/>
      </c>
      <c r="D641" s="18" t="str">
        <f>IF(Dati!C641="","",IF(Dati!C641&gt;1,Dati!C641/100,Dati!C641))</f>
        <v/>
      </c>
      <c r="E641" s="18" t="str">
        <f>IF(Dati!D641="","",IF(Dati!D641&gt;1,Dati!D641/100,Dati!D641))</f>
        <v/>
      </c>
      <c r="F641" s="18" t="str">
        <f>IF(OR(D641="",E641=""),"",IF(OR(D641&gt;1,E641&gt;1),(E641-D641)/100,E641-D641))</f>
        <v/>
      </c>
      <c r="G641" s="17" t="str">
        <f>IF(F641="","",IF(64*F641=0,"",64*F641))</f>
        <v/>
      </c>
      <c r="H641" s="19" t="str">
        <f>IF(Dati!E641="","",Dati!E641)</f>
        <v/>
      </c>
      <c r="I641" s="19" t="str">
        <f>IFERROR(IF(OR(C641="",C641=0),"",H641/C641*100),"")</f>
        <v/>
      </c>
      <c r="J641" s="20" t="str">
        <f>IF(Dati!F641="","",Dati!F641)</f>
        <v/>
      </c>
      <c r="K641" s="19" t="str">
        <f>IF(OR(H641="",J641=""),"",IF(H641*J641=0,"",H641*J641))</f>
        <v/>
      </c>
      <c r="L641" s="19" t="str">
        <f>IF(A641="","",IFERROR(IF(SUMPRODUCT((ISNUMBER(A$2:A641))*(A$2:A641&gt;1000)*(MONTH(IF(ISNUMBER(A$2:A641),A$2:A641,1))=MONTH(A641))*(YEAR(IF(ISNUMBER(A$2:A641),A$2:A641,1))=YEAR(A641))*IF(ISNUMBER(K$2:K641),K$2:K641,0))=0,"",SUMPRODUCT((ISNUMBER(A$2:A641))*(A$2:A641&gt;1000)*(MONTH(IF(ISNUMBER(A$2:A641),A$2:A641,1))=MONTH(A641))*(YEAR(IF(ISNUMBER(A$2:A641),A$2:A641,1))=YEAR(A641))*IF(ISNUMBER(K$2:K641),K$2:K641,0))),""))</f>
        <v/>
      </c>
      <c r="M641" s="21" t="str">
        <f>IF(A641="","",IFERROR(IF(SUMIF(N$2:N641,"CASA",K$2:K641)=0,"",SUMIF(N$2:N641,"CASA",K$2:K641)),""))</f>
        <v/>
      </c>
      <c r="N641" s="17" t="str">
        <f>IF(J641="","",IF(J641=0.2,"CASA",IF(Dati!G641="","",Dati!G641)))</f>
        <v/>
      </c>
    </row>
    <row r="642" spans="1:14" ht="15" customHeight="1" x14ac:dyDescent="0.2">
      <c r="A642" s="23" t="str">
        <f>IF(Dati!A642="","",Dati!A642)</f>
        <v/>
      </c>
      <c r="B642" s="17" t="str">
        <f>IF(Dati!B642="","",Dati!B642)</f>
        <v/>
      </c>
      <c r="C642" s="17" t="str">
        <f>IF(B642="","",IF(ISNUMBER(B641),IF(B642-B641&lt;0,B642,IF(B642-B641=0,"",B642-B641)),B642))</f>
        <v/>
      </c>
      <c r="D642" s="18" t="str">
        <f>IF(Dati!C642="","",IF(Dati!C642&gt;1,Dati!C642/100,Dati!C642))</f>
        <v/>
      </c>
      <c r="E642" s="18" t="str">
        <f>IF(Dati!D642="","",IF(Dati!D642&gt;1,Dati!D642/100,Dati!D642))</f>
        <v/>
      </c>
      <c r="F642" s="18" t="str">
        <f>IF(OR(D642="",E642=""),"",IF(OR(D642&gt;1,E642&gt;1),(E642-D642)/100,E642-D642))</f>
        <v/>
      </c>
      <c r="G642" s="17" t="str">
        <f>IF(F642="","",IF(64*F642=0,"",64*F642))</f>
        <v/>
      </c>
      <c r="H642" s="19" t="str">
        <f>IF(Dati!E642="","",Dati!E642)</f>
        <v/>
      </c>
      <c r="I642" s="19" t="str">
        <f>IFERROR(IF(OR(C642="",C642=0),"",H642/C642*100),"")</f>
        <v/>
      </c>
      <c r="J642" s="20" t="str">
        <f>IF(Dati!F642="","",Dati!F642)</f>
        <v/>
      </c>
      <c r="K642" s="19" t="str">
        <f>IF(OR(H642="",J642=""),"",IF(H642*J642=0,"",H642*J642))</f>
        <v/>
      </c>
      <c r="L642" s="19" t="str">
        <f>IF(A642="","",IFERROR(IF(SUMPRODUCT((ISNUMBER(A$2:A642))*(A$2:A642&gt;1000)*(MONTH(IF(ISNUMBER(A$2:A642),A$2:A642,1))=MONTH(A642))*(YEAR(IF(ISNUMBER(A$2:A642),A$2:A642,1))=YEAR(A642))*IF(ISNUMBER(K$2:K642),K$2:K642,0))=0,"",SUMPRODUCT((ISNUMBER(A$2:A642))*(A$2:A642&gt;1000)*(MONTH(IF(ISNUMBER(A$2:A642),A$2:A642,1))=MONTH(A642))*(YEAR(IF(ISNUMBER(A$2:A642),A$2:A642,1))=YEAR(A642))*IF(ISNUMBER(K$2:K642),K$2:K642,0))),""))</f>
        <v/>
      </c>
      <c r="M642" s="21" t="str">
        <f>IF(A642="","",IFERROR(IF(SUMIF(N$2:N642,"CASA",K$2:K642)=0,"",SUMIF(N$2:N642,"CASA",K$2:K642)),""))</f>
        <v/>
      </c>
      <c r="N642" s="17" t="str">
        <f>IF(J642="","",IF(J642=0.2,"CASA",IF(Dati!G642="","",Dati!G642)))</f>
        <v/>
      </c>
    </row>
    <row r="643" spans="1:14" ht="15" customHeight="1" x14ac:dyDescent="0.2">
      <c r="A643" s="23" t="str">
        <f>IF(Dati!A643="","",Dati!A643)</f>
        <v/>
      </c>
      <c r="B643" s="17" t="str">
        <f>IF(Dati!B643="","",Dati!B643)</f>
        <v/>
      </c>
      <c r="C643" s="17" t="str">
        <f>IF(B643="","",IF(ISNUMBER(B642),IF(B643-B642&lt;0,B643,IF(B643-B642=0,"",B643-B642)),B643))</f>
        <v/>
      </c>
      <c r="D643" s="18" t="str">
        <f>IF(Dati!C643="","",IF(Dati!C643&gt;1,Dati!C643/100,Dati!C643))</f>
        <v/>
      </c>
      <c r="E643" s="18" t="str">
        <f>IF(Dati!D643="","",IF(Dati!D643&gt;1,Dati!D643/100,Dati!D643))</f>
        <v/>
      </c>
      <c r="F643" s="18" t="str">
        <f>IF(OR(D643="",E643=""),"",IF(OR(D643&gt;1,E643&gt;1),(E643-D643)/100,E643-D643))</f>
        <v/>
      </c>
      <c r="G643" s="17" t="str">
        <f>IF(F643="","",IF(64*F643=0,"",64*F643))</f>
        <v/>
      </c>
      <c r="H643" s="19" t="str">
        <f>IF(Dati!E643="","",Dati!E643)</f>
        <v/>
      </c>
      <c r="I643" s="19" t="str">
        <f>IFERROR(IF(OR(C643="",C643=0),"",H643/C643*100),"")</f>
        <v/>
      </c>
      <c r="J643" s="20" t="str">
        <f>IF(Dati!F643="","",Dati!F643)</f>
        <v/>
      </c>
      <c r="K643" s="19" t="str">
        <f>IF(OR(H643="",J643=""),"",IF(H643*J643=0,"",H643*J643))</f>
        <v/>
      </c>
      <c r="L643" s="19" t="str">
        <f>IF(A643="","",IFERROR(IF(SUMPRODUCT((ISNUMBER(A$2:A643))*(A$2:A643&gt;1000)*(MONTH(IF(ISNUMBER(A$2:A643),A$2:A643,1))=MONTH(A643))*(YEAR(IF(ISNUMBER(A$2:A643),A$2:A643,1))=YEAR(A643))*IF(ISNUMBER(K$2:K643),K$2:K643,0))=0,"",SUMPRODUCT((ISNUMBER(A$2:A643))*(A$2:A643&gt;1000)*(MONTH(IF(ISNUMBER(A$2:A643),A$2:A643,1))=MONTH(A643))*(YEAR(IF(ISNUMBER(A$2:A643),A$2:A643,1))=YEAR(A643))*IF(ISNUMBER(K$2:K643),K$2:K643,0))),""))</f>
        <v/>
      </c>
      <c r="M643" s="21" t="str">
        <f>IF(A643="","",IFERROR(IF(SUMIF(N$2:N643,"CASA",K$2:K643)=0,"",SUMIF(N$2:N643,"CASA",K$2:K643)),""))</f>
        <v/>
      </c>
      <c r="N643" s="17" t="str">
        <f>IF(J643="","",IF(J643=0.2,"CASA",IF(Dati!G643="","",Dati!G643)))</f>
        <v/>
      </c>
    </row>
    <row r="644" spans="1:14" ht="15" customHeight="1" x14ac:dyDescent="0.2">
      <c r="A644" s="23" t="str">
        <f>IF(Dati!A644="","",Dati!A644)</f>
        <v/>
      </c>
      <c r="B644" s="17" t="str">
        <f>IF(Dati!B644="","",Dati!B644)</f>
        <v/>
      </c>
      <c r="C644" s="17" t="str">
        <f>IF(B644="","",IF(ISNUMBER(B643),IF(B644-B643&lt;0,B644,IF(B644-B643=0,"",B644-B643)),B644))</f>
        <v/>
      </c>
      <c r="D644" s="18" t="str">
        <f>IF(Dati!C644="","",IF(Dati!C644&gt;1,Dati!C644/100,Dati!C644))</f>
        <v/>
      </c>
      <c r="E644" s="18" t="str">
        <f>IF(Dati!D644="","",IF(Dati!D644&gt;1,Dati!D644/100,Dati!D644))</f>
        <v/>
      </c>
      <c r="F644" s="18" t="str">
        <f>IF(OR(D644="",E644=""),"",IF(OR(D644&gt;1,E644&gt;1),(E644-D644)/100,E644-D644))</f>
        <v/>
      </c>
      <c r="G644" s="17" t="str">
        <f>IF(F644="","",IF(64*F644=0,"",64*F644))</f>
        <v/>
      </c>
      <c r="H644" s="19" t="str">
        <f>IF(Dati!E644="","",Dati!E644)</f>
        <v/>
      </c>
      <c r="I644" s="19" t="str">
        <f>IFERROR(IF(OR(C644="",C644=0),"",H644/C644*100),"")</f>
        <v/>
      </c>
      <c r="J644" s="20" t="str">
        <f>IF(Dati!F644="","",Dati!F644)</f>
        <v/>
      </c>
      <c r="K644" s="19" t="str">
        <f>IF(OR(H644="",J644=""),"",IF(H644*J644=0,"",H644*J644))</f>
        <v/>
      </c>
      <c r="L644" s="19" t="str">
        <f>IF(A644="","",IFERROR(IF(SUMPRODUCT((ISNUMBER(A$2:A644))*(A$2:A644&gt;1000)*(MONTH(IF(ISNUMBER(A$2:A644),A$2:A644,1))=MONTH(A644))*(YEAR(IF(ISNUMBER(A$2:A644),A$2:A644,1))=YEAR(A644))*IF(ISNUMBER(K$2:K644),K$2:K644,0))=0,"",SUMPRODUCT((ISNUMBER(A$2:A644))*(A$2:A644&gt;1000)*(MONTH(IF(ISNUMBER(A$2:A644),A$2:A644,1))=MONTH(A644))*(YEAR(IF(ISNUMBER(A$2:A644),A$2:A644,1))=YEAR(A644))*IF(ISNUMBER(K$2:K644),K$2:K644,0))),""))</f>
        <v/>
      </c>
      <c r="M644" s="21" t="str">
        <f>IF(A644="","",IFERROR(IF(SUMIF(N$2:N644,"CASA",K$2:K644)=0,"",SUMIF(N$2:N644,"CASA",K$2:K644)),""))</f>
        <v/>
      </c>
      <c r="N644" s="17" t="str">
        <f>IF(J644="","",IF(J644=0.2,"CASA",IF(Dati!G644="","",Dati!G644)))</f>
        <v/>
      </c>
    </row>
    <row r="645" spans="1:14" ht="15" customHeight="1" x14ac:dyDescent="0.2">
      <c r="A645" s="23" t="str">
        <f>IF(Dati!A645="","",Dati!A645)</f>
        <v/>
      </c>
      <c r="B645" s="17" t="str">
        <f>IF(Dati!B645="","",Dati!B645)</f>
        <v/>
      </c>
      <c r="C645" s="17" t="str">
        <f>IF(B645="","",IF(ISNUMBER(B644),IF(B645-B644&lt;0,B645,IF(B645-B644=0,"",B645-B644)),B645))</f>
        <v/>
      </c>
      <c r="D645" s="18" t="str">
        <f>IF(Dati!C645="","",IF(Dati!C645&gt;1,Dati!C645/100,Dati!C645))</f>
        <v/>
      </c>
      <c r="E645" s="18" t="str">
        <f>IF(Dati!D645="","",IF(Dati!D645&gt;1,Dati!D645/100,Dati!D645))</f>
        <v/>
      </c>
      <c r="F645" s="18" t="str">
        <f>IF(OR(D645="",E645=""),"",IF(OR(D645&gt;1,E645&gt;1),(E645-D645)/100,E645-D645))</f>
        <v/>
      </c>
      <c r="G645" s="17" t="str">
        <f>IF(F645="","",IF(64*F645=0,"",64*F645))</f>
        <v/>
      </c>
      <c r="H645" s="19" t="str">
        <f>IF(Dati!E645="","",Dati!E645)</f>
        <v/>
      </c>
      <c r="I645" s="19" t="str">
        <f>IFERROR(IF(OR(C645="",C645=0),"",H645/C645*100),"")</f>
        <v/>
      </c>
      <c r="J645" s="20" t="str">
        <f>IF(Dati!F645="","",Dati!F645)</f>
        <v/>
      </c>
      <c r="K645" s="19" t="str">
        <f>IF(OR(H645="",J645=""),"",IF(H645*J645=0,"",H645*J645))</f>
        <v/>
      </c>
      <c r="L645" s="19" t="str">
        <f>IF(A645="","",IFERROR(IF(SUMPRODUCT((ISNUMBER(A$2:A645))*(A$2:A645&gt;1000)*(MONTH(IF(ISNUMBER(A$2:A645),A$2:A645,1))=MONTH(A645))*(YEAR(IF(ISNUMBER(A$2:A645),A$2:A645,1))=YEAR(A645))*IF(ISNUMBER(K$2:K645),K$2:K645,0))=0,"",SUMPRODUCT((ISNUMBER(A$2:A645))*(A$2:A645&gt;1000)*(MONTH(IF(ISNUMBER(A$2:A645),A$2:A645,1))=MONTH(A645))*(YEAR(IF(ISNUMBER(A$2:A645),A$2:A645,1))=YEAR(A645))*IF(ISNUMBER(K$2:K645),K$2:K645,0))),""))</f>
        <v/>
      </c>
      <c r="M645" s="21" t="str">
        <f>IF(A645="","",IFERROR(IF(SUMIF(N$2:N645,"CASA",K$2:K645)=0,"",SUMIF(N$2:N645,"CASA",K$2:K645)),""))</f>
        <v/>
      </c>
      <c r="N645" s="17" t="str">
        <f>IF(J645="","",IF(J645=0.2,"CASA",IF(Dati!G645="","",Dati!G645)))</f>
        <v/>
      </c>
    </row>
    <row r="646" spans="1:14" ht="15" customHeight="1" x14ac:dyDescent="0.2">
      <c r="A646" s="23" t="str">
        <f>IF(Dati!A646="","",Dati!A646)</f>
        <v/>
      </c>
      <c r="B646" s="17" t="str">
        <f>IF(Dati!B646="","",Dati!B646)</f>
        <v/>
      </c>
      <c r="C646" s="17" t="str">
        <f>IF(B646="","",IF(ISNUMBER(B645),IF(B646-B645&lt;0,B646,IF(B646-B645=0,"",B646-B645)),B646))</f>
        <v/>
      </c>
      <c r="D646" s="18" t="str">
        <f>IF(Dati!C646="","",IF(Dati!C646&gt;1,Dati!C646/100,Dati!C646))</f>
        <v/>
      </c>
      <c r="E646" s="18" t="str">
        <f>IF(Dati!D646="","",IF(Dati!D646&gt;1,Dati!D646/100,Dati!D646))</f>
        <v/>
      </c>
      <c r="F646" s="18" t="str">
        <f>IF(OR(D646="",E646=""),"",IF(OR(D646&gt;1,E646&gt;1),(E646-D646)/100,E646-D646))</f>
        <v/>
      </c>
      <c r="G646" s="17" t="str">
        <f>IF(F646="","",IF(64*F646=0,"",64*F646))</f>
        <v/>
      </c>
      <c r="H646" s="19" t="str">
        <f>IF(Dati!E646="","",Dati!E646)</f>
        <v/>
      </c>
      <c r="I646" s="19" t="str">
        <f>IFERROR(IF(OR(C646="",C646=0),"",H646/C646*100),"")</f>
        <v/>
      </c>
      <c r="J646" s="20" t="str">
        <f>IF(Dati!F646="","",Dati!F646)</f>
        <v/>
      </c>
      <c r="K646" s="19" t="str">
        <f>IF(OR(H646="",J646=""),"",IF(H646*J646=0,"",H646*J646))</f>
        <v/>
      </c>
      <c r="L646" s="19" t="str">
        <f>IF(A646="","",IFERROR(IF(SUMPRODUCT((ISNUMBER(A$2:A646))*(A$2:A646&gt;1000)*(MONTH(IF(ISNUMBER(A$2:A646),A$2:A646,1))=MONTH(A646))*(YEAR(IF(ISNUMBER(A$2:A646),A$2:A646,1))=YEAR(A646))*IF(ISNUMBER(K$2:K646),K$2:K646,0))=0,"",SUMPRODUCT((ISNUMBER(A$2:A646))*(A$2:A646&gt;1000)*(MONTH(IF(ISNUMBER(A$2:A646),A$2:A646,1))=MONTH(A646))*(YEAR(IF(ISNUMBER(A$2:A646),A$2:A646,1))=YEAR(A646))*IF(ISNUMBER(K$2:K646),K$2:K646,0))),""))</f>
        <v/>
      </c>
      <c r="M646" s="21" t="str">
        <f>IF(A646="","",IFERROR(IF(SUMIF(N$2:N646,"CASA",K$2:K646)=0,"",SUMIF(N$2:N646,"CASA",K$2:K646)),""))</f>
        <v/>
      </c>
      <c r="N646" s="17" t="str">
        <f>IF(J646="","",IF(J646=0.2,"CASA",IF(Dati!G646="","",Dati!G646)))</f>
        <v/>
      </c>
    </row>
    <row r="647" spans="1:14" ht="15" customHeight="1" x14ac:dyDescent="0.2">
      <c r="A647" s="23" t="str">
        <f>IF(Dati!A647="","",Dati!A647)</f>
        <v/>
      </c>
      <c r="B647" s="17" t="str">
        <f>IF(Dati!B647="","",Dati!B647)</f>
        <v/>
      </c>
      <c r="C647" s="17" t="str">
        <f>IF(B647="","",IF(ISNUMBER(B646),IF(B647-B646&lt;0,B647,IF(B647-B646=0,"",B647-B646)),B647))</f>
        <v/>
      </c>
      <c r="D647" s="18" t="str">
        <f>IF(Dati!C647="","",IF(Dati!C647&gt;1,Dati!C647/100,Dati!C647))</f>
        <v/>
      </c>
      <c r="E647" s="18" t="str">
        <f>IF(Dati!D647="","",IF(Dati!D647&gt;1,Dati!D647/100,Dati!D647))</f>
        <v/>
      </c>
      <c r="F647" s="18" t="str">
        <f>IF(OR(D647="",E647=""),"",IF(OR(D647&gt;1,E647&gt;1),(E647-D647)/100,E647-D647))</f>
        <v/>
      </c>
      <c r="G647" s="17" t="str">
        <f>IF(F647="","",IF(64*F647=0,"",64*F647))</f>
        <v/>
      </c>
      <c r="H647" s="19" t="str">
        <f>IF(Dati!E647="","",Dati!E647)</f>
        <v/>
      </c>
      <c r="I647" s="19" t="str">
        <f>IFERROR(IF(OR(C647="",C647=0),"",H647/C647*100),"")</f>
        <v/>
      </c>
      <c r="J647" s="20" t="str">
        <f>IF(Dati!F647="","",Dati!F647)</f>
        <v/>
      </c>
      <c r="K647" s="19" t="str">
        <f>IF(OR(H647="",J647=""),"",IF(H647*J647=0,"",H647*J647))</f>
        <v/>
      </c>
      <c r="L647" s="19" t="str">
        <f>IF(A647="","",IFERROR(IF(SUMPRODUCT((ISNUMBER(A$2:A647))*(A$2:A647&gt;1000)*(MONTH(IF(ISNUMBER(A$2:A647),A$2:A647,1))=MONTH(A647))*(YEAR(IF(ISNUMBER(A$2:A647),A$2:A647,1))=YEAR(A647))*IF(ISNUMBER(K$2:K647),K$2:K647,0))=0,"",SUMPRODUCT((ISNUMBER(A$2:A647))*(A$2:A647&gt;1000)*(MONTH(IF(ISNUMBER(A$2:A647),A$2:A647,1))=MONTH(A647))*(YEAR(IF(ISNUMBER(A$2:A647),A$2:A647,1))=YEAR(A647))*IF(ISNUMBER(K$2:K647),K$2:K647,0))),""))</f>
        <v/>
      </c>
      <c r="M647" s="21" t="str">
        <f>IF(A647="","",IFERROR(IF(SUMIF(N$2:N647,"CASA",K$2:K647)=0,"",SUMIF(N$2:N647,"CASA",K$2:K647)),""))</f>
        <v/>
      </c>
      <c r="N647" s="17" t="str">
        <f>IF(J647="","",IF(J647=0.2,"CASA",IF(Dati!G647="","",Dati!G647)))</f>
        <v/>
      </c>
    </row>
    <row r="648" spans="1:14" ht="15" customHeight="1" x14ac:dyDescent="0.2">
      <c r="A648" s="23" t="str">
        <f>IF(Dati!A648="","",Dati!A648)</f>
        <v/>
      </c>
      <c r="B648" s="17" t="str">
        <f>IF(Dati!B648="","",Dati!B648)</f>
        <v/>
      </c>
      <c r="C648" s="17" t="str">
        <f>IF(B648="","",IF(ISNUMBER(B647),IF(B648-B647&lt;0,B648,IF(B648-B647=0,"",B648-B647)),B648))</f>
        <v/>
      </c>
      <c r="D648" s="18" t="str">
        <f>IF(Dati!C648="","",IF(Dati!C648&gt;1,Dati!C648/100,Dati!C648))</f>
        <v/>
      </c>
      <c r="E648" s="18" t="str">
        <f>IF(Dati!D648="","",IF(Dati!D648&gt;1,Dati!D648/100,Dati!D648))</f>
        <v/>
      </c>
      <c r="F648" s="18" t="str">
        <f>IF(OR(D648="",E648=""),"",IF(OR(D648&gt;1,E648&gt;1),(E648-D648)/100,E648-D648))</f>
        <v/>
      </c>
      <c r="G648" s="17" t="str">
        <f>IF(F648="","",IF(64*F648=0,"",64*F648))</f>
        <v/>
      </c>
      <c r="H648" s="19" t="str">
        <f>IF(Dati!E648="","",Dati!E648)</f>
        <v/>
      </c>
      <c r="I648" s="19" t="str">
        <f>IFERROR(IF(OR(C648="",C648=0),"",H648/C648*100),"")</f>
        <v/>
      </c>
      <c r="J648" s="20" t="str">
        <f>IF(Dati!F648="","",Dati!F648)</f>
        <v/>
      </c>
      <c r="K648" s="19" t="str">
        <f>IF(OR(H648="",J648=""),"",IF(H648*J648=0,"",H648*J648))</f>
        <v/>
      </c>
      <c r="L648" s="19" t="str">
        <f>IF(A648="","",IFERROR(IF(SUMPRODUCT((ISNUMBER(A$2:A648))*(A$2:A648&gt;1000)*(MONTH(IF(ISNUMBER(A$2:A648),A$2:A648,1))=MONTH(A648))*(YEAR(IF(ISNUMBER(A$2:A648),A$2:A648,1))=YEAR(A648))*IF(ISNUMBER(K$2:K648),K$2:K648,0))=0,"",SUMPRODUCT((ISNUMBER(A$2:A648))*(A$2:A648&gt;1000)*(MONTH(IF(ISNUMBER(A$2:A648),A$2:A648,1))=MONTH(A648))*(YEAR(IF(ISNUMBER(A$2:A648),A$2:A648,1))=YEAR(A648))*IF(ISNUMBER(K$2:K648),K$2:K648,0))),""))</f>
        <v/>
      </c>
      <c r="M648" s="21" t="str">
        <f>IF(A648="","",IFERROR(IF(SUMIF(N$2:N648,"CASA",K$2:K648)=0,"",SUMIF(N$2:N648,"CASA",K$2:K648)),""))</f>
        <v/>
      </c>
      <c r="N648" s="17" t="str">
        <f>IF(J648="","",IF(J648=0.2,"CASA",IF(Dati!G648="","",Dati!G648)))</f>
        <v/>
      </c>
    </row>
    <row r="649" spans="1:14" ht="15" customHeight="1" x14ac:dyDescent="0.2">
      <c r="A649" s="23" t="str">
        <f>IF(Dati!A649="","",Dati!A649)</f>
        <v/>
      </c>
      <c r="B649" s="17" t="str">
        <f>IF(Dati!B649="","",Dati!B649)</f>
        <v/>
      </c>
      <c r="C649" s="17" t="str">
        <f>IF(B649="","",IF(ISNUMBER(B648),IF(B649-B648&lt;0,B649,IF(B649-B648=0,"",B649-B648)),B649))</f>
        <v/>
      </c>
      <c r="D649" s="18" t="str">
        <f>IF(Dati!C649="","",IF(Dati!C649&gt;1,Dati!C649/100,Dati!C649))</f>
        <v/>
      </c>
      <c r="E649" s="18" t="str">
        <f>IF(Dati!D649="","",IF(Dati!D649&gt;1,Dati!D649/100,Dati!D649))</f>
        <v/>
      </c>
      <c r="F649" s="18" t="str">
        <f>IF(OR(D649="",E649=""),"",IF(OR(D649&gt;1,E649&gt;1),(E649-D649)/100,E649-D649))</f>
        <v/>
      </c>
      <c r="G649" s="17" t="str">
        <f>IF(F649="","",IF(64*F649=0,"",64*F649))</f>
        <v/>
      </c>
      <c r="H649" s="19" t="str">
        <f>IF(Dati!E649="","",Dati!E649)</f>
        <v/>
      </c>
      <c r="I649" s="19" t="str">
        <f>IFERROR(IF(OR(C649="",C649=0),"",H649/C649*100),"")</f>
        <v/>
      </c>
      <c r="J649" s="20" t="str">
        <f>IF(Dati!F649="","",Dati!F649)</f>
        <v/>
      </c>
      <c r="K649" s="19" t="str">
        <f>IF(OR(H649="",J649=""),"",IF(H649*J649=0,"",H649*J649))</f>
        <v/>
      </c>
      <c r="L649" s="19" t="str">
        <f>IF(A649="","",IFERROR(IF(SUMPRODUCT((ISNUMBER(A$2:A649))*(A$2:A649&gt;1000)*(MONTH(IF(ISNUMBER(A$2:A649),A$2:A649,1))=MONTH(A649))*(YEAR(IF(ISNUMBER(A$2:A649),A$2:A649,1))=YEAR(A649))*IF(ISNUMBER(K$2:K649),K$2:K649,0))=0,"",SUMPRODUCT((ISNUMBER(A$2:A649))*(A$2:A649&gt;1000)*(MONTH(IF(ISNUMBER(A$2:A649),A$2:A649,1))=MONTH(A649))*(YEAR(IF(ISNUMBER(A$2:A649),A$2:A649,1))=YEAR(A649))*IF(ISNUMBER(K$2:K649),K$2:K649,0))),""))</f>
        <v/>
      </c>
      <c r="M649" s="21" t="str">
        <f>IF(A649="","",IFERROR(IF(SUMIF(N$2:N649,"CASA",K$2:K649)=0,"",SUMIF(N$2:N649,"CASA",K$2:K649)),""))</f>
        <v/>
      </c>
      <c r="N649" s="17" t="str">
        <f>IF(J649="","",IF(J649=0.2,"CASA",IF(Dati!G649="","",Dati!G649)))</f>
        <v/>
      </c>
    </row>
    <row r="650" spans="1:14" ht="15" customHeight="1" x14ac:dyDescent="0.2">
      <c r="A650" s="23" t="str">
        <f>IF(Dati!A650="","",Dati!A650)</f>
        <v/>
      </c>
      <c r="B650" s="17" t="str">
        <f>IF(Dati!B650="","",Dati!B650)</f>
        <v/>
      </c>
      <c r="C650" s="17" t="str">
        <f>IF(B650="","",IF(ISNUMBER(B649),IF(B650-B649&lt;0,B650,IF(B650-B649=0,"",B650-B649)),B650))</f>
        <v/>
      </c>
      <c r="D650" s="18" t="str">
        <f>IF(Dati!C650="","",IF(Dati!C650&gt;1,Dati!C650/100,Dati!C650))</f>
        <v/>
      </c>
      <c r="E650" s="18" t="str">
        <f>IF(Dati!D650="","",IF(Dati!D650&gt;1,Dati!D650/100,Dati!D650))</f>
        <v/>
      </c>
      <c r="F650" s="18" t="str">
        <f>IF(OR(D650="",E650=""),"",IF(OR(D650&gt;1,E650&gt;1),(E650-D650)/100,E650-D650))</f>
        <v/>
      </c>
      <c r="G650" s="17" t="str">
        <f>IF(F650="","",IF(64*F650=0,"",64*F650))</f>
        <v/>
      </c>
      <c r="H650" s="19" t="str">
        <f>IF(Dati!E650="","",Dati!E650)</f>
        <v/>
      </c>
      <c r="I650" s="19" t="str">
        <f>IFERROR(IF(OR(C650="",C650=0),"",H650/C650*100),"")</f>
        <v/>
      </c>
      <c r="J650" s="20" t="str">
        <f>IF(Dati!F650="","",Dati!F650)</f>
        <v/>
      </c>
      <c r="K650" s="19" t="str">
        <f>IF(OR(H650="",J650=""),"",IF(H650*J650=0,"",H650*J650))</f>
        <v/>
      </c>
      <c r="L650" s="19" t="str">
        <f>IF(A650="","",IFERROR(IF(SUMPRODUCT((ISNUMBER(A$2:A650))*(A$2:A650&gt;1000)*(MONTH(IF(ISNUMBER(A$2:A650),A$2:A650,1))=MONTH(A650))*(YEAR(IF(ISNUMBER(A$2:A650),A$2:A650,1))=YEAR(A650))*IF(ISNUMBER(K$2:K650),K$2:K650,0))=0,"",SUMPRODUCT((ISNUMBER(A$2:A650))*(A$2:A650&gt;1000)*(MONTH(IF(ISNUMBER(A$2:A650),A$2:A650,1))=MONTH(A650))*(YEAR(IF(ISNUMBER(A$2:A650),A$2:A650,1))=YEAR(A650))*IF(ISNUMBER(K$2:K650),K$2:K650,0))),""))</f>
        <v/>
      </c>
      <c r="M650" s="21" t="str">
        <f>IF(A650="","",IFERROR(IF(SUMIF(N$2:N650,"CASA",K$2:K650)=0,"",SUMIF(N$2:N650,"CASA",K$2:K650)),""))</f>
        <v/>
      </c>
      <c r="N650" s="17" t="str">
        <f>IF(J650="","",IF(J650=0.2,"CASA",IF(Dati!G650="","",Dati!G650)))</f>
        <v/>
      </c>
    </row>
    <row r="651" spans="1:14" ht="15" customHeight="1" x14ac:dyDescent="0.2">
      <c r="A651" s="23" t="str">
        <f>IF(Dati!A651="","",Dati!A651)</f>
        <v/>
      </c>
      <c r="B651" s="17" t="str">
        <f>IF(Dati!B651="","",Dati!B651)</f>
        <v/>
      </c>
      <c r="C651" s="17" t="str">
        <f>IF(B651="","",IF(ISNUMBER(B650),IF(B651-B650&lt;0,B651,IF(B651-B650=0,"",B651-B650)),B651))</f>
        <v/>
      </c>
      <c r="D651" s="18" t="str">
        <f>IF(Dati!C651="","",IF(Dati!C651&gt;1,Dati!C651/100,Dati!C651))</f>
        <v/>
      </c>
      <c r="E651" s="18" t="str">
        <f>IF(Dati!D651="","",IF(Dati!D651&gt;1,Dati!D651/100,Dati!D651))</f>
        <v/>
      </c>
      <c r="F651" s="18" t="str">
        <f>IF(OR(D651="",E651=""),"",IF(OR(D651&gt;1,E651&gt;1),(E651-D651)/100,E651-D651))</f>
        <v/>
      </c>
      <c r="G651" s="17" t="str">
        <f>IF(F651="","",IF(64*F651=0,"",64*F651))</f>
        <v/>
      </c>
      <c r="H651" s="19" t="str">
        <f>IF(Dati!E651="","",Dati!E651)</f>
        <v/>
      </c>
      <c r="I651" s="19" t="str">
        <f>IFERROR(IF(OR(C651="",C651=0),"",H651/C651*100),"")</f>
        <v/>
      </c>
      <c r="J651" s="20" t="str">
        <f>IF(Dati!F651="","",Dati!F651)</f>
        <v/>
      </c>
      <c r="K651" s="19" t="str">
        <f>IF(OR(H651="",J651=""),"",IF(H651*J651=0,"",H651*J651))</f>
        <v/>
      </c>
      <c r="L651" s="19" t="str">
        <f>IF(A651="","",IFERROR(IF(SUMPRODUCT((ISNUMBER(A$2:A651))*(A$2:A651&gt;1000)*(MONTH(IF(ISNUMBER(A$2:A651),A$2:A651,1))=MONTH(A651))*(YEAR(IF(ISNUMBER(A$2:A651),A$2:A651,1))=YEAR(A651))*IF(ISNUMBER(K$2:K651),K$2:K651,0))=0,"",SUMPRODUCT((ISNUMBER(A$2:A651))*(A$2:A651&gt;1000)*(MONTH(IF(ISNUMBER(A$2:A651),A$2:A651,1))=MONTH(A651))*(YEAR(IF(ISNUMBER(A$2:A651),A$2:A651,1))=YEAR(A651))*IF(ISNUMBER(K$2:K651),K$2:K651,0))),""))</f>
        <v/>
      </c>
      <c r="M651" s="21" t="str">
        <f>IF(A651="","",IFERROR(IF(SUMIF(N$2:N651,"CASA",K$2:K651)=0,"",SUMIF(N$2:N651,"CASA",K$2:K651)),""))</f>
        <v/>
      </c>
      <c r="N651" s="17" t="str">
        <f>IF(J651="","",IF(J651=0.2,"CASA",IF(Dati!G651="","",Dati!G651)))</f>
        <v/>
      </c>
    </row>
    <row r="652" spans="1:14" ht="15" customHeight="1" x14ac:dyDescent="0.2">
      <c r="A652" s="23" t="str">
        <f>IF(Dati!A652="","",Dati!A652)</f>
        <v/>
      </c>
      <c r="B652" s="17" t="str">
        <f>IF(Dati!B652="","",Dati!B652)</f>
        <v/>
      </c>
      <c r="C652" s="17" t="str">
        <f>IF(B652="","",IF(ISNUMBER(B651),IF(B652-B651&lt;0,B652,IF(B652-B651=0,"",B652-B651)),B652))</f>
        <v/>
      </c>
      <c r="D652" s="18" t="str">
        <f>IF(Dati!C652="","",IF(Dati!C652&gt;1,Dati!C652/100,Dati!C652))</f>
        <v/>
      </c>
      <c r="E652" s="18" t="str">
        <f>IF(Dati!D652="","",IF(Dati!D652&gt;1,Dati!D652/100,Dati!D652))</f>
        <v/>
      </c>
      <c r="F652" s="18" t="str">
        <f>IF(OR(D652="",E652=""),"",IF(OR(D652&gt;1,E652&gt;1),(E652-D652)/100,E652-D652))</f>
        <v/>
      </c>
      <c r="G652" s="17" t="str">
        <f>IF(F652="","",IF(64*F652=0,"",64*F652))</f>
        <v/>
      </c>
      <c r="H652" s="19" t="str">
        <f>IF(Dati!E652="","",Dati!E652)</f>
        <v/>
      </c>
      <c r="I652" s="19" t="str">
        <f>IFERROR(IF(OR(C652="",C652=0),"",H652/C652*100),"")</f>
        <v/>
      </c>
      <c r="J652" s="20" t="str">
        <f>IF(Dati!F652="","",Dati!F652)</f>
        <v/>
      </c>
      <c r="K652" s="19" t="str">
        <f>IF(OR(H652="",J652=""),"",IF(H652*J652=0,"",H652*J652))</f>
        <v/>
      </c>
      <c r="L652" s="19" t="str">
        <f>IF(A652="","",IFERROR(IF(SUMPRODUCT((ISNUMBER(A$2:A652))*(A$2:A652&gt;1000)*(MONTH(IF(ISNUMBER(A$2:A652),A$2:A652,1))=MONTH(A652))*(YEAR(IF(ISNUMBER(A$2:A652),A$2:A652,1))=YEAR(A652))*IF(ISNUMBER(K$2:K652),K$2:K652,0))=0,"",SUMPRODUCT((ISNUMBER(A$2:A652))*(A$2:A652&gt;1000)*(MONTH(IF(ISNUMBER(A$2:A652),A$2:A652,1))=MONTH(A652))*(YEAR(IF(ISNUMBER(A$2:A652),A$2:A652,1))=YEAR(A652))*IF(ISNUMBER(K$2:K652),K$2:K652,0))),""))</f>
        <v/>
      </c>
      <c r="M652" s="21" t="str">
        <f>IF(A652="","",IFERROR(IF(SUMIF(N$2:N652,"CASA",K$2:K652)=0,"",SUMIF(N$2:N652,"CASA",K$2:K652)),""))</f>
        <v/>
      </c>
      <c r="N652" s="17" t="str">
        <f>IF(J652="","",IF(J652=0.2,"CASA",IF(Dati!G652="","",Dati!G652)))</f>
        <v/>
      </c>
    </row>
    <row r="653" spans="1:14" ht="15" customHeight="1" x14ac:dyDescent="0.2">
      <c r="A653" s="23" t="str">
        <f>IF(Dati!A653="","",Dati!A653)</f>
        <v/>
      </c>
      <c r="B653" s="17" t="str">
        <f>IF(Dati!B653="","",Dati!B653)</f>
        <v/>
      </c>
      <c r="C653" s="17" t="str">
        <f>IF(B653="","",IF(ISNUMBER(B652),IF(B653-B652&lt;0,B653,IF(B653-B652=0,"",B653-B652)),B653))</f>
        <v/>
      </c>
      <c r="D653" s="18" t="str">
        <f>IF(Dati!C653="","",IF(Dati!C653&gt;1,Dati!C653/100,Dati!C653))</f>
        <v/>
      </c>
      <c r="E653" s="18" t="str">
        <f>IF(Dati!D653="","",IF(Dati!D653&gt;1,Dati!D653/100,Dati!D653))</f>
        <v/>
      </c>
      <c r="F653" s="18" t="str">
        <f>IF(OR(D653="",E653=""),"",IF(OR(D653&gt;1,E653&gt;1),(E653-D653)/100,E653-D653))</f>
        <v/>
      </c>
      <c r="G653" s="17" t="str">
        <f>IF(F653="","",IF(64*F653=0,"",64*F653))</f>
        <v/>
      </c>
      <c r="H653" s="19" t="str">
        <f>IF(Dati!E653="","",Dati!E653)</f>
        <v/>
      </c>
      <c r="I653" s="19" t="str">
        <f>IFERROR(IF(OR(C653="",C653=0),"",H653/C653*100),"")</f>
        <v/>
      </c>
      <c r="J653" s="20" t="str">
        <f>IF(Dati!F653="","",Dati!F653)</f>
        <v/>
      </c>
      <c r="K653" s="19" t="str">
        <f>IF(OR(H653="",J653=""),"",IF(H653*J653=0,"",H653*J653))</f>
        <v/>
      </c>
      <c r="L653" s="19" t="str">
        <f>IF(A653="","",IFERROR(IF(SUMPRODUCT((ISNUMBER(A$2:A653))*(A$2:A653&gt;1000)*(MONTH(IF(ISNUMBER(A$2:A653),A$2:A653,1))=MONTH(A653))*(YEAR(IF(ISNUMBER(A$2:A653),A$2:A653,1))=YEAR(A653))*IF(ISNUMBER(K$2:K653),K$2:K653,0))=0,"",SUMPRODUCT((ISNUMBER(A$2:A653))*(A$2:A653&gt;1000)*(MONTH(IF(ISNUMBER(A$2:A653),A$2:A653,1))=MONTH(A653))*(YEAR(IF(ISNUMBER(A$2:A653),A$2:A653,1))=YEAR(A653))*IF(ISNUMBER(K$2:K653),K$2:K653,0))),""))</f>
        <v/>
      </c>
      <c r="M653" s="21" t="str">
        <f>IF(A653="","",IFERROR(IF(SUMIF(N$2:N653,"CASA",K$2:K653)=0,"",SUMIF(N$2:N653,"CASA",K$2:K653)),""))</f>
        <v/>
      </c>
      <c r="N653" s="17" t="str">
        <f>IF(J653="","",IF(J653=0.2,"CASA",IF(Dati!G653="","",Dati!G653)))</f>
        <v/>
      </c>
    </row>
    <row r="654" spans="1:14" ht="15" customHeight="1" x14ac:dyDescent="0.2">
      <c r="A654" s="23" t="str">
        <f>IF(Dati!A654="","",Dati!A654)</f>
        <v/>
      </c>
      <c r="B654" s="17" t="str">
        <f>IF(Dati!B654="","",Dati!B654)</f>
        <v/>
      </c>
      <c r="C654" s="17" t="str">
        <f>IF(B654="","",IF(ISNUMBER(B653),IF(B654-B653&lt;0,B654,IF(B654-B653=0,"",B654-B653)),B654))</f>
        <v/>
      </c>
      <c r="D654" s="18" t="str">
        <f>IF(Dati!C654="","",IF(Dati!C654&gt;1,Dati!C654/100,Dati!C654))</f>
        <v/>
      </c>
      <c r="E654" s="18" t="str">
        <f>IF(Dati!D654="","",IF(Dati!D654&gt;1,Dati!D654/100,Dati!D654))</f>
        <v/>
      </c>
      <c r="F654" s="18" t="str">
        <f>IF(OR(D654="",E654=""),"",IF(OR(D654&gt;1,E654&gt;1),(E654-D654)/100,E654-D654))</f>
        <v/>
      </c>
      <c r="G654" s="17" t="str">
        <f>IF(F654="","",IF(64*F654=0,"",64*F654))</f>
        <v/>
      </c>
      <c r="H654" s="19" t="str">
        <f>IF(Dati!E654="","",Dati!E654)</f>
        <v/>
      </c>
      <c r="I654" s="19" t="str">
        <f>IFERROR(IF(OR(C654="",C654=0),"",H654/C654*100),"")</f>
        <v/>
      </c>
      <c r="J654" s="20" t="str">
        <f>IF(Dati!F654="","",Dati!F654)</f>
        <v/>
      </c>
      <c r="K654" s="19" t="str">
        <f>IF(OR(H654="",J654=""),"",IF(H654*J654=0,"",H654*J654))</f>
        <v/>
      </c>
      <c r="L654" s="19" t="str">
        <f>IF(A654="","",IFERROR(IF(SUMPRODUCT((ISNUMBER(A$2:A654))*(A$2:A654&gt;1000)*(MONTH(IF(ISNUMBER(A$2:A654),A$2:A654,1))=MONTH(A654))*(YEAR(IF(ISNUMBER(A$2:A654),A$2:A654,1))=YEAR(A654))*IF(ISNUMBER(K$2:K654),K$2:K654,0))=0,"",SUMPRODUCT((ISNUMBER(A$2:A654))*(A$2:A654&gt;1000)*(MONTH(IF(ISNUMBER(A$2:A654),A$2:A654,1))=MONTH(A654))*(YEAR(IF(ISNUMBER(A$2:A654),A$2:A654,1))=YEAR(A654))*IF(ISNUMBER(K$2:K654),K$2:K654,0))),""))</f>
        <v/>
      </c>
      <c r="M654" s="21" t="str">
        <f>IF(A654="","",IFERROR(IF(SUMIF(N$2:N654,"CASA",K$2:K654)=0,"",SUMIF(N$2:N654,"CASA",K$2:K654)),""))</f>
        <v/>
      </c>
      <c r="N654" s="17" t="str">
        <f>IF(J654="","",IF(J654=0.2,"CASA",IF(Dati!G654="","",Dati!G654)))</f>
        <v/>
      </c>
    </row>
    <row r="655" spans="1:14" ht="15" customHeight="1" x14ac:dyDescent="0.2">
      <c r="A655" s="23" t="str">
        <f>IF(Dati!A655="","",Dati!A655)</f>
        <v/>
      </c>
      <c r="B655" s="17" t="str">
        <f>IF(Dati!B655="","",Dati!B655)</f>
        <v/>
      </c>
      <c r="C655" s="17" t="str">
        <f>IF(B655="","",IF(ISNUMBER(B654),IF(B655-B654&lt;0,B655,IF(B655-B654=0,"",B655-B654)),B655))</f>
        <v/>
      </c>
      <c r="D655" s="18" t="str">
        <f>IF(Dati!C655="","",IF(Dati!C655&gt;1,Dati!C655/100,Dati!C655))</f>
        <v/>
      </c>
      <c r="E655" s="18" t="str">
        <f>IF(Dati!D655="","",IF(Dati!D655&gt;1,Dati!D655/100,Dati!D655))</f>
        <v/>
      </c>
      <c r="F655" s="18" t="str">
        <f>IF(OR(D655="",E655=""),"",IF(OR(D655&gt;1,E655&gt;1),(E655-D655)/100,E655-D655))</f>
        <v/>
      </c>
      <c r="G655" s="17" t="str">
        <f>IF(F655="","",IF(64*F655=0,"",64*F655))</f>
        <v/>
      </c>
      <c r="H655" s="19" t="str">
        <f>IF(Dati!E655="","",Dati!E655)</f>
        <v/>
      </c>
      <c r="I655" s="19" t="str">
        <f>IFERROR(IF(OR(C655="",C655=0),"",H655/C655*100),"")</f>
        <v/>
      </c>
      <c r="J655" s="20" t="str">
        <f>IF(Dati!F655="","",Dati!F655)</f>
        <v/>
      </c>
      <c r="K655" s="19" t="str">
        <f>IF(OR(H655="",J655=""),"",IF(H655*J655=0,"",H655*J655))</f>
        <v/>
      </c>
      <c r="L655" s="19" t="str">
        <f>IF(A655="","",IFERROR(IF(SUMPRODUCT((ISNUMBER(A$2:A655))*(A$2:A655&gt;1000)*(MONTH(IF(ISNUMBER(A$2:A655),A$2:A655,1))=MONTH(A655))*(YEAR(IF(ISNUMBER(A$2:A655),A$2:A655,1))=YEAR(A655))*IF(ISNUMBER(K$2:K655),K$2:K655,0))=0,"",SUMPRODUCT((ISNUMBER(A$2:A655))*(A$2:A655&gt;1000)*(MONTH(IF(ISNUMBER(A$2:A655),A$2:A655,1))=MONTH(A655))*(YEAR(IF(ISNUMBER(A$2:A655),A$2:A655,1))=YEAR(A655))*IF(ISNUMBER(K$2:K655),K$2:K655,0))),""))</f>
        <v/>
      </c>
      <c r="M655" s="21" t="str">
        <f>IF(A655="","",IFERROR(IF(SUMIF(N$2:N655,"CASA",K$2:K655)=0,"",SUMIF(N$2:N655,"CASA",K$2:K655)),""))</f>
        <v/>
      </c>
      <c r="N655" s="17" t="str">
        <f>IF(J655="","",IF(J655=0.2,"CASA",IF(Dati!G655="","",Dati!G655)))</f>
        <v/>
      </c>
    </row>
    <row r="656" spans="1:14" ht="15" customHeight="1" x14ac:dyDescent="0.2">
      <c r="A656" s="23" t="str">
        <f>IF(Dati!A656="","",Dati!A656)</f>
        <v/>
      </c>
      <c r="B656" s="17" t="str">
        <f>IF(Dati!B656="","",Dati!B656)</f>
        <v/>
      </c>
      <c r="C656" s="17" t="str">
        <f>IF(B656="","",IF(ISNUMBER(B655),IF(B656-B655&lt;0,B656,IF(B656-B655=0,"",B656-B655)),B656))</f>
        <v/>
      </c>
      <c r="D656" s="18" t="str">
        <f>IF(Dati!C656="","",IF(Dati!C656&gt;1,Dati!C656/100,Dati!C656))</f>
        <v/>
      </c>
      <c r="E656" s="18" t="str">
        <f>IF(Dati!D656="","",IF(Dati!D656&gt;1,Dati!D656/100,Dati!D656))</f>
        <v/>
      </c>
      <c r="F656" s="18" t="str">
        <f>IF(OR(D656="",E656=""),"",IF(OR(D656&gt;1,E656&gt;1),(E656-D656)/100,E656-D656))</f>
        <v/>
      </c>
      <c r="G656" s="17" t="str">
        <f>IF(F656="","",IF(64*F656=0,"",64*F656))</f>
        <v/>
      </c>
      <c r="H656" s="19" t="str">
        <f>IF(Dati!E656="","",Dati!E656)</f>
        <v/>
      </c>
      <c r="I656" s="19" t="str">
        <f>IFERROR(IF(OR(C656="",C656=0),"",H656/C656*100),"")</f>
        <v/>
      </c>
      <c r="J656" s="20" t="str">
        <f>IF(Dati!F656="","",Dati!F656)</f>
        <v/>
      </c>
      <c r="K656" s="19" t="str">
        <f>IF(OR(H656="",J656=""),"",IF(H656*J656=0,"",H656*J656))</f>
        <v/>
      </c>
      <c r="L656" s="19" t="str">
        <f>IF(A656="","",IFERROR(IF(SUMPRODUCT((ISNUMBER(A$2:A656))*(A$2:A656&gt;1000)*(MONTH(IF(ISNUMBER(A$2:A656),A$2:A656,1))=MONTH(A656))*(YEAR(IF(ISNUMBER(A$2:A656),A$2:A656,1))=YEAR(A656))*IF(ISNUMBER(K$2:K656),K$2:K656,0))=0,"",SUMPRODUCT((ISNUMBER(A$2:A656))*(A$2:A656&gt;1000)*(MONTH(IF(ISNUMBER(A$2:A656),A$2:A656,1))=MONTH(A656))*(YEAR(IF(ISNUMBER(A$2:A656),A$2:A656,1))=YEAR(A656))*IF(ISNUMBER(K$2:K656),K$2:K656,0))),""))</f>
        <v/>
      </c>
      <c r="M656" s="21" t="str">
        <f>IF(A656="","",IFERROR(IF(SUMIF(N$2:N656,"CASA",K$2:K656)=0,"",SUMIF(N$2:N656,"CASA",K$2:K656)),""))</f>
        <v/>
      </c>
      <c r="N656" s="17" t="str">
        <f>IF(J656="","",IF(J656=0.2,"CASA",IF(Dati!G656="","",Dati!G656)))</f>
        <v/>
      </c>
    </row>
    <row r="657" spans="1:14" ht="15" customHeight="1" x14ac:dyDescent="0.2">
      <c r="A657" s="23" t="str">
        <f>IF(Dati!A657="","",Dati!A657)</f>
        <v/>
      </c>
      <c r="B657" s="17" t="str">
        <f>IF(Dati!B657="","",Dati!B657)</f>
        <v/>
      </c>
      <c r="C657" s="17" t="str">
        <f>IF(B657="","",IF(ISNUMBER(B656),IF(B657-B656&lt;0,B657,IF(B657-B656=0,"",B657-B656)),B657))</f>
        <v/>
      </c>
      <c r="D657" s="18" t="str">
        <f>IF(Dati!C657="","",IF(Dati!C657&gt;1,Dati!C657/100,Dati!C657))</f>
        <v/>
      </c>
      <c r="E657" s="18" t="str">
        <f>IF(Dati!D657="","",IF(Dati!D657&gt;1,Dati!D657/100,Dati!D657))</f>
        <v/>
      </c>
      <c r="F657" s="18" t="str">
        <f>IF(OR(D657="",E657=""),"",IF(OR(D657&gt;1,E657&gt;1),(E657-D657)/100,E657-D657))</f>
        <v/>
      </c>
      <c r="G657" s="17" t="str">
        <f>IF(F657="","",IF(64*F657=0,"",64*F657))</f>
        <v/>
      </c>
      <c r="H657" s="19" t="str">
        <f>IF(Dati!E657="","",Dati!E657)</f>
        <v/>
      </c>
      <c r="I657" s="19" t="str">
        <f>IFERROR(IF(OR(C657="",C657=0),"",H657/C657*100),"")</f>
        <v/>
      </c>
      <c r="J657" s="20" t="str">
        <f>IF(Dati!F657="","",Dati!F657)</f>
        <v/>
      </c>
      <c r="K657" s="19" t="str">
        <f>IF(OR(H657="",J657=""),"",IF(H657*J657=0,"",H657*J657))</f>
        <v/>
      </c>
      <c r="L657" s="19" t="str">
        <f>IF(A657="","",IFERROR(IF(SUMPRODUCT((ISNUMBER(A$2:A657))*(A$2:A657&gt;1000)*(MONTH(IF(ISNUMBER(A$2:A657),A$2:A657,1))=MONTH(A657))*(YEAR(IF(ISNUMBER(A$2:A657),A$2:A657,1))=YEAR(A657))*IF(ISNUMBER(K$2:K657),K$2:K657,0))=0,"",SUMPRODUCT((ISNUMBER(A$2:A657))*(A$2:A657&gt;1000)*(MONTH(IF(ISNUMBER(A$2:A657),A$2:A657,1))=MONTH(A657))*(YEAR(IF(ISNUMBER(A$2:A657),A$2:A657,1))=YEAR(A657))*IF(ISNUMBER(K$2:K657),K$2:K657,0))),""))</f>
        <v/>
      </c>
      <c r="M657" s="21" t="str">
        <f>IF(A657="","",IFERROR(IF(SUMIF(N$2:N657,"CASA",K$2:K657)=0,"",SUMIF(N$2:N657,"CASA",K$2:K657)),""))</f>
        <v/>
      </c>
      <c r="N657" s="17" t="str">
        <f>IF(J657="","",IF(J657=0.2,"CASA",IF(Dati!G657="","",Dati!G657)))</f>
        <v/>
      </c>
    </row>
    <row r="658" spans="1:14" ht="15" customHeight="1" x14ac:dyDescent="0.2">
      <c r="A658" s="23" t="str">
        <f>IF(Dati!A658="","",Dati!A658)</f>
        <v/>
      </c>
      <c r="B658" s="17" t="str">
        <f>IF(Dati!B658="","",Dati!B658)</f>
        <v/>
      </c>
      <c r="C658" s="17" t="str">
        <f>IF(B658="","",IF(ISNUMBER(B657),IF(B658-B657&lt;0,B658,IF(B658-B657=0,"",B658-B657)),B658))</f>
        <v/>
      </c>
      <c r="D658" s="18" t="str">
        <f>IF(Dati!C658="","",IF(Dati!C658&gt;1,Dati!C658/100,Dati!C658))</f>
        <v/>
      </c>
      <c r="E658" s="18" t="str">
        <f>IF(Dati!D658="","",IF(Dati!D658&gt;1,Dati!D658/100,Dati!D658))</f>
        <v/>
      </c>
      <c r="F658" s="18" t="str">
        <f>IF(OR(D658="",E658=""),"",IF(OR(D658&gt;1,E658&gt;1),(E658-D658)/100,E658-D658))</f>
        <v/>
      </c>
      <c r="G658" s="17" t="str">
        <f>IF(F658="","",IF(64*F658=0,"",64*F658))</f>
        <v/>
      </c>
      <c r="H658" s="19" t="str">
        <f>IF(Dati!E658="","",Dati!E658)</f>
        <v/>
      </c>
      <c r="I658" s="19" t="str">
        <f>IFERROR(IF(OR(C658="",C658=0),"",H658/C658*100),"")</f>
        <v/>
      </c>
      <c r="J658" s="20" t="str">
        <f>IF(Dati!F658="","",Dati!F658)</f>
        <v/>
      </c>
      <c r="K658" s="19" t="str">
        <f>IF(OR(H658="",J658=""),"",IF(H658*J658=0,"",H658*J658))</f>
        <v/>
      </c>
      <c r="L658" s="19" t="str">
        <f>IF(A658="","",IFERROR(IF(SUMPRODUCT((ISNUMBER(A$2:A658))*(A$2:A658&gt;1000)*(MONTH(IF(ISNUMBER(A$2:A658),A$2:A658,1))=MONTH(A658))*(YEAR(IF(ISNUMBER(A$2:A658),A$2:A658,1))=YEAR(A658))*IF(ISNUMBER(K$2:K658),K$2:K658,0))=0,"",SUMPRODUCT((ISNUMBER(A$2:A658))*(A$2:A658&gt;1000)*(MONTH(IF(ISNUMBER(A$2:A658),A$2:A658,1))=MONTH(A658))*(YEAR(IF(ISNUMBER(A$2:A658),A$2:A658,1))=YEAR(A658))*IF(ISNUMBER(K$2:K658),K$2:K658,0))),""))</f>
        <v/>
      </c>
      <c r="M658" s="21" t="str">
        <f>IF(A658="","",IFERROR(IF(SUMIF(N$2:N658,"CASA",K$2:K658)=0,"",SUMIF(N$2:N658,"CASA",K$2:K658)),""))</f>
        <v/>
      </c>
      <c r="N658" s="17" t="str">
        <f>IF(J658="","",IF(J658=0.2,"CASA",IF(Dati!G658="","",Dati!G658)))</f>
        <v/>
      </c>
    </row>
    <row r="659" spans="1:14" ht="15" customHeight="1" x14ac:dyDescent="0.2">
      <c r="A659" s="23" t="str">
        <f>IF(Dati!A659="","",Dati!A659)</f>
        <v/>
      </c>
      <c r="B659" s="17" t="str">
        <f>IF(Dati!B659="","",Dati!B659)</f>
        <v/>
      </c>
      <c r="C659" s="17" t="str">
        <f>IF(B659="","",IF(ISNUMBER(B658),IF(B659-B658&lt;0,B659,IF(B659-B658=0,"",B659-B658)),B659))</f>
        <v/>
      </c>
      <c r="D659" s="18" t="str">
        <f>IF(Dati!C659="","",IF(Dati!C659&gt;1,Dati!C659/100,Dati!C659))</f>
        <v/>
      </c>
      <c r="E659" s="18" t="str">
        <f>IF(Dati!D659="","",IF(Dati!D659&gt;1,Dati!D659/100,Dati!D659))</f>
        <v/>
      </c>
      <c r="F659" s="18" t="str">
        <f>IF(OR(D659="",E659=""),"",IF(OR(D659&gt;1,E659&gt;1),(E659-D659)/100,E659-D659))</f>
        <v/>
      </c>
      <c r="G659" s="17" t="str">
        <f>IF(F659="","",IF(64*F659=0,"",64*F659))</f>
        <v/>
      </c>
      <c r="H659" s="19" t="str">
        <f>IF(Dati!E659="","",Dati!E659)</f>
        <v/>
      </c>
      <c r="I659" s="19" t="str">
        <f>IFERROR(IF(OR(C659="",C659=0),"",H659/C659*100),"")</f>
        <v/>
      </c>
      <c r="J659" s="20" t="str">
        <f>IF(Dati!F659="","",Dati!F659)</f>
        <v/>
      </c>
      <c r="K659" s="19" t="str">
        <f>IF(OR(H659="",J659=""),"",IF(H659*J659=0,"",H659*J659))</f>
        <v/>
      </c>
      <c r="L659" s="19" t="str">
        <f>IF(A659="","",IFERROR(IF(SUMPRODUCT((ISNUMBER(A$2:A659))*(A$2:A659&gt;1000)*(MONTH(IF(ISNUMBER(A$2:A659),A$2:A659,1))=MONTH(A659))*(YEAR(IF(ISNUMBER(A$2:A659),A$2:A659,1))=YEAR(A659))*IF(ISNUMBER(K$2:K659),K$2:K659,0))=0,"",SUMPRODUCT((ISNUMBER(A$2:A659))*(A$2:A659&gt;1000)*(MONTH(IF(ISNUMBER(A$2:A659),A$2:A659,1))=MONTH(A659))*(YEAR(IF(ISNUMBER(A$2:A659),A$2:A659,1))=YEAR(A659))*IF(ISNUMBER(K$2:K659),K$2:K659,0))),""))</f>
        <v/>
      </c>
      <c r="M659" s="21" t="str">
        <f>IF(A659="","",IFERROR(IF(SUMIF(N$2:N659,"CASA",K$2:K659)=0,"",SUMIF(N$2:N659,"CASA",K$2:K659)),""))</f>
        <v/>
      </c>
      <c r="N659" s="17" t="str">
        <f>IF(J659="","",IF(J659=0.2,"CASA",IF(Dati!G659="","",Dati!G659)))</f>
        <v/>
      </c>
    </row>
    <row r="660" spans="1:14" ht="15" customHeight="1" x14ac:dyDescent="0.2">
      <c r="A660" s="23" t="str">
        <f>IF(Dati!A660="","",Dati!A660)</f>
        <v/>
      </c>
      <c r="B660" s="17" t="str">
        <f>IF(Dati!B660="","",Dati!B660)</f>
        <v/>
      </c>
      <c r="C660" s="17" t="str">
        <f>IF(B660="","",IF(ISNUMBER(B659),IF(B660-B659&lt;0,B660,IF(B660-B659=0,"",B660-B659)),B660))</f>
        <v/>
      </c>
      <c r="D660" s="18" t="str">
        <f>IF(Dati!C660="","",IF(Dati!C660&gt;1,Dati!C660/100,Dati!C660))</f>
        <v/>
      </c>
      <c r="E660" s="18" t="str">
        <f>IF(Dati!D660="","",IF(Dati!D660&gt;1,Dati!D660/100,Dati!D660))</f>
        <v/>
      </c>
      <c r="F660" s="18" t="str">
        <f>IF(OR(D660="",E660=""),"",IF(OR(D660&gt;1,E660&gt;1),(E660-D660)/100,E660-D660))</f>
        <v/>
      </c>
      <c r="G660" s="17" t="str">
        <f>IF(F660="","",IF(64*F660=0,"",64*F660))</f>
        <v/>
      </c>
      <c r="H660" s="19" t="str">
        <f>IF(Dati!E660="","",Dati!E660)</f>
        <v/>
      </c>
      <c r="I660" s="19" t="str">
        <f>IFERROR(IF(OR(C660="",C660=0),"",H660/C660*100),"")</f>
        <v/>
      </c>
      <c r="J660" s="20" t="str">
        <f>IF(Dati!F660="","",Dati!F660)</f>
        <v/>
      </c>
      <c r="K660" s="19" t="str">
        <f>IF(OR(H660="",J660=""),"",IF(H660*J660=0,"",H660*J660))</f>
        <v/>
      </c>
      <c r="L660" s="19" t="str">
        <f>IF(A660="","",IFERROR(IF(SUMPRODUCT((ISNUMBER(A$2:A660))*(A$2:A660&gt;1000)*(MONTH(IF(ISNUMBER(A$2:A660),A$2:A660,1))=MONTH(A660))*(YEAR(IF(ISNUMBER(A$2:A660),A$2:A660,1))=YEAR(A660))*IF(ISNUMBER(K$2:K660),K$2:K660,0))=0,"",SUMPRODUCT((ISNUMBER(A$2:A660))*(A$2:A660&gt;1000)*(MONTH(IF(ISNUMBER(A$2:A660),A$2:A660,1))=MONTH(A660))*(YEAR(IF(ISNUMBER(A$2:A660),A$2:A660,1))=YEAR(A660))*IF(ISNUMBER(K$2:K660),K$2:K660,0))),""))</f>
        <v/>
      </c>
      <c r="M660" s="21" t="str">
        <f>IF(A660="","",IFERROR(IF(SUMIF(N$2:N660,"CASA",K$2:K660)=0,"",SUMIF(N$2:N660,"CASA",K$2:K660)),""))</f>
        <v/>
      </c>
      <c r="N660" s="17" t="str">
        <f>IF(J660="","",IF(J660=0.2,"CASA",IF(Dati!G660="","",Dati!G660)))</f>
        <v/>
      </c>
    </row>
    <row r="661" spans="1:14" ht="15" customHeight="1" x14ac:dyDescent="0.2">
      <c r="A661" s="23" t="str">
        <f>IF(Dati!A661="","",Dati!A661)</f>
        <v/>
      </c>
      <c r="B661" s="17" t="str">
        <f>IF(Dati!B661="","",Dati!B661)</f>
        <v/>
      </c>
      <c r="C661" s="17" t="str">
        <f>IF(B661="","",IF(ISNUMBER(B660),IF(B661-B660&lt;0,B661,IF(B661-B660=0,"",B661-B660)),B661))</f>
        <v/>
      </c>
      <c r="D661" s="18" t="str">
        <f>IF(Dati!C661="","",IF(Dati!C661&gt;1,Dati!C661/100,Dati!C661))</f>
        <v/>
      </c>
      <c r="E661" s="18" t="str">
        <f>IF(Dati!D661="","",IF(Dati!D661&gt;1,Dati!D661/100,Dati!D661))</f>
        <v/>
      </c>
      <c r="F661" s="18" t="str">
        <f>IF(OR(D661="",E661=""),"",IF(OR(D661&gt;1,E661&gt;1),(E661-D661)/100,E661-D661))</f>
        <v/>
      </c>
      <c r="G661" s="17" t="str">
        <f>IF(F661="","",IF(64*F661=0,"",64*F661))</f>
        <v/>
      </c>
      <c r="H661" s="19" t="str">
        <f>IF(Dati!E661="","",Dati!E661)</f>
        <v/>
      </c>
      <c r="I661" s="19" t="str">
        <f>IFERROR(IF(OR(C661="",C661=0),"",H661/C661*100),"")</f>
        <v/>
      </c>
      <c r="J661" s="20" t="str">
        <f>IF(Dati!F661="","",Dati!F661)</f>
        <v/>
      </c>
      <c r="K661" s="19" t="str">
        <f>IF(OR(H661="",J661=""),"",IF(H661*J661=0,"",H661*J661))</f>
        <v/>
      </c>
      <c r="L661" s="19" t="str">
        <f>IF(A661="","",IFERROR(IF(SUMPRODUCT((ISNUMBER(A$2:A661))*(A$2:A661&gt;1000)*(MONTH(IF(ISNUMBER(A$2:A661),A$2:A661,1))=MONTH(A661))*(YEAR(IF(ISNUMBER(A$2:A661),A$2:A661,1))=YEAR(A661))*IF(ISNUMBER(K$2:K661),K$2:K661,0))=0,"",SUMPRODUCT((ISNUMBER(A$2:A661))*(A$2:A661&gt;1000)*(MONTH(IF(ISNUMBER(A$2:A661),A$2:A661,1))=MONTH(A661))*(YEAR(IF(ISNUMBER(A$2:A661),A$2:A661,1))=YEAR(A661))*IF(ISNUMBER(K$2:K661),K$2:K661,0))),""))</f>
        <v/>
      </c>
      <c r="M661" s="21" t="str">
        <f>IF(A661="","",IFERROR(IF(SUMIF(N$2:N661,"CASA",K$2:K661)=0,"",SUMIF(N$2:N661,"CASA",K$2:K661)),""))</f>
        <v/>
      </c>
      <c r="N661" s="17" t="str">
        <f>IF(J661="","",IF(J661=0.2,"CASA",IF(Dati!G661="","",Dati!G661)))</f>
        <v/>
      </c>
    </row>
    <row r="662" spans="1:14" ht="15" customHeight="1" x14ac:dyDescent="0.2">
      <c r="A662" s="23" t="str">
        <f>IF(Dati!A662="","",Dati!A662)</f>
        <v/>
      </c>
      <c r="B662" s="17" t="str">
        <f>IF(Dati!B662="","",Dati!B662)</f>
        <v/>
      </c>
      <c r="C662" s="17" t="str">
        <f>IF(B662="","",IF(ISNUMBER(B661),IF(B662-B661&lt;0,B662,IF(B662-B661=0,"",B662-B661)),B662))</f>
        <v/>
      </c>
      <c r="D662" s="18" t="str">
        <f>IF(Dati!C662="","",IF(Dati!C662&gt;1,Dati!C662/100,Dati!C662))</f>
        <v/>
      </c>
      <c r="E662" s="18" t="str">
        <f>IF(Dati!D662="","",IF(Dati!D662&gt;1,Dati!D662/100,Dati!D662))</f>
        <v/>
      </c>
      <c r="F662" s="18" t="str">
        <f>IF(OR(D662="",E662=""),"",IF(OR(D662&gt;1,E662&gt;1),(E662-D662)/100,E662-D662))</f>
        <v/>
      </c>
      <c r="G662" s="17" t="str">
        <f>IF(F662="","",IF(64*F662=0,"",64*F662))</f>
        <v/>
      </c>
      <c r="H662" s="19" t="str">
        <f>IF(Dati!E662="","",Dati!E662)</f>
        <v/>
      </c>
      <c r="I662" s="19" t="str">
        <f>IFERROR(IF(OR(C662="",C662=0),"",H662/C662*100),"")</f>
        <v/>
      </c>
      <c r="J662" s="20" t="str">
        <f>IF(Dati!F662="","",Dati!F662)</f>
        <v/>
      </c>
      <c r="K662" s="19" t="str">
        <f>IF(OR(H662="",J662=""),"",IF(H662*J662=0,"",H662*J662))</f>
        <v/>
      </c>
      <c r="L662" s="19" t="str">
        <f>IF(A662="","",IFERROR(IF(SUMPRODUCT((ISNUMBER(A$2:A662))*(A$2:A662&gt;1000)*(MONTH(IF(ISNUMBER(A$2:A662),A$2:A662,1))=MONTH(A662))*(YEAR(IF(ISNUMBER(A$2:A662),A$2:A662,1))=YEAR(A662))*IF(ISNUMBER(K$2:K662),K$2:K662,0))=0,"",SUMPRODUCT((ISNUMBER(A$2:A662))*(A$2:A662&gt;1000)*(MONTH(IF(ISNUMBER(A$2:A662),A$2:A662,1))=MONTH(A662))*(YEAR(IF(ISNUMBER(A$2:A662),A$2:A662,1))=YEAR(A662))*IF(ISNUMBER(K$2:K662),K$2:K662,0))),""))</f>
        <v/>
      </c>
      <c r="M662" s="21" t="str">
        <f>IF(A662="","",IFERROR(IF(SUMIF(N$2:N662,"CASA",K$2:K662)=0,"",SUMIF(N$2:N662,"CASA",K$2:K662)),""))</f>
        <v/>
      </c>
      <c r="N662" s="17" t="str">
        <f>IF(J662="","",IF(J662=0.2,"CASA",IF(Dati!G662="","",Dati!G662)))</f>
        <v/>
      </c>
    </row>
    <row r="663" spans="1:14" ht="15" customHeight="1" x14ac:dyDescent="0.2">
      <c r="A663" s="23" t="str">
        <f>IF(Dati!A663="","",Dati!A663)</f>
        <v/>
      </c>
      <c r="B663" s="17" t="str">
        <f>IF(Dati!B663="","",Dati!B663)</f>
        <v/>
      </c>
      <c r="C663" s="17" t="str">
        <f>IF(B663="","",IF(ISNUMBER(B662),IF(B663-B662&lt;0,B663,IF(B663-B662=0,"",B663-B662)),B663))</f>
        <v/>
      </c>
      <c r="D663" s="18" t="str">
        <f>IF(Dati!C663="","",IF(Dati!C663&gt;1,Dati!C663/100,Dati!C663))</f>
        <v/>
      </c>
      <c r="E663" s="18" t="str">
        <f>IF(Dati!D663="","",IF(Dati!D663&gt;1,Dati!D663/100,Dati!D663))</f>
        <v/>
      </c>
      <c r="F663" s="18" t="str">
        <f>IF(OR(D663="",E663=""),"",IF(OR(D663&gt;1,E663&gt;1),(E663-D663)/100,E663-D663))</f>
        <v/>
      </c>
      <c r="G663" s="17" t="str">
        <f>IF(F663="","",IF(64*F663=0,"",64*F663))</f>
        <v/>
      </c>
      <c r="H663" s="19" t="str">
        <f>IF(Dati!E663="","",Dati!E663)</f>
        <v/>
      </c>
      <c r="I663" s="19" t="str">
        <f>IFERROR(IF(OR(C663="",C663=0),"",H663/C663*100),"")</f>
        <v/>
      </c>
      <c r="J663" s="20" t="str">
        <f>IF(Dati!F663="","",Dati!F663)</f>
        <v/>
      </c>
      <c r="K663" s="19" t="str">
        <f>IF(OR(H663="",J663=""),"",IF(H663*J663=0,"",H663*J663))</f>
        <v/>
      </c>
      <c r="L663" s="19" t="str">
        <f>IF(A663="","",IFERROR(IF(SUMPRODUCT((ISNUMBER(A$2:A663))*(A$2:A663&gt;1000)*(MONTH(IF(ISNUMBER(A$2:A663),A$2:A663,1))=MONTH(A663))*(YEAR(IF(ISNUMBER(A$2:A663),A$2:A663,1))=YEAR(A663))*IF(ISNUMBER(K$2:K663),K$2:K663,0))=0,"",SUMPRODUCT((ISNUMBER(A$2:A663))*(A$2:A663&gt;1000)*(MONTH(IF(ISNUMBER(A$2:A663),A$2:A663,1))=MONTH(A663))*(YEAR(IF(ISNUMBER(A$2:A663),A$2:A663,1))=YEAR(A663))*IF(ISNUMBER(K$2:K663),K$2:K663,0))),""))</f>
        <v/>
      </c>
      <c r="M663" s="21" t="str">
        <f>IF(A663="","",IFERROR(IF(SUMIF(N$2:N663,"CASA",K$2:K663)=0,"",SUMIF(N$2:N663,"CASA",K$2:K663)),""))</f>
        <v/>
      </c>
      <c r="N663" s="17" t="str">
        <f>IF(J663="","",IF(J663=0.2,"CASA",IF(Dati!G663="","",Dati!G663)))</f>
        <v/>
      </c>
    </row>
    <row r="664" spans="1:14" ht="15" customHeight="1" x14ac:dyDescent="0.2">
      <c r="A664" s="23" t="str">
        <f>IF(Dati!A664="","",Dati!A664)</f>
        <v/>
      </c>
      <c r="B664" s="17" t="str">
        <f>IF(Dati!B664="","",Dati!B664)</f>
        <v/>
      </c>
      <c r="C664" s="17" t="str">
        <f>IF(B664="","",IF(ISNUMBER(B663),IF(B664-B663&lt;0,B664,IF(B664-B663=0,"",B664-B663)),B664))</f>
        <v/>
      </c>
      <c r="D664" s="18" t="str">
        <f>IF(Dati!C664="","",IF(Dati!C664&gt;1,Dati!C664/100,Dati!C664))</f>
        <v/>
      </c>
      <c r="E664" s="18" t="str">
        <f>IF(Dati!D664="","",IF(Dati!D664&gt;1,Dati!D664/100,Dati!D664))</f>
        <v/>
      </c>
      <c r="F664" s="18" t="str">
        <f>IF(OR(D664="",E664=""),"",IF(OR(D664&gt;1,E664&gt;1),(E664-D664)/100,E664-D664))</f>
        <v/>
      </c>
      <c r="G664" s="17" t="str">
        <f>IF(F664="","",IF(64*F664=0,"",64*F664))</f>
        <v/>
      </c>
      <c r="H664" s="19" t="str">
        <f>IF(Dati!E664="","",Dati!E664)</f>
        <v/>
      </c>
      <c r="I664" s="19" t="str">
        <f>IFERROR(IF(OR(C664="",C664=0),"",H664/C664*100),"")</f>
        <v/>
      </c>
      <c r="J664" s="20" t="str">
        <f>IF(Dati!F664="","",Dati!F664)</f>
        <v/>
      </c>
      <c r="K664" s="19" t="str">
        <f>IF(OR(H664="",J664=""),"",IF(H664*J664=0,"",H664*J664))</f>
        <v/>
      </c>
      <c r="L664" s="19" t="str">
        <f>IF(A664="","",IFERROR(IF(SUMPRODUCT((ISNUMBER(A$2:A664))*(A$2:A664&gt;1000)*(MONTH(IF(ISNUMBER(A$2:A664),A$2:A664,1))=MONTH(A664))*(YEAR(IF(ISNUMBER(A$2:A664),A$2:A664,1))=YEAR(A664))*IF(ISNUMBER(K$2:K664),K$2:K664,0))=0,"",SUMPRODUCT((ISNUMBER(A$2:A664))*(A$2:A664&gt;1000)*(MONTH(IF(ISNUMBER(A$2:A664),A$2:A664,1))=MONTH(A664))*(YEAR(IF(ISNUMBER(A$2:A664),A$2:A664,1))=YEAR(A664))*IF(ISNUMBER(K$2:K664),K$2:K664,0))),""))</f>
        <v/>
      </c>
      <c r="M664" s="21" t="str">
        <f>IF(A664="","",IFERROR(IF(SUMIF(N$2:N664,"CASA",K$2:K664)=0,"",SUMIF(N$2:N664,"CASA",K$2:K664)),""))</f>
        <v/>
      </c>
      <c r="N664" s="17" t="str">
        <f>IF(J664="","",IF(J664=0.2,"CASA",IF(Dati!G664="","",Dati!G664)))</f>
        <v/>
      </c>
    </row>
    <row r="665" spans="1:14" ht="15" customHeight="1" x14ac:dyDescent="0.2">
      <c r="A665" s="23" t="str">
        <f>IF(Dati!A665="","",Dati!A665)</f>
        <v/>
      </c>
      <c r="B665" s="17" t="str">
        <f>IF(Dati!B665="","",Dati!B665)</f>
        <v/>
      </c>
      <c r="C665" s="17" t="str">
        <f>IF(B665="","",IF(ISNUMBER(B664),IF(B665-B664&lt;0,B665,IF(B665-B664=0,"",B665-B664)),B665))</f>
        <v/>
      </c>
      <c r="D665" s="18" t="str">
        <f>IF(Dati!C665="","",IF(Dati!C665&gt;1,Dati!C665/100,Dati!C665))</f>
        <v/>
      </c>
      <c r="E665" s="18" t="str">
        <f>IF(Dati!D665="","",IF(Dati!D665&gt;1,Dati!D665/100,Dati!D665))</f>
        <v/>
      </c>
      <c r="F665" s="18" t="str">
        <f>IF(OR(D665="",E665=""),"",IF(OR(D665&gt;1,E665&gt;1),(E665-D665)/100,E665-D665))</f>
        <v/>
      </c>
      <c r="G665" s="17" t="str">
        <f>IF(F665="","",IF(64*F665=0,"",64*F665))</f>
        <v/>
      </c>
      <c r="H665" s="19" t="str">
        <f>IF(Dati!E665="","",Dati!E665)</f>
        <v/>
      </c>
      <c r="I665" s="19" t="str">
        <f>IFERROR(IF(OR(C665="",C665=0),"",H665/C665*100),"")</f>
        <v/>
      </c>
      <c r="J665" s="20" t="str">
        <f>IF(Dati!F665="","",Dati!F665)</f>
        <v/>
      </c>
      <c r="K665" s="19" t="str">
        <f>IF(OR(H665="",J665=""),"",IF(H665*J665=0,"",H665*J665))</f>
        <v/>
      </c>
      <c r="L665" s="19" t="str">
        <f>IF(A665="","",IFERROR(IF(SUMPRODUCT((ISNUMBER(A$2:A665))*(A$2:A665&gt;1000)*(MONTH(IF(ISNUMBER(A$2:A665),A$2:A665,1))=MONTH(A665))*(YEAR(IF(ISNUMBER(A$2:A665),A$2:A665,1))=YEAR(A665))*IF(ISNUMBER(K$2:K665),K$2:K665,0))=0,"",SUMPRODUCT((ISNUMBER(A$2:A665))*(A$2:A665&gt;1000)*(MONTH(IF(ISNUMBER(A$2:A665),A$2:A665,1))=MONTH(A665))*(YEAR(IF(ISNUMBER(A$2:A665),A$2:A665,1))=YEAR(A665))*IF(ISNUMBER(K$2:K665),K$2:K665,0))),""))</f>
        <v/>
      </c>
      <c r="M665" s="21" t="str">
        <f>IF(A665="","",IFERROR(IF(SUMIF(N$2:N665,"CASA",K$2:K665)=0,"",SUMIF(N$2:N665,"CASA",K$2:K665)),""))</f>
        <v/>
      </c>
      <c r="N665" s="17" t="str">
        <f>IF(J665="","",IF(J665=0.2,"CASA",IF(Dati!G665="","",Dati!G665)))</f>
        <v/>
      </c>
    </row>
    <row r="666" spans="1:14" ht="15" customHeight="1" x14ac:dyDescent="0.2">
      <c r="A666" s="23" t="str">
        <f>IF(Dati!A666="","",Dati!A666)</f>
        <v/>
      </c>
      <c r="B666" s="17" t="str">
        <f>IF(Dati!B666="","",Dati!B666)</f>
        <v/>
      </c>
      <c r="C666" s="17" t="str">
        <f>IF(B666="","",IF(ISNUMBER(B665),IF(B666-B665&lt;0,B666,IF(B666-B665=0,"",B666-B665)),B666))</f>
        <v/>
      </c>
      <c r="D666" s="18" t="str">
        <f>IF(Dati!C666="","",IF(Dati!C666&gt;1,Dati!C666/100,Dati!C666))</f>
        <v/>
      </c>
      <c r="E666" s="18" t="str">
        <f>IF(Dati!D666="","",IF(Dati!D666&gt;1,Dati!D666/100,Dati!D666))</f>
        <v/>
      </c>
      <c r="F666" s="18" t="str">
        <f>IF(OR(D666="",E666=""),"",IF(OR(D666&gt;1,E666&gt;1),(E666-D666)/100,E666-D666))</f>
        <v/>
      </c>
      <c r="G666" s="17" t="str">
        <f>IF(F666="","",IF(64*F666=0,"",64*F666))</f>
        <v/>
      </c>
      <c r="H666" s="19" t="str">
        <f>IF(Dati!E666="","",Dati!E666)</f>
        <v/>
      </c>
      <c r="I666" s="19" t="str">
        <f>IFERROR(IF(OR(C666="",C666=0),"",H666/C666*100),"")</f>
        <v/>
      </c>
      <c r="J666" s="20" t="str">
        <f>IF(Dati!F666="","",Dati!F666)</f>
        <v/>
      </c>
      <c r="K666" s="19" t="str">
        <f>IF(OR(H666="",J666=""),"",IF(H666*J666=0,"",H666*J666))</f>
        <v/>
      </c>
      <c r="L666" s="19" t="str">
        <f>IF(A666="","",IFERROR(IF(SUMPRODUCT((ISNUMBER(A$2:A666))*(A$2:A666&gt;1000)*(MONTH(IF(ISNUMBER(A$2:A666),A$2:A666,1))=MONTH(A666))*(YEAR(IF(ISNUMBER(A$2:A666),A$2:A666,1))=YEAR(A666))*IF(ISNUMBER(K$2:K666),K$2:K666,0))=0,"",SUMPRODUCT((ISNUMBER(A$2:A666))*(A$2:A666&gt;1000)*(MONTH(IF(ISNUMBER(A$2:A666),A$2:A666,1))=MONTH(A666))*(YEAR(IF(ISNUMBER(A$2:A666),A$2:A666,1))=YEAR(A666))*IF(ISNUMBER(K$2:K666),K$2:K666,0))),""))</f>
        <v/>
      </c>
      <c r="M666" s="21" t="str">
        <f>IF(A666="","",IFERROR(IF(SUMIF(N$2:N666,"CASA",K$2:K666)=0,"",SUMIF(N$2:N666,"CASA",K$2:K666)),""))</f>
        <v/>
      </c>
      <c r="N666" s="17" t="str">
        <f>IF(J666="","",IF(J666=0.2,"CASA",IF(Dati!G666="","",Dati!G666)))</f>
        <v/>
      </c>
    </row>
    <row r="667" spans="1:14" ht="15" customHeight="1" x14ac:dyDescent="0.2">
      <c r="A667" s="23" t="str">
        <f>IF(Dati!A667="","",Dati!A667)</f>
        <v/>
      </c>
      <c r="B667" s="17" t="str">
        <f>IF(Dati!B667="","",Dati!B667)</f>
        <v/>
      </c>
      <c r="C667" s="17" t="str">
        <f>IF(B667="","",IF(ISNUMBER(B666),IF(B667-B666&lt;0,B667,IF(B667-B666=0,"",B667-B666)),B667))</f>
        <v/>
      </c>
      <c r="D667" s="18" t="str">
        <f>IF(Dati!C667="","",IF(Dati!C667&gt;1,Dati!C667/100,Dati!C667))</f>
        <v/>
      </c>
      <c r="E667" s="18" t="str">
        <f>IF(Dati!D667="","",IF(Dati!D667&gt;1,Dati!D667/100,Dati!D667))</f>
        <v/>
      </c>
      <c r="F667" s="18" t="str">
        <f>IF(OR(D667="",E667=""),"",IF(OR(D667&gt;1,E667&gt;1),(E667-D667)/100,E667-D667))</f>
        <v/>
      </c>
      <c r="G667" s="17" t="str">
        <f>IF(F667="","",IF(64*F667=0,"",64*F667))</f>
        <v/>
      </c>
      <c r="H667" s="19" t="str">
        <f>IF(Dati!E667="","",Dati!E667)</f>
        <v/>
      </c>
      <c r="I667" s="19" t="str">
        <f>IFERROR(IF(OR(C667="",C667=0),"",H667/C667*100),"")</f>
        <v/>
      </c>
      <c r="J667" s="20" t="str">
        <f>IF(Dati!F667="","",Dati!F667)</f>
        <v/>
      </c>
      <c r="K667" s="19" t="str">
        <f>IF(OR(H667="",J667=""),"",IF(H667*J667=0,"",H667*J667))</f>
        <v/>
      </c>
      <c r="L667" s="19" t="str">
        <f>IF(A667="","",IFERROR(IF(SUMPRODUCT((ISNUMBER(A$2:A667))*(A$2:A667&gt;1000)*(MONTH(IF(ISNUMBER(A$2:A667),A$2:A667,1))=MONTH(A667))*(YEAR(IF(ISNUMBER(A$2:A667),A$2:A667,1))=YEAR(A667))*IF(ISNUMBER(K$2:K667),K$2:K667,0))=0,"",SUMPRODUCT((ISNUMBER(A$2:A667))*(A$2:A667&gt;1000)*(MONTH(IF(ISNUMBER(A$2:A667),A$2:A667,1))=MONTH(A667))*(YEAR(IF(ISNUMBER(A$2:A667),A$2:A667,1))=YEAR(A667))*IF(ISNUMBER(K$2:K667),K$2:K667,0))),""))</f>
        <v/>
      </c>
      <c r="M667" s="21" t="str">
        <f>IF(A667="","",IFERROR(IF(SUMIF(N$2:N667,"CASA",K$2:K667)=0,"",SUMIF(N$2:N667,"CASA",K$2:K667)),""))</f>
        <v/>
      </c>
      <c r="N667" s="17" t="str">
        <f>IF(J667="","",IF(J667=0.2,"CASA",IF(Dati!G667="","",Dati!G667)))</f>
        <v/>
      </c>
    </row>
    <row r="668" spans="1:14" ht="15" customHeight="1" x14ac:dyDescent="0.2">
      <c r="A668" s="23" t="str">
        <f>IF(Dati!A668="","",Dati!A668)</f>
        <v/>
      </c>
      <c r="B668" s="17" t="str">
        <f>IF(Dati!B668="","",Dati!B668)</f>
        <v/>
      </c>
      <c r="C668" s="17" t="str">
        <f>IF(B668="","",IF(ISNUMBER(B667),IF(B668-B667&lt;0,B668,IF(B668-B667=0,"",B668-B667)),B668))</f>
        <v/>
      </c>
      <c r="D668" s="18" t="str">
        <f>IF(Dati!C668="","",IF(Dati!C668&gt;1,Dati!C668/100,Dati!C668))</f>
        <v/>
      </c>
      <c r="E668" s="18" t="str">
        <f>IF(Dati!D668="","",IF(Dati!D668&gt;1,Dati!D668/100,Dati!D668))</f>
        <v/>
      </c>
      <c r="F668" s="18" t="str">
        <f>IF(OR(D668="",E668=""),"",IF(OR(D668&gt;1,E668&gt;1),(E668-D668)/100,E668-D668))</f>
        <v/>
      </c>
      <c r="G668" s="17" t="str">
        <f>IF(F668="","",IF(64*F668=0,"",64*F668))</f>
        <v/>
      </c>
      <c r="H668" s="19" t="str">
        <f>IF(Dati!E668="","",Dati!E668)</f>
        <v/>
      </c>
      <c r="I668" s="19" t="str">
        <f>IFERROR(IF(OR(C668="",C668=0),"",H668/C668*100),"")</f>
        <v/>
      </c>
      <c r="J668" s="20" t="str">
        <f>IF(Dati!F668="","",Dati!F668)</f>
        <v/>
      </c>
      <c r="K668" s="19" t="str">
        <f>IF(OR(H668="",J668=""),"",IF(H668*J668=0,"",H668*J668))</f>
        <v/>
      </c>
      <c r="L668" s="19" t="str">
        <f>IF(A668="","",IFERROR(IF(SUMPRODUCT((ISNUMBER(A$2:A668))*(A$2:A668&gt;1000)*(MONTH(IF(ISNUMBER(A$2:A668),A$2:A668,1))=MONTH(A668))*(YEAR(IF(ISNUMBER(A$2:A668),A$2:A668,1))=YEAR(A668))*IF(ISNUMBER(K$2:K668),K$2:K668,0))=0,"",SUMPRODUCT((ISNUMBER(A$2:A668))*(A$2:A668&gt;1000)*(MONTH(IF(ISNUMBER(A$2:A668),A$2:A668,1))=MONTH(A668))*(YEAR(IF(ISNUMBER(A$2:A668),A$2:A668,1))=YEAR(A668))*IF(ISNUMBER(K$2:K668),K$2:K668,0))),""))</f>
        <v/>
      </c>
      <c r="M668" s="21" t="str">
        <f>IF(A668="","",IFERROR(IF(SUMIF(N$2:N668,"CASA",K$2:K668)=0,"",SUMIF(N$2:N668,"CASA",K$2:K668)),""))</f>
        <v/>
      </c>
      <c r="N668" s="17" t="str">
        <f>IF(J668="","",IF(J668=0.2,"CASA",IF(Dati!G668="","",Dati!G668)))</f>
        <v/>
      </c>
    </row>
    <row r="669" spans="1:14" ht="15" customHeight="1" x14ac:dyDescent="0.2">
      <c r="A669" s="23" t="str">
        <f>IF(Dati!A669="","",Dati!A669)</f>
        <v/>
      </c>
      <c r="B669" s="17" t="str">
        <f>IF(Dati!B669="","",Dati!B669)</f>
        <v/>
      </c>
      <c r="C669" s="17" t="str">
        <f>IF(B669="","",IF(ISNUMBER(B668),IF(B669-B668&lt;0,B669,IF(B669-B668=0,"",B669-B668)),B669))</f>
        <v/>
      </c>
      <c r="D669" s="18" t="str">
        <f>IF(Dati!C669="","",IF(Dati!C669&gt;1,Dati!C669/100,Dati!C669))</f>
        <v/>
      </c>
      <c r="E669" s="18" t="str">
        <f>IF(Dati!D669="","",IF(Dati!D669&gt;1,Dati!D669/100,Dati!D669))</f>
        <v/>
      </c>
      <c r="F669" s="18" t="str">
        <f>IF(OR(D669="",E669=""),"",IF(OR(D669&gt;1,E669&gt;1),(E669-D669)/100,E669-D669))</f>
        <v/>
      </c>
      <c r="G669" s="17" t="str">
        <f>IF(F669="","",IF(64*F669=0,"",64*F669))</f>
        <v/>
      </c>
      <c r="H669" s="19" t="str">
        <f>IF(Dati!E669="","",Dati!E669)</f>
        <v/>
      </c>
      <c r="I669" s="19" t="str">
        <f>IFERROR(IF(OR(C669="",C669=0),"",H669/C669*100),"")</f>
        <v/>
      </c>
      <c r="J669" s="20" t="str">
        <f>IF(Dati!F669="","",Dati!F669)</f>
        <v/>
      </c>
      <c r="K669" s="19" t="str">
        <f>IF(OR(H669="",J669=""),"",IF(H669*J669=0,"",H669*J669))</f>
        <v/>
      </c>
      <c r="L669" s="19" t="str">
        <f>IF(A669="","",IFERROR(IF(SUMPRODUCT((ISNUMBER(A$2:A669))*(A$2:A669&gt;1000)*(MONTH(IF(ISNUMBER(A$2:A669),A$2:A669,1))=MONTH(A669))*(YEAR(IF(ISNUMBER(A$2:A669),A$2:A669,1))=YEAR(A669))*IF(ISNUMBER(K$2:K669),K$2:K669,0))=0,"",SUMPRODUCT((ISNUMBER(A$2:A669))*(A$2:A669&gt;1000)*(MONTH(IF(ISNUMBER(A$2:A669),A$2:A669,1))=MONTH(A669))*(YEAR(IF(ISNUMBER(A$2:A669),A$2:A669,1))=YEAR(A669))*IF(ISNUMBER(K$2:K669),K$2:K669,0))),""))</f>
        <v/>
      </c>
      <c r="M669" s="21" t="str">
        <f>IF(A669="","",IFERROR(IF(SUMIF(N$2:N669,"CASA",K$2:K669)=0,"",SUMIF(N$2:N669,"CASA",K$2:K669)),""))</f>
        <v/>
      </c>
      <c r="N669" s="17" t="str">
        <f>IF(J669="","",IF(J669=0.2,"CASA",IF(Dati!G669="","",Dati!G669)))</f>
        <v/>
      </c>
    </row>
    <row r="670" spans="1:14" ht="15" customHeight="1" x14ac:dyDescent="0.2">
      <c r="A670" s="23" t="str">
        <f>IF(Dati!A670="","",Dati!A670)</f>
        <v/>
      </c>
      <c r="B670" s="17" t="str">
        <f>IF(Dati!B670="","",Dati!B670)</f>
        <v/>
      </c>
      <c r="C670" s="17" t="str">
        <f>IF(B670="","",IF(ISNUMBER(B669),IF(B670-B669&lt;0,B670,IF(B670-B669=0,"",B670-B669)),B670))</f>
        <v/>
      </c>
      <c r="D670" s="18" t="str">
        <f>IF(Dati!C670="","",IF(Dati!C670&gt;1,Dati!C670/100,Dati!C670))</f>
        <v/>
      </c>
      <c r="E670" s="18" t="str">
        <f>IF(Dati!D670="","",IF(Dati!D670&gt;1,Dati!D670/100,Dati!D670))</f>
        <v/>
      </c>
      <c r="F670" s="18" t="str">
        <f>IF(OR(D670="",E670=""),"",IF(OR(D670&gt;1,E670&gt;1),(E670-D670)/100,E670-D670))</f>
        <v/>
      </c>
      <c r="G670" s="17" t="str">
        <f>IF(F670="","",IF(64*F670=0,"",64*F670))</f>
        <v/>
      </c>
      <c r="H670" s="19" t="str">
        <f>IF(Dati!E670="","",Dati!E670)</f>
        <v/>
      </c>
      <c r="I670" s="19" t="str">
        <f>IFERROR(IF(OR(C670="",C670=0),"",H670/C670*100),"")</f>
        <v/>
      </c>
      <c r="J670" s="20" t="str">
        <f>IF(Dati!F670="","",Dati!F670)</f>
        <v/>
      </c>
      <c r="K670" s="19" t="str">
        <f>IF(OR(H670="",J670=""),"",IF(H670*J670=0,"",H670*J670))</f>
        <v/>
      </c>
      <c r="L670" s="19" t="str">
        <f>IF(A670="","",IFERROR(IF(SUMPRODUCT((ISNUMBER(A$2:A670))*(A$2:A670&gt;1000)*(MONTH(IF(ISNUMBER(A$2:A670),A$2:A670,1))=MONTH(A670))*(YEAR(IF(ISNUMBER(A$2:A670),A$2:A670,1))=YEAR(A670))*IF(ISNUMBER(K$2:K670),K$2:K670,0))=0,"",SUMPRODUCT((ISNUMBER(A$2:A670))*(A$2:A670&gt;1000)*(MONTH(IF(ISNUMBER(A$2:A670),A$2:A670,1))=MONTH(A670))*(YEAR(IF(ISNUMBER(A$2:A670),A$2:A670,1))=YEAR(A670))*IF(ISNUMBER(K$2:K670),K$2:K670,0))),""))</f>
        <v/>
      </c>
      <c r="M670" s="21" t="str">
        <f>IF(A670="","",IFERROR(IF(SUMIF(N$2:N670,"CASA",K$2:K670)=0,"",SUMIF(N$2:N670,"CASA",K$2:K670)),""))</f>
        <v/>
      </c>
      <c r="N670" s="17" t="str">
        <f>IF(J670="","",IF(J670=0.2,"CASA",IF(Dati!G670="","",Dati!G670)))</f>
        <v/>
      </c>
    </row>
    <row r="671" spans="1:14" ht="15" customHeight="1" x14ac:dyDescent="0.2">
      <c r="A671" s="23" t="str">
        <f>IF(Dati!A671="","",Dati!A671)</f>
        <v/>
      </c>
      <c r="B671" s="17" t="str">
        <f>IF(Dati!B671="","",Dati!B671)</f>
        <v/>
      </c>
      <c r="C671" s="17" t="str">
        <f>IF(B671="","",IF(ISNUMBER(B670),IF(B671-B670&lt;0,B671,IF(B671-B670=0,"",B671-B670)),B671))</f>
        <v/>
      </c>
      <c r="D671" s="18" t="str">
        <f>IF(Dati!C671="","",IF(Dati!C671&gt;1,Dati!C671/100,Dati!C671))</f>
        <v/>
      </c>
      <c r="E671" s="18" t="str">
        <f>IF(Dati!D671="","",IF(Dati!D671&gt;1,Dati!D671/100,Dati!D671))</f>
        <v/>
      </c>
      <c r="F671" s="18" t="str">
        <f>IF(OR(D671="",E671=""),"",IF(OR(D671&gt;1,E671&gt;1),(E671-D671)/100,E671-D671))</f>
        <v/>
      </c>
      <c r="G671" s="17" t="str">
        <f>IF(F671="","",IF(64*F671=0,"",64*F671))</f>
        <v/>
      </c>
      <c r="H671" s="19" t="str">
        <f>IF(Dati!E671="","",Dati!E671)</f>
        <v/>
      </c>
      <c r="I671" s="19" t="str">
        <f>IFERROR(IF(OR(C671="",C671=0),"",H671/C671*100),"")</f>
        <v/>
      </c>
      <c r="J671" s="20" t="str">
        <f>IF(Dati!F671="","",Dati!F671)</f>
        <v/>
      </c>
      <c r="K671" s="19" t="str">
        <f>IF(OR(H671="",J671=""),"",IF(H671*J671=0,"",H671*J671))</f>
        <v/>
      </c>
      <c r="L671" s="19" t="str">
        <f>IF(A671="","",IFERROR(IF(SUMPRODUCT((ISNUMBER(A$2:A671))*(A$2:A671&gt;1000)*(MONTH(IF(ISNUMBER(A$2:A671),A$2:A671,1))=MONTH(A671))*(YEAR(IF(ISNUMBER(A$2:A671),A$2:A671,1))=YEAR(A671))*IF(ISNUMBER(K$2:K671),K$2:K671,0))=0,"",SUMPRODUCT((ISNUMBER(A$2:A671))*(A$2:A671&gt;1000)*(MONTH(IF(ISNUMBER(A$2:A671),A$2:A671,1))=MONTH(A671))*(YEAR(IF(ISNUMBER(A$2:A671),A$2:A671,1))=YEAR(A671))*IF(ISNUMBER(K$2:K671),K$2:K671,0))),""))</f>
        <v/>
      </c>
      <c r="M671" s="21" t="str">
        <f>IF(A671="","",IFERROR(IF(SUMIF(N$2:N671,"CASA",K$2:K671)=0,"",SUMIF(N$2:N671,"CASA",K$2:K671)),""))</f>
        <v/>
      </c>
      <c r="N671" s="17" t="str">
        <f>IF(J671="","",IF(J671=0.2,"CASA",IF(Dati!G671="","",Dati!G671)))</f>
        <v/>
      </c>
    </row>
    <row r="672" spans="1:14" ht="15" customHeight="1" x14ac:dyDescent="0.2">
      <c r="A672" s="23" t="str">
        <f>IF(Dati!A672="","",Dati!A672)</f>
        <v/>
      </c>
      <c r="B672" s="17" t="str">
        <f>IF(Dati!B672="","",Dati!B672)</f>
        <v/>
      </c>
      <c r="C672" s="17" t="str">
        <f>IF(B672="","",IF(ISNUMBER(B671),IF(B672-B671&lt;0,B672,IF(B672-B671=0,"",B672-B671)),B672))</f>
        <v/>
      </c>
      <c r="D672" s="18" t="str">
        <f>IF(Dati!C672="","",IF(Dati!C672&gt;1,Dati!C672/100,Dati!C672))</f>
        <v/>
      </c>
      <c r="E672" s="18" t="str">
        <f>IF(Dati!D672="","",IF(Dati!D672&gt;1,Dati!D672/100,Dati!D672))</f>
        <v/>
      </c>
      <c r="F672" s="18" t="str">
        <f>IF(OR(D672="",E672=""),"",IF(OR(D672&gt;1,E672&gt;1),(E672-D672)/100,E672-D672))</f>
        <v/>
      </c>
      <c r="G672" s="17" t="str">
        <f>IF(F672="","",IF(64*F672=0,"",64*F672))</f>
        <v/>
      </c>
      <c r="H672" s="19" t="str">
        <f>IF(Dati!E672="","",Dati!E672)</f>
        <v/>
      </c>
      <c r="I672" s="19" t="str">
        <f>IFERROR(IF(OR(C672="",C672=0),"",H672/C672*100),"")</f>
        <v/>
      </c>
      <c r="J672" s="20" t="str">
        <f>IF(Dati!F672="","",Dati!F672)</f>
        <v/>
      </c>
      <c r="K672" s="19" t="str">
        <f>IF(OR(H672="",J672=""),"",IF(H672*J672=0,"",H672*J672))</f>
        <v/>
      </c>
      <c r="L672" s="19" t="str">
        <f>IF(A672="","",IFERROR(IF(SUMPRODUCT((ISNUMBER(A$2:A672))*(A$2:A672&gt;1000)*(MONTH(IF(ISNUMBER(A$2:A672),A$2:A672,1))=MONTH(A672))*(YEAR(IF(ISNUMBER(A$2:A672),A$2:A672,1))=YEAR(A672))*IF(ISNUMBER(K$2:K672),K$2:K672,0))=0,"",SUMPRODUCT((ISNUMBER(A$2:A672))*(A$2:A672&gt;1000)*(MONTH(IF(ISNUMBER(A$2:A672),A$2:A672,1))=MONTH(A672))*(YEAR(IF(ISNUMBER(A$2:A672),A$2:A672,1))=YEAR(A672))*IF(ISNUMBER(K$2:K672),K$2:K672,0))),""))</f>
        <v/>
      </c>
      <c r="M672" s="21" t="str">
        <f>IF(A672="","",IFERROR(IF(SUMIF(N$2:N672,"CASA",K$2:K672)=0,"",SUMIF(N$2:N672,"CASA",K$2:K672)),""))</f>
        <v/>
      </c>
      <c r="N672" s="17" t="str">
        <f>IF(J672="","",IF(J672=0.2,"CASA",IF(Dati!G672="","",Dati!G672)))</f>
        <v/>
      </c>
    </row>
    <row r="673" spans="1:14" ht="15" customHeight="1" x14ac:dyDescent="0.2">
      <c r="A673" s="23" t="str">
        <f>IF(Dati!A673="","",Dati!A673)</f>
        <v/>
      </c>
      <c r="B673" s="17" t="str">
        <f>IF(Dati!B673="","",Dati!B673)</f>
        <v/>
      </c>
      <c r="C673" s="17" t="str">
        <f>IF(B673="","",IF(ISNUMBER(B672),IF(B673-B672&lt;0,B673,IF(B673-B672=0,"",B673-B672)),B673))</f>
        <v/>
      </c>
      <c r="D673" s="18" t="str">
        <f>IF(Dati!C673="","",IF(Dati!C673&gt;1,Dati!C673/100,Dati!C673))</f>
        <v/>
      </c>
      <c r="E673" s="18" t="str">
        <f>IF(Dati!D673="","",IF(Dati!D673&gt;1,Dati!D673/100,Dati!D673))</f>
        <v/>
      </c>
      <c r="F673" s="18" t="str">
        <f>IF(OR(D673="",E673=""),"",IF(OR(D673&gt;1,E673&gt;1),(E673-D673)/100,E673-D673))</f>
        <v/>
      </c>
      <c r="G673" s="17" t="str">
        <f>IF(F673="","",IF(64*F673=0,"",64*F673))</f>
        <v/>
      </c>
      <c r="H673" s="19" t="str">
        <f>IF(Dati!E673="","",Dati!E673)</f>
        <v/>
      </c>
      <c r="I673" s="19" t="str">
        <f>IFERROR(IF(OR(C673="",C673=0),"",H673/C673*100),"")</f>
        <v/>
      </c>
      <c r="J673" s="20" t="str">
        <f>IF(Dati!F673="","",Dati!F673)</f>
        <v/>
      </c>
      <c r="K673" s="19" t="str">
        <f>IF(OR(H673="",J673=""),"",IF(H673*J673=0,"",H673*J673))</f>
        <v/>
      </c>
      <c r="L673" s="19" t="str">
        <f>IF(A673="","",IFERROR(IF(SUMPRODUCT((ISNUMBER(A$2:A673))*(A$2:A673&gt;1000)*(MONTH(IF(ISNUMBER(A$2:A673),A$2:A673,1))=MONTH(A673))*(YEAR(IF(ISNUMBER(A$2:A673),A$2:A673,1))=YEAR(A673))*IF(ISNUMBER(K$2:K673),K$2:K673,0))=0,"",SUMPRODUCT((ISNUMBER(A$2:A673))*(A$2:A673&gt;1000)*(MONTH(IF(ISNUMBER(A$2:A673),A$2:A673,1))=MONTH(A673))*(YEAR(IF(ISNUMBER(A$2:A673),A$2:A673,1))=YEAR(A673))*IF(ISNUMBER(K$2:K673),K$2:K673,0))),""))</f>
        <v/>
      </c>
      <c r="M673" s="21" t="str">
        <f>IF(A673="","",IFERROR(IF(SUMIF(N$2:N673,"CASA",K$2:K673)=0,"",SUMIF(N$2:N673,"CASA",K$2:K673)),""))</f>
        <v/>
      </c>
      <c r="N673" s="17" t="str">
        <f>IF(J673="","",IF(J673=0.2,"CASA",IF(Dati!G673="","",Dati!G673)))</f>
        <v/>
      </c>
    </row>
    <row r="674" spans="1:14" ht="15" customHeight="1" x14ac:dyDescent="0.2">
      <c r="A674" s="23" t="str">
        <f>IF(Dati!A674="","",Dati!A674)</f>
        <v/>
      </c>
      <c r="B674" s="17" t="str">
        <f>IF(Dati!B674="","",Dati!B674)</f>
        <v/>
      </c>
      <c r="C674" s="17" t="str">
        <f>IF(B674="","",IF(ISNUMBER(B673),IF(B674-B673&lt;0,B674,IF(B674-B673=0,"",B674-B673)),B674))</f>
        <v/>
      </c>
      <c r="D674" s="18" t="str">
        <f>IF(Dati!C674="","",IF(Dati!C674&gt;1,Dati!C674/100,Dati!C674))</f>
        <v/>
      </c>
      <c r="E674" s="18" t="str">
        <f>IF(Dati!D674="","",IF(Dati!D674&gt;1,Dati!D674/100,Dati!D674))</f>
        <v/>
      </c>
      <c r="F674" s="18" t="str">
        <f>IF(OR(D674="",E674=""),"",IF(OR(D674&gt;1,E674&gt;1),(E674-D674)/100,E674-D674))</f>
        <v/>
      </c>
      <c r="G674" s="17" t="str">
        <f>IF(F674="","",IF(64*F674=0,"",64*F674))</f>
        <v/>
      </c>
      <c r="H674" s="19" t="str">
        <f>IF(Dati!E674="","",Dati!E674)</f>
        <v/>
      </c>
      <c r="I674" s="19" t="str">
        <f>IFERROR(IF(OR(C674="",C674=0),"",H674/C674*100),"")</f>
        <v/>
      </c>
      <c r="J674" s="20" t="str">
        <f>IF(Dati!F674="","",Dati!F674)</f>
        <v/>
      </c>
      <c r="K674" s="19" t="str">
        <f>IF(OR(H674="",J674=""),"",IF(H674*J674=0,"",H674*J674))</f>
        <v/>
      </c>
      <c r="L674" s="19" t="str">
        <f>IF(A674="","",IFERROR(IF(SUMPRODUCT((ISNUMBER(A$2:A674))*(A$2:A674&gt;1000)*(MONTH(IF(ISNUMBER(A$2:A674),A$2:A674,1))=MONTH(A674))*(YEAR(IF(ISNUMBER(A$2:A674),A$2:A674,1))=YEAR(A674))*IF(ISNUMBER(K$2:K674),K$2:K674,0))=0,"",SUMPRODUCT((ISNUMBER(A$2:A674))*(A$2:A674&gt;1000)*(MONTH(IF(ISNUMBER(A$2:A674),A$2:A674,1))=MONTH(A674))*(YEAR(IF(ISNUMBER(A$2:A674),A$2:A674,1))=YEAR(A674))*IF(ISNUMBER(K$2:K674),K$2:K674,0))),""))</f>
        <v/>
      </c>
      <c r="M674" s="21" t="str">
        <f>IF(A674="","",IFERROR(IF(SUMIF(N$2:N674,"CASA",K$2:K674)=0,"",SUMIF(N$2:N674,"CASA",K$2:K674)),""))</f>
        <v/>
      </c>
      <c r="N674" s="17" t="str">
        <f>IF(J674="","",IF(J674=0.2,"CASA",IF(Dati!G674="","",Dati!G674)))</f>
        <v/>
      </c>
    </row>
    <row r="675" spans="1:14" ht="15" customHeight="1" x14ac:dyDescent="0.2">
      <c r="A675" s="23" t="str">
        <f>IF(Dati!A675="","",Dati!A675)</f>
        <v/>
      </c>
      <c r="B675" s="17" t="str">
        <f>IF(Dati!B675="","",Dati!B675)</f>
        <v/>
      </c>
      <c r="C675" s="17" t="str">
        <f>IF(B675="","",IF(ISNUMBER(B674),IF(B675-B674&lt;0,B675,IF(B675-B674=0,"",B675-B674)),B675))</f>
        <v/>
      </c>
      <c r="D675" s="18" t="str">
        <f>IF(Dati!C675="","",IF(Dati!C675&gt;1,Dati!C675/100,Dati!C675))</f>
        <v/>
      </c>
      <c r="E675" s="18" t="str">
        <f>IF(Dati!D675="","",IF(Dati!D675&gt;1,Dati!D675/100,Dati!D675))</f>
        <v/>
      </c>
      <c r="F675" s="18" t="str">
        <f>IF(OR(D675="",E675=""),"",IF(OR(D675&gt;1,E675&gt;1),(E675-D675)/100,E675-D675))</f>
        <v/>
      </c>
      <c r="G675" s="17" t="str">
        <f>IF(F675="","",IF(64*F675=0,"",64*F675))</f>
        <v/>
      </c>
      <c r="H675" s="19" t="str">
        <f>IF(Dati!E675="","",Dati!E675)</f>
        <v/>
      </c>
      <c r="I675" s="19" t="str">
        <f>IFERROR(IF(OR(C675="",C675=0),"",H675/C675*100),"")</f>
        <v/>
      </c>
      <c r="J675" s="20" t="str">
        <f>IF(Dati!F675="","",Dati!F675)</f>
        <v/>
      </c>
      <c r="K675" s="19" t="str">
        <f>IF(OR(H675="",J675=""),"",IF(H675*J675=0,"",H675*J675))</f>
        <v/>
      </c>
      <c r="L675" s="19" t="str">
        <f>IF(A675="","",IFERROR(IF(SUMPRODUCT((ISNUMBER(A$2:A675))*(A$2:A675&gt;1000)*(MONTH(IF(ISNUMBER(A$2:A675),A$2:A675,1))=MONTH(A675))*(YEAR(IF(ISNUMBER(A$2:A675),A$2:A675,1))=YEAR(A675))*IF(ISNUMBER(K$2:K675),K$2:K675,0))=0,"",SUMPRODUCT((ISNUMBER(A$2:A675))*(A$2:A675&gt;1000)*(MONTH(IF(ISNUMBER(A$2:A675),A$2:A675,1))=MONTH(A675))*(YEAR(IF(ISNUMBER(A$2:A675),A$2:A675,1))=YEAR(A675))*IF(ISNUMBER(K$2:K675),K$2:K675,0))),""))</f>
        <v/>
      </c>
      <c r="M675" s="21" t="str">
        <f>IF(A675="","",IFERROR(IF(SUMIF(N$2:N675,"CASA",K$2:K675)=0,"",SUMIF(N$2:N675,"CASA",K$2:K675)),""))</f>
        <v/>
      </c>
      <c r="N675" s="17" t="str">
        <f>IF(J675="","",IF(J675=0.2,"CASA",IF(Dati!G675="","",Dati!G675)))</f>
        <v/>
      </c>
    </row>
    <row r="676" spans="1:14" ht="15" customHeight="1" x14ac:dyDescent="0.2">
      <c r="A676" s="23" t="str">
        <f>IF(Dati!A676="","",Dati!A676)</f>
        <v/>
      </c>
      <c r="B676" s="17" t="str">
        <f>IF(Dati!B676="","",Dati!B676)</f>
        <v/>
      </c>
      <c r="C676" s="17" t="str">
        <f>IF(B676="","",IF(ISNUMBER(B675),IF(B676-B675&lt;0,B676,IF(B676-B675=0,"",B676-B675)),B676))</f>
        <v/>
      </c>
      <c r="D676" s="18" t="str">
        <f>IF(Dati!C676="","",IF(Dati!C676&gt;1,Dati!C676/100,Dati!C676))</f>
        <v/>
      </c>
      <c r="E676" s="18" t="str">
        <f>IF(Dati!D676="","",IF(Dati!D676&gt;1,Dati!D676/100,Dati!D676))</f>
        <v/>
      </c>
      <c r="F676" s="18" t="str">
        <f>IF(OR(D676="",E676=""),"",IF(OR(D676&gt;1,E676&gt;1),(E676-D676)/100,E676-D676))</f>
        <v/>
      </c>
      <c r="G676" s="17" t="str">
        <f>IF(F676="","",IF(64*F676=0,"",64*F676))</f>
        <v/>
      </c>
      <c r="H676" s="19" t="str">
        <f>IF(Dati!E676="","",Dati!E676)</f>
        <v/>
      </c>
      <c r="I676" s="19" t="str">
        <f>IFERROR(IF(OR(C676="",C676=0),"",H676/C676*100),"")</f>
        <v/>
      </c>
      <c r="J676" s="20" t="str">
        <f>IF(Dati!F676="","",Dati!F676)</f>
        <v/>
      </c>
      <c r="K676" s="19" t="str">
        <f>IF(OR(H676="",J676=""),"",IF(H676*J676=0,"",H676*J676))</f>
        <v/>
      </c>
      <c r="L676" s="19" t="str">
        <f>IF(A676="","",IFERROR(IF(SUMPRODUCT((ISNUMBER(A$2:A676))*(A$2:A676&gt;1000)*(MONTH(IF(ISNUMBER(A$2:A676),A$2:A676,1))=MONTH(A676))*(YEAR(IF(ISNUMBER(A$2:A676),A$2:A676,1))=YEAR(A676))*IF(ISNUMBER(K$2:K676),K$2:K676,0))=0,"",SUMPRODUCT((ISNUMBER(A$2:A676))*(A$2:A676&gt;1000)*(MONTH(IF(ISNUMBER(A$2:A676),A$2:A676,1))=MONTH(A676))*(YEAR(IF(ISNUMBER(A$2:A676),A$2:A676,1))=YEAR(A676))*IF(ISNUMBER(K$2:K676),K$2:K676,0))),""))</f>
        <v/>
      </c>
      <c r="M676" s="21" t="str">
        <f>IF(A676="","",IFERROR(IF(SUMIF(N$2:N676,"CASA",K$2:K676)=0,"",SUMIF(N$2:N676,"CASA",K$2:K676)),""))</f>
        <v/>
      </c>
      <c r="N676" s="17" t="str">
        <f>IF(J676="","",IF(J676=0.2,"CASA",IF(Dati!G676="","",Dati!G676)))</f>
        <v/>
      </c>
    </row>
    <row r="677" spans="1:14" ht="15" customHeight="1" x14ac:dyDescent="0.2">
      <c r="A677" s="23" t="str">
        <f>IF(Dati!A677="","",Dati!A677)</f>
        <v/>
      </c>
      <c r="B677" s="17" t="str">
        <f>IF(Dati!B677="","",Dati!B677)</f>
        <v/>
      </c>
      <c r="C677" s="17" t="str">
        <f>IF(B677="","",IF(ISNUMBER(B676),IF(B677-B676&lt;0,B677,IF(B677-B676=0,"",B677-B676)),B677))</f>
        <v/>
      </c>
      <c r="D677" s="18" t="str">
        <f>IF(Dati!C677="","",IF(Dati!C677&gt;1,Dati!C677/100,Dati!C677))</f>
        <v/>
      </c>
      <c r="E677" s="18" t="str">
        <f>IF(Dati!D677="","",IF(Dati!D677&gt;1,Dati!D677/100,Dati!D677))</f>
        <v/>
      </c>
      <c r="F677" s="18" t="str">
        <f>IF(OR(D677="",E677=""),"",IF(OR(D677&gt;1,E677&gt;1),(E677-D677)/100,E677-D677))</f>
        <v/>
      </c>
      <c r="G677" s="17" t="str">
        <f>IF(F677="","",IF(64*F677=0,"",64*F677))</f>
        <v/>
      </c>
      <c r="H677" s="19" t="str">
        <f>IF(Dati!E677="","",Dati!E677)</f>
        <v/>
      </c>
      <c r="I677" s="19" t="str">
        <f>IFERROR(IF(OR(C677="",C677=0),"",H677/C677*100),"")</f>
        <v/>
      </c>
      <c r="J677" s="20" t="str">
        <f>IF(Dati!F677="","",Dati!F677)</f>
        <v/>
      </c>
      <c r="K677" s="19" t="str">
        <f>IF(OR(H677="",J677=""),"",IF(H677*J677=0,"",H677*J677))</f>
        <v/>
      </c>
      <c r="L677" s="19" t="str">
        <f>IF(A677="","",IFERROR(IF(SUMPRODUCT((ISNUMBER(A$2:A677))*(A$2:A677&gt;1000)*(MONTH(IF(ISNUMBER(A$2:A677),A$2:A677,1))=MONTH(A677))*(YEAR(IF(ISNUMBER(A$2:A677),A$2:A677,1))=YEAR(A677))*IF(ISNUMBER(K$2:K677),K$2:K677,0))=0,"",SUMPRODUCT((ISNUMBER(A$2:A677))*(A$2:A677&gt;1000)*(MONTH(IF(ISNUMBER(A$2:A677),A$2:A677,1))=MONTH(A677))*(YEAR(IF(ISNUMBER(A$2:A677),A$2:A677,1))=YEAR(A677))*IF(ISNUMBER(K$2:K677),K$2:K677,0))),""))</f>
        <v/>
      </c>
      <c r="M677" s="21" t="str">
        <f>IF(A677="","",IFERROR(IF(SUMIF(N$2:N677,"CASA",K$2:K677)=0,"",SUMIF(N$2:N677,"CASA",K$2:K677)),""))</f>
        <v/>
      </c>
      <c r="N677" s="17" t="str">
        <f>IF(J677="","",IF(J677=0.2,"CASA",IF(Dati!G677="","",Dati!G677)))</f>
        <v/>
      </c>
    </row>
    <row r="678" spans="1:14" ht="15" customHeight="1" x14ac:dyDescent="0.2">
      <c r="A678" s="23" t="str">
        <f>IF(Dati!A678="","",Dati!A678)</f>
        <v/>
      </c>
      <c r="B678" s="17" t="str">
        <f>IF(Dati!B678="","",Dati!B678)</f>
        <v/>
      </c>
      <c r="C678" s="17" t="str">
        <f>IF(B678="","",IF(ISNUMBER(B677),IF(B678-B677&lt;0,B678,IF(B678-B677=0,"",B678-B677)),B678))</f>
        <v/>
      </c>
      <c r="D678" s="18" t="str">
        <f>IF(Dati!C678="","",IF(Dati!C678&gt;1,Dati!C678/100,Dati!C678))</f>
        <v/>
      </c>
      <c r="E678" s="18" t="str">
        <f>IF(Dati!D678="","",IF(Dati!D678&gt;1,Dati!D678/100,Dati!D678))</f>
        <v/>
      </c>
      <c r="F678" s="18" t="str">
        <f>IF(OR(D678="",E678=""),"",IF(OR(D678&gt;1,E678&gt;1),(E678-D678)/100,E678-D678))</f>
        <v/>
      </c>
      <c r="G678" s="17" t="str">
        <f>IF(F678="","",IF(64*F678=0,"",64*F678))</f>
        <v/>
      </c>
      <c r="H678" s="19" t="str">
        <f>IF(Dati!E678="","",Dati!E678)</f>
        <v/>
      </c>
      <c r="I678" s="19" t="str">
        <f>IFERROR(IF(OR(C678="",C678=0),"",H678/C678*100),"")</f>
        <v/>
      </c>
      <c r="J678" s="20" t="str">
        <f>IF(Dati!F678="","",Dati!F678)</f>
        <v/>
      </c>
      <c r="K678" s="19" t="str">
        <f>IF(OR(H678="",J678=""),"",IF(H678*J678=0,"",H678*J678))</f>
        <v/>
      </c>
      <c r="L678" s="19" t="str">
        <f>IF(A678="","",IFERROR(IF(SUMPRODUCT((ISNUMBER(A$2:A678))*(A$2:A678&gt;1000)*(MONTH(IF(ISNUMBER(A$2:A678),A$2:A678,1))=MONTH(A678))*(YEAR(IF(ISNUMBER(A$2:A678),A$2:A678,1))=YEAR(A678))*IF(ISNUMBER(K$2:K678),K$2:K678,0))=0,"",SUMPRODUCT((ISNUMBER(A$2:A678))*(A$2:A678&gt;1000)*(MONTH(IF(ISNUMBER(A$2:A678),A$2:A678,1))=MONTH(A678))*(YEAR(IF(ISNUMBER(A$2:A678),A$2:A678,1))=YEAR(A678))*IF(ISNUMBER(K$2:K678),K$2:K678,0))),""))</f>
        <v/>
      </c>
      <c r="M678" s="21" t="str">
        <f>IF(A678="","",IFERROR(IF(SUMIF(N$2:N678,"CASA",K$2:K678)=0,"",SUMIF(N$2:N678,"CASA",K$2:K678)),""))</f>
        <v/>
      </c>
      <c r="N678" s="17" t="str">
        <f>IF(J678="","",IF(J678=0.2,"CASA",IF(Dati!G678="","",Dati!G678)))</f>
        <v/>
      </c>
    </row>
    <row r="679" spans="1:14" ht="15" customHeight="1" x14ac:dyDescent="0.2">
      <c r="A679" s="23" t="str">
        <f>IF(Dati!A679="","",Dati!A679)</f>
        <v/>
      </c>
      <c r="B679" s="17" t="str">
        <f>IF(Dati!B679="","",Dati!B679)</f>
        <v/>
      </c>
      <c r="C679" s="17" t="str">
        <f>IF(B679="","",IF(ISNUMBER(B678),IF(B679-B678&lt;0,B679,IF(B679-B678=0,"",B679-B678)),B679))</f>
        <v/>
      </c>
      <c r="D679" s="18" t="str">
        <f>IF(Dati!C679="","",IF(Dati!C679&gt;1,Dati!C679/100,Dati!C679))</f>
        <v/>
      </c>
      <c r="E679" s="18" t="str">
        <f>IF(Dati!D679="","",IF(Dati!D679&gt;1,Dati!D679/100,Dati!D679))</f>
        <v/>
      </c>
      <c r="F679" s="18" t="str">
        <f>IF(OR(D679="",E679=""),"",IF(OR(D679&gt;1,E679&gt;1),(E679-D679)/100,E679-D679))</f>
        <v/>
      </c>
      <c r="G679" s="17" t="str">
        <f>IF(F679="","",IF(64*F679=0,"",64*F679))</f>
        <v/>
      </c>
      <c r="H679" s="19" t="str">
        <f>IF(Dati!E679="","",Dati!E679)</f>
        <v/>
      </c>
      <c r="I679" s="19" t="str">
        <f>IFERROR(IF(OR(C679="",C679=0),"",H679/C679*100),"")</f>
        <v/>
      </c>
      <c r="J679" s="20" t="str">
        <f>IF(Dati!F679="","",Dati!F679)</f>
        <v/>
      </c>
      <c r="K679" s="19" t="str">
        <f>IF(OR(H679="",J679=""),"",IF(H679*J679=0,"",H679*J679))</f>
        <v/>
      </c>
      <c r="L679" s="19" t="str">
        <f>IF(A679="","",IFERROR(IF(SUMPRODUCT((ISNUMBER(A$2:A679))*(A$2:A679&gt;1000)*(MONTH(IF(ISNUMBER(A$2:A679),A$2:A679,1))=MONTH(A679))*(YEAR(IF(ISNUMBER(A$2:A679),A$2:A679,1))=YEAR(A679))*IF(ISNUMBER(K$2:K679),K$2:K679,0))=0,"",SUMPRODUCT((ISNUMBER(A$2:A679))*(A$2:A679&gt;1000)*(MONTH(IF(ISNUMBER(A$2:A679),A$2:A679,1))=MONTH(A679))*(YEAR(IF(ISNUMBER(A$2:A679),A$2:A679,1))=YEAR(A679))*IF(ISNUMBER(K$2:K679),K$2:K679,0))),""))</f>
        <v/>
      </c>
      <c r="M679" s="21" t="str">
        <f>IF(A679="","",IFERROR(IF(SUMIF(N$2:N679,"CASA",K$2:K679)=0,"",SUMIF(N$2:N679,"CASA",K$2:K679)),""))</f>
        <v/>
      </c>
      <c r="N679" s="17" t="str">
        <f>IF(J679="","",IF(J679=0.2,"CASA",IF(Dati!G679="","",Dati!G679)))</f>
        <v/>
      </c>
    </row>
    <row r="680" spans="1:14" ht="15" customHeight="1" x14ac:dyDescent="0.2">
      <c r="A680" s="23" t="str">
        <f>IF(Dati!A680="","",Dati!A680)</f>
        <v/>
      </c>
      <c r="B680" s="17" t="str">
        <f>IF(Dati!B680="","",Dati!B680)</f>
        <v/>
      </c>
      <c r="C680" s="17" t="str">
        <f>IF(B680="","",IF(ISNUMBER(B679),IF(B680-B679&lt;0,B680,IF(B680-B679=0,"",B680-B679)),B680))</f>
        <v/>
      </c>
      <c r="D680" s="18" t="str">
        <f>IF(Dati!C680="","",IF(Dati!C680&gt;1,Dati!C680/100,Dati!C680))</f>
        <v/>
      </c>
      <c r="E680" s="18" t="str">
        <f>IF(Dati!D680="","",IF(Dati!D680&gt;1,Dati!D680/100,Dati!D680))</f>
        <v/>
      </c>
      <c r="F680" s="18" t="str">
        <f>IF(OR(D680="",E680=""),"",IF(OR(D680&gt;1,E680&gt;1),(E680-D680)/100,E680-D680))</f>
        <v/>
      </c>
      <c r="G680" s="17" t="str">
        <f>IF(F680="","",IF(64*F680=0,"",64*F680))</f>
        <v/>
      </c>
      <c r="H680" s="19" t="str">
        <f>IF(Dati!E680="","",Dati!E680)</f>
        <v/>
      </c>
      <c r="I680" s="19" t="str">
        <f>IFERROR(IF(OR(C680="",C680=0),"",H680/C680*100),"")</f>
        <v/>
      </c>
      <c r="J680" s="20" t="str">
        <f>IF(Dati!F680="","",Dati!F680)</f>
        <v/>
      </c>
      <c r="K680" s="19" t="str">
        <f>IF(OR(H680="",J680=""),"",IF(H680*J680=0,"",H680*J680))</f>
        <v/>
      </c>
      <c r="L680" s="19" t="str">
        <f>IF(A680="","",IFERROR(IF(SUMPRODUCT((ISNUMBER(A$2:A680))*(A$2:A680&gt;1000)*(MONTH(IF(ISNUMBER(A$2:A680),A$2:A680,1))=MONTH(A680))*(YEAR(IF(ISNUMBER(A$2:A680),A$2:A680,1))=YEAR(A680))*IF(ISNUMBER(K$2:K680),K$2:K680,0))=0,"",SUMPRODUCT((ISNUMBER(A$2:A680))*(A$2:A680&gt;1000)*(MONTH(IF(ISNUMBER(A$2:A680),A$2:A680,1))=MONTH(A680))*(YEAR(IF(ISNUMBER(A$2:A680),A$2:A680,1))=YEAR(A680))*IF(ISNUMBER(K$2:K680),K$2:K680,0))),""))</f>
        <v/>
      </c>
      <c r="M680" s="21" t="str">
        <f>IF(A680="","",IFERROR(IF(SUMIF(N$2:N680,"CASA",K$2:K680)=0,"",SUMIF(N$2:N680,"CASA",K$2:K680)),""))</f>
        <v/>
      </c>
      <c r="N680" s="17" t="str">
        <f>IF(J680="","",IF(J680=0.2,"CASA",IF(Dati!G680="","",Dati!G680)))</f>
        <v/>
      </c>
    </row>
    <row r="681" spans="1:14" ht="15" customHeight="1" x14ac:dyDescent="0.2">
      <c r="A681" s="23" t="str">
        <f>IF(Dati!A681="","",Dati!A681)</f>
        <v/>
      </c>
      <c r="B681" s="17" t="str">
        <f>IF(Dati!B681="","",Dati!B681)</f>
        <v/>
      </c>
      <c r="C681" s="17" t="str">
        <f>IF(B681="","",IF(ISNUMBER(B680),IF(B681-B680&lt;0,B681,IF(B681-B680=0,"",B681-B680)),B681))</f>
        <v/>
      </c>
      <c r="D681" s="18" t="str">
        <f>IF(Dati!C681="","",IF(Dati!C681&gt;1,Dati!C681/100,Dati!C681))</f>
        <v/>
      </c>
      <c r="E681" s="18" t="str">
        <f>IF(Dati!D681="","",IF(Dati!D681&gt;1,Dati!D681/100,Dati!D681))</f>
        <v/>
      </c>
      <c r="F681" s="18" t="str">
        <f>IF(OR(D681="",E681=""),"",IF(OR(D681&gt;1,E681&gt;1),(E681-D681)/100,E681-D681))</f>
        <v/>
      </c>
      <c r="G681" s="17" t="str">
        <f>IF(F681="","",IF(64*F681=0,"",64*F681))</f>
        <v/>
      </c>
      <c r="H681" s="19" t="str">
        <f>IF(Dati!E681="","",Dati!E681)</f>
        <v/>
      </c>
      <c r="I681" s="19" t="str">
        <f>IFERROR(IF(OR(C681="",C681=0),"",H681/C681*100),"")</f>
        <v/>
      </c>
      <c r="J681" s="20" t="str">
        <f>IF(Dati!F681="","",Dati!F681)</f>
        <v/>
      </c>
      <c r="K681" s="19" t="str">
        <f>IF(OR(H681="",J681=""),"",IF(H681*J681=0,"",H681*J681))</f>
        <v/>
      </c>
      <c r="L681" s="19" t="str">
        <f>IF(A681="","",IFERROR(IF(SUMPRODUCT((ISNUMBER(A$2:A681))*(A$2:A681&gt;1000)*(MONTH(IF(ISNUMBER(A$2:A681),A$2:A681,1))=MONTH(A681))*(YEAR(IF(ISNUMBER(A$2:A681),A$2:A681,1))=YEAR(A681))*IF(ISNUMBER(K$2:K681),K$2:K681,0))=0,"",SUMPRODUCT((ISNUMBER(A$2:A681))*(A$2:A681&gt;1000)*(MONTH(IF(ISNUMBER(A$2:A681),A$2:A681,1))=MONTH(A681))*(YEAR(IF(ISNUMBER(A$2:A681),A$2:A681,1))=YEAR(A681))*IF(ISNUMBER(K$2:K681),K$2:K681,0))),""))</f>
        <v/>
      </c>
      <c r="M681" s="21" t="str">
        <f>IF(A681="","",IFERROR(IF(SUMIF(N$2:N681,"CASA",K$2:K681)=0,"",SUMIF(N$2:N681,"CASA",K$2:K681)),""))</f>
        <v/>
      </c>
      <c r="N681" s="17" t="str">
        <f>IF(J681="","",IF(J681=0.2,"CASA",IF(Dati!G681="","",Dati!G681)))</f>
        <v/>
      </c>
    </row>
    <row r="682" spans="1:14" ht="15" customHeight="1" x14ac:dyDescent="0.2">
      <c r="A682" s="23" t="str">
        <f>IF(Dati!A682="","",Dati!A682)</f>
        <v/>
      </c>
      <c r="B682" s="17" t="str">
        <f>IF(Dati!B682="","",Dati!B682)</f>
        <v/>
      </c>
      <c r="C682" s="17" t="str">
        <f>IF(B682="","",IF(ISNUMBER(B681),IF(B682-B681&lt;0,B682,IF(B682-B681=0,"",B682-B681)),B682))</f>
        <v/>
      </c>
      <c r="D682" s="18" t="str">
        <f>IF(Dati!C682="","",IF(Dati!C682&gt;1,Dati!C682/100,Dati!C682))</f>
        <v/>
      </c>
      <c r="E682" s="18" t="str">
        <f>IF(Dati!D682="","",IF(Dati!D682&gt;1,Dati!D682/100,Dati!D682))</f>
        <v/>
      </c>
      <c r="F682" s="18" t="str">
        <f>IF(OR(D682="",E682=""),"",IF(OR(D682&gt;1,E682&gt;1),(E682-D682)/100,E682-D682))</f>
        <v/>
      </c>
      <c r="G682" s="17" t="str">
        <f>IF(F682="","",IF(64*F682=0,"",64*F682))</f>
        <v/>
      </c>
      <c r="H682" s="19" t="str">
        <f>IF(Dati!E682="","",Dati!E682)</f>
        <v/>
      </c>
      <c r="I682" s="19" t="str">
        <f>IFERROR(IF(OR(C682="",C682=0),"",H682/C682*100),"")</f>
        <v/>
      </c>
      <c r="J682" s="20" t="str">
        <f>IF(Dati!F682="","",Dati!F682)</f>
        <v/>
      </c>
      <c r="K682" s="19" t="str">
        <f>IF(OR(H682="",J682=""),"",IF(H682*J682=0,"",H682*J682))</f>
        <v/>
      </c>
      <c r="L682" s="19" t="str">
        <f>IF(A682="","",IFERROR(IF(SUMPRODUCT((ISNUMBER(A$2:A682))*(A$2:A682&gt;1000)*(MONTH(IF(ISNUMBER(A$2:A682),A$2:A682,1))=MONTH(A682))*(YEAR(IF(ISNUMBER(A$2:A682),A$2:A682,1))=YEAR(A682))*IF(ISNUMBER(K$2:K682),K$2:K682,0))=0,"",SUMPRODUCT((ISNUMBER(A$2:A682))*(A$2:A682&gt;1000)*(MONTH(IF(ISNUMBER(A$2:A682),A$2:A682,1))=MONTH(A682))*(YEAR(IF(ISNUMBER(A$2:A682),A$2:A682,1))=YEAR(A682))*IF(ISNUMBER(K$2:K682),K$2:K682,0))),""))</f>
        <v/>
      </c>
      <c r="M682" s="21" t="str">
        <f>IF(A682="","",IFERROR(IF(SUMIF(N$2:N682,"CASA",K$2:K682)=0,"",SUMIF(N$2:N682,"CASA",K$2:K682)),""))</f>
        <v/>
      </c>
      <c r="N682" s="17" t="str">
        <f>IF(J682="","",IF(J682=0.2,"CASA",IF(Dati!G682="","",Dati!G682)))</f>
        <v/>
      </c>
    </row>
    <row r="683" spans="1:14" ht="15" customHeight="1" x14ac:dyDescent="0.2">
      <c r="A683" s="23" t="str">
        <f>IF(Dati!A683="","",Dati!A683)</f>
        <v/>
      </c>
      <c r="B683" s="17" t="str">
        <f>IF(Dati!B683="","",Dati!B683)</f>
        <v/>
      </c>
      <c r="C683" s="17" t="str">
        <f>IF(B683="","",IF(ISNUMBER(B682),IF(B683-B682&lt;0,B683,IF(B683-B682=0,"",B683-B682)),B683))</f>
        <v/>
      </c>
      <c r="D683" s="18" t="str">
        <f>IF(Dati!C683="","",IF(Dati!C683&gt;1,Dati!C683/100,Dati!C683))</f>
        <v/>
      </c>
      <c r="E683" s="18" t="str">
        <f>IF(Dati!D683="","",IF(Dati!D683&gt;1,Dati!D683/100,Dati!D683))</f>
        <v/>
      </c>
      <c r="F683" s="18" t="str">
        <f>IF(OR(D683="",E683=""),"",IF(OR(D683&gt;1,E683&gt;1),(E683-D683)/100,E683-D683))</f>
        <v/>
      </c>
      <c r="G683" s="17" t="str">
        <f>IF(F683="","",IF(64*F683=0,"",64*F683))</f>
        <v/>
      </c>
      <c r="H683" s="19" t="str">
        <f>IF(Dati!E683="","",Dati!E683)</f>
        <v/>
      </c>
      <c r="I683" s="19" t="str">
        <f>IFERROR(IF(OR(C683="",C683=0),"",H683/C683*100),"")</f>
        <v/>
      </c>
      <c r="J683" s="20" t="str">
        <f>IF(Dati!F683="","",Dati!F683)</f>
        <v/>
      </c>
      <c r="K683" s="19" t="str">
        <f>IF(OR(H683="",J683=""),"",IF(H683*J683=0,"",H683*J683))</f>
        <v/>
      </c>
      <c r="L683" s="19" t="str">
        <f>IF(A683="","",IFERROR(IF(SUMPRODUCT((ISNUMBER(A$2:A683))*(A$2:A683&gt;1000)*(MONTH(IF(ISNUMBER(A$2:A683),A$2:A683,1))=MONTH(A683))*(YEAR(IF(ISNUMBER(A$2:A683),A$2:A683,1))=YEAR(A683))*IF(ISNUMBER(K$2:K683),K$2:K683,0))=0,"",SUMPRODUCT((ISNUMBER(A$2:A683))*(A$2:A683&gt;1000)*(MONTH(IF(ISNUMBER(A$2:A683),A$2:A683,1))=MONTH(A683))*(YEAR(IF(ISNUMBER(A$2:A683),A$2:A683,1))=YEAR(A683))*IF(ISNUMBER(K$2:K683),K$2:K683,0))),""))</f>
        <v/>
      </c>
      <c r="M683" s="21" t="str">
        <f>IF(A683="","",IFERROR(IF(SUMIF(N$2:N683,"CASA",K$2:K683)=0,"",SUMIF(N$2:N683,"CASA",K$2:K683)),""))</f>
        <v/>
      </c>
      <c r="N683" s="17" t="str">
        <f>IF(J683="","",IF(J683=0.2,"CASA",IF(Dati!G683="","",Dati!G683)))</f>
        <v/>
      </c>
    </row>
    <row r="684" spans="1:14" ht="15" customHeight="1" x14ac:dyDescent="0.2">
      <c r="A684" s="23" t="str">
        <f>IF(Dati!A684="","",Dati!A684)</f>
        <v/>
      </c>
      <c r="B684" s="17" t="str">
        <f>IF(Dati!B684="","",Dati!B684)</f>
        <v/>
      </c>
      <c r="C684" s="17" t="str">
        <f>IF(B684="","",IF(ISNUMBER(B683),IF(B684-B683&lt;0,B684,IF(B684-B683=0,"",B684-B683)),B684))</f>
        <v/>
      </c>
      <c r="D684" s="18" t="str">
        <f>IF(Dati!C684="","",IF(Dati!C684&gt;1,Dati!C684/100,Dati!C684))</f>
        <v/>
      </c>
      <c r="E684" s="18" t="str">
        <f>IF(Dati!D684="","",IF(Dati!D684&gt;1,Dati!D684/100,Dati!D684))</f>
        <v/>
      </c>
      <c r="F684" s="18" t="str">
        <f>IF(OR(D684="",E684=""),"",IF(OR(D684&gt;1,E684&gt;1),(E684-D684)/100,E684-D684))</f>
        <v/>
      </c>
      <c r="G684" s="17" t="str">
        <f>IF(F684="","",IF(64*F684=0,"",64*F684))</f>
        <v/>
      </c>
      <c r="H684" s="19" t="str">
        <f>IF(Dati!E684="","",Dati!E684)</f>
        <v/>
      </c>
      <c r="I684" s="19" t="str">
        <f>IFERROR(IF(OR(C684="",C684=0),"",H684/C684*100),"")</f>
        <v/>
      </c>
      <c r="J684" s="20" t="str">
        <f>IF(Dati!F684="","",Dati!F684)</f>
        <v/>
      </c>
      <c r="K684" s="19" t="str">
        <f>IF(OR(H684="",J684=""),"",IF(H684*J684=0,"",H684*J684))</f>
        <v/>
      </c>
      <c r="L684" s="19" t="str">
        <f>IF(A684="","",IFERROR(IF(SUMPRODUCT((ISNUMBER(A$2:A684))*(A$2:A684&gt;1000)*(MONTH(IF(ISNUMBER(A$2:A684),A$2:A684,1))=MONTH(A684))*(YEAR(IF(ISNUMBER(A$2:A684),A$2:A684,1))=YEAR(A684))*IF(ISNUMBER(K$2:K684),K$2:K684,0))=0,"",SUMPRODUCT((ISNUMBER(A$2:A684))*(A$2:A684&gt;1000)*(MONTH(IF(ISNUMBER(A$2:A684),A$2:A684,1))=MONTH(A684))*(YEAR(IF(ISNUMBER(A$2:A684),A$2:A684,1))=YEAR(A684))*IF(ISNUMBER(K$2:K684),K$2:K684,0))),""))</f>
        <v/>
      </c>
      <c r="M684" s="21" t="str">
        <f>IF(A684="","",IFERROR(IF(SUMIF(N$2:N684,"CASA",K$2:K684)=0,"",SUMIF(N$2:N684,"CASA",K$2:K684)),""))</f>
        <v/>
      </c>
      <c r="N684" s="17" t="str">
        <f>IF(J684="","",IF(J684=0.2,"CASA",IF(Dati!G684="","",Dati!G684)))</f>
        <v/>
      </c>
    </row>
    <row r="685" spans="1:14" ht="15" customHeight="1" x14ac:dyDescent="0.2">
      <c r="A685" s="23" t="str">
        <f>IF(Dati!A685="","",Dati!A685)</f>
        <v/>
      </c>
      <c r="B685" s="17" t="str">
        <f>IF(Dati!B685="","",Dati!B685)</f>
        <v/>
      </c>
      <c r="C685" s="17" t="str">
        <f>IF(B685="","",IF(ISNUMBER(B684),IF(B685-B684&lt;0,B685,IF(B685-B684=0,"",B685-B684)),B685))</f>
        <v/>
      </c>
      <c r="D685" s="18" t="str">
        <f>IF(Dati!C685="","",IF(Dati!C685&gt;1,Dati!C685/100,Dati!C685))</f>
        <v/>
      </c>
      <c r="E685" s="18" t="str">
        <f>IF(Dati!D685="","",IF(Dati!D685&gt;1,Dati!D685/100,Dati!D685))</f>
        <v/>
      </c>
      <c r="F685" s="18" t="str">
        <f>IF(OR(D685="",E685=""),"",IF(OR(D685&gt;1,E685&gt;1),(E685-D685)/100,E685-D685))</f>
        <v/>
      </c>
      <c r="G685" s="17" t="str">
        <f>IF(F685="","",IF(64*F685=0,"",64*F685))</f>
        <v/>
      </c>
      <c r="H685" s="19" t="str">
        <f>IF(Dati!E685="","",Dati!E685)</f>
        <v/>
      </c>
      <c r="I685" s="19" t="str">
        <f>IFERROR(IF(OR(C685="",C685=0),"",H685/C685*100),"")</f>
        <v/>
      </c>
      <c r="J685" s="20" t="str">
        <f>IF(Dati!F685="","",Dati!F685)</f>
        <v/>
      </c>
      <c r="K685" s="19" t="str">
        <f>IF(OR(H685="",J685=""),"",IF(H685*J685=0,"",H685*J685))</f>
        <v/>
      </c>
      <c r="L685" s="19" t="str">
        <f>IF(A685="","",IFERROR(IF(SUMPRODUCT((ISNUMBER(A$2:A685))*(A$2:A685&gt;1000)*(MONTH(IF(ISNUMBER(A$2:A685),A$2:A685,1))=MONTH(A685))*(YEAR(IF(ISNUMBER(A$2:A685),A$2:A685,1))=YEAR(A685))*IF(ISNUMBER(K$2:K685),K$2:K685,0))=0,"",SUMPRODUCT((ISNUMBER(A$2:A685))*(A$2:A685&gt;1000)*(MONTH(IF(ISNUMBER(A$2:A685),A$2:A685,1))=MONTH(A685))*(YEAR(IF(ISNUMBER(A$2:A685),A$2:A685,1))=YEAR(A685))*IF(ISNUMBER(K$2:K685),K$2:K685,0))),""))</f>
        <v/>
      </c>
      <c r="M685" s="21" t="str">
        <f>IF(A685="","",IFERROR(IF(SUMIF(N$2:N685,"CASA",K$2:K685)=0,"",SUMIF(N$2:N685,"CASA",K$2:K685)),""))</f>
        <v/>
      </c>
      <c r="N685" s="17" t="str">
        <f>IF(J685="","",IF(J685=0.2,"CASA",IF(Dati!G685="","",Dati!G685)))</f>
        <v/>
      </c>
    </row>
    <row r="686" spans="1:14" ht="15" customHeight="1" x14ac:dyDescent="0.2">
      <c r="A686" s="23" t="str">
        <f>IF(Dati!A686="","",Dati!A686)</f>
        <v/>
      </c>
      <c r="B686" s="17" t="str">
        <f>IF(Dati!B686="","",Dati!B686)</f>
        <v/>
      </c>
      <c r="C686" s="17" t="str">
        <f>IF(B686="","",IF(ISNUMBER(B685),IF(B686-B685&lt;0,B686,IF(B686-B685=0,"",B686-B685)),B686))</f>
        <v/>
      </c>
      <c r="D686" s="18" t="str">
        <f>IF(Dati!C686="","",IF(Dati!C686&gt;1,Dati!C686/100,Dati!C686))</f>
        <v/>
      </c>
      <c r="E686" s="18" t="str">
        <f>IF(Dati!D686="","",IF(Dati!D686&gt;1,Dati!D686/100,Dati!D686))</f>
        <v/>
      </c>
      <c r="F686" s="18" t="str">
        <f>IF(OR(D686="",E686=""),"",IF(OR(D686&gt;1,E686&gt;1),(E686-D686)/100,E686-D686))</f>
        <v/>
      </c>
      <c r="G686" s="17" t="str">
        <f>IF(F686="","",IF(64*F686=0,"",64*F686))</f>
        <v/>
      </c>
      <c r="H686" s="19" t="str">
        <f>IF(Dati!E686="","",Dati!E686)</f>
        <v/>
      </c>
      <c r="I686" s="19" t="str">
        <f>IFERROR(IF(OR(C686="",C686=0),"",H686/C686*100),"")</f>
        <v/>
      </c>
      <c r="J686" s="20" t="str">
        <f>IF(Dati!F686="","",Dati!F686)</f>
        <v/>
      </c>
      <c r="K686" s="19" t="str">
        <f>IF(OR(H686="",J686=""),"",IF(H686*J686=0,"",H686*J686))</f>
        <v/>
      </c>
      <c r="L686" s="19" t="str">
        <f>IF(A686="","",IFERROR(IF(SUMPRODUCT((ISNUMBER(A$2:A686))*(A$2:A686&gt;1000)*(MONTH(IF(ISNUMBER(A$2:A686),A$2:A686,1))=MONTH(A686))*(YEAR(IF(ISNUMBER(A$2:A686),A$2:A686,1))=YEAR(A686))*IF(ISNUMBER(K$2:K686),K$2:K686,0))=0,"",SUMPRODUCT((ISNUMBER(A$2:A686))*(A$2:A686&gt;1000)*(MONTH(IF(ISNUMBER(A$2:A686),A$2:A686,1))=MONTH(A686))*(YEAR(IF(ISNUMBER(A$2:A686),A$2:A686,1))=YEAR(A686))*IF(ISNUMBER(K$2:K686),K$2:K686,0))),""))</f>
        <v/>
      </c>
      <c r="M686" s="21" t="str">
        <f>IF(A686="","",IFERROR(IF(SUMIF(N$2:N686,"CASA",K$2:K686)=0,"",SUMIF(N$2:N686,"CASA",K$2:K686)),""))</f>
        <v/>
      </c>
      <c r="N686" s="17" t="str">
        <f>IF(J686="","",IF(J686=0.2,"CASA",IF(Dati!G686="","",Dati!G686)))</f>
        <v/>
      </c>
    </row>
    <row r="687" spans="1:14" ht="15" customHeight="1" x14ac:dyDescent="0.2">
      <c r="A687" s="23" t="str">
        <f>IF(Dati!A687="","",Dati!A687)</f>
        <v/>
      </c>
      <c r="B687" s="17" t="str">
        <f>IF(Dati!B687="","",Dati!B687)</f>
        <v/>
      </c>
      <c r="C687" s="17" t="str">
        <f>IF(B687="","",IF(ISNUMBER(B686),IF(B687-B686&lt;0,B687,IF(B687-B686=0,"",B687-B686)),B687))</f>
        <v/>
      </c>
      <c r="D687" s="18" t="str">
        <f>IF(Dati!C687="","",IF(Dati!C687&gt;1,Dati!C687/100,Dati!C687))</f>
        <v/>
      </c>
      <c r="E687" s="18" t="str">
        <f>IF(Dati!D687="","",IF(Dati!D687&gt;1,Dati!D687/100,Dati!D687))</f>
        <v/>
      </c>
      <c r="F687" s="18" t="str">
        <f>IF(OR(D687="",E687=""),"",IF(OR(D687&gt;1,E687&gt;1),(E687-D687)/100,E687-D687))</f>
        <v/>
      </c>
      <c r="G687" s="17" t="str">
        <f>IF(F687="","",IF(64*F687=0,"",64*F687))</f>
        <v/>
      </c>
      <c r="H687" s="19" t="str">
        <f>IF(Dati!E687="","",Dati!E687)</f>
        <v/>
      </c>
      <c r="I687" s="19" t="str">
        <f>IFERROR(IF(OR(C687="",C687=0),"",H687/C687*100),"")</f>
        <v/>
      </c>
      <c r="J687" s="20" t="str">
        <f>IF(Dati!F687="","",Dati!F687)</f>
        <v/>
      </c>
      <c r="K687" s="19" t="str">
        <f>IF(OR(H687="",J687=""),"",IF(H687*J687=0,"",H687*J687))</f>
        <v/>
      </c>
      <c r="L687" s="19" t="str">
        <f>IF(A687="","",IFERROR(IF(SUMPRODUCT((ISNUMBER(A$2:A687))*(A$2:A687&gt;1000)*(MONTH(IF(ISNUMBER(A$2:A687),A$2:A687,1))=MONTH(A687))*(YEAR(IF(ISNUMBER(A$2:A687),A$2:A687,1))=YEAR(A687))*IF(ISNUMBER(K$2:K687),K$2:K687,0))=0,"",SUMPRODUCT((ISNUMBER(A$2:A687))*(A$2:A687&gt;1000)*(MONTH(IF(ISNUMBER(A$2:A687),A$2:A687,1))=MONTH(A687))*(YEAR(IF(ISNUMBER(A$2:A687),A$2:A687,1))=YEAR(A687))*IF(ISNUMBER(K$2:K687),K$2:K687,0))),""))</f>
        <v/>
      </c>
      <c r="M687" s="21" t="str">
        <f>IF(A687="","",IFERROR(IF(SUMIF(N$2:N687,"CASA",K$2:K687)=0,"",SUMIF(N$2:N687,"CASA",K$2:K687)),""))</f>
        <v/>
      </c>
      <c r="N687" s="17" t="str">
        <f>IF(J687="","",IF(J687=0.2,"CASA",IF(Dati!G687="","",Dati!G687)))</f>
        <v/>
      </c>
    </row>
    <row r="688" spans="1:14" ht="15" customHeight="1" x14ac:dyDescent="0.2">
      <c r="A688" s="23" t="str">
        <f>IF(Dati!A688="","",Dati!A688)</f>
        <v/>
      </c>
      <c r="B688" s="17" t="str">
        <f>IF(Dati!B688="","",Dati!B688)</f>
        <v/>
      </c>
      <c r="C688" s="17" t="str">
        <f>IF(B688="","",IF(ISNUMBER(B687),IF(B688-B687&lt;0,B688,IF(B688-B687=0,"",B688-B687)),B688))</f>
        <v/>
      </c>
      <c r="D688" s="18" t="str">
        <f>IF(Dati!C688="","",IF(Dati!C688&gt;1,Dati!C688/100,Dati!C688))</f>
        <v/>
      </c>
      <c r="E688" s="18" t="str">
        <f>IF(Dati!D688="","",IF(Dati!D688&gt;1,Dati!D688/100,Dati!D688))</f>
        <v/>
      </c>
      <c r="F688" s="18" t="str">
        <f>IF(OR(D688="",E688=""),"",IF(OR(D688&gt;1,E688&gt;1),(E688-D688)/100,E688-D688))</f>
        <v/>
      </c>
      <c r="G688" s="17" t="str">
        <f>IF(F688="","",IF(64*F688=0,"",64*F688))</f>
        <v/>
      </c>
      <c r="H688" s="19" t="str">
        <f>IF(Dati!E688="","",Dati!E688)</f>
        <v/>
      </c>
      <c r="I688" s="19" t="str">
        <f>IFERROR(IF(OR(C688="",C688=0),"",H688/C688*100),"")</f>
        <v/>
      </c>
      <c r="J688" s="20" t="str">
        <f>IF(Dati!F688="","",Dati!F688)</f>
        <v/>
      </c>
      <c r="K688" s="19" t="str">
        <f>IF(OR(H688="",J688=""),"",IF(H688*J688=0,"",H688*J688))</f>
        <v/>
      </c>
      <c r="L688" s="19" t="str">
        <f>IF(A688="","",IFERROR(IF(SUMPRODUCT((ISNUMBER(A$2:A688))*(A$2:A688&gt;1000)*(MONTH(IF(ISNUMBER(A$2:A688),A$2:A688,1))=MONTH(A688))*(YEAR(IF(ISNUMBER(A$2:A688),A$2:A688,1))=YEAR(A688))*IF(ISNUMBER(K$2:K688),K$2:K688,0))=0,"",SUMPRODUCT((ISNUMBER(A$2:A688))*(A$2:A688&gt;1000)*(MONTH(IF(ISNUMBER(A$2:A688),A$2:A688,1))=MONTH(A688))*(YEAR(IF(ISNUMBER(A$2:A688),A$2:A688,1))=YEAR(A688))*IF(ISNUMBER(K$2:K688),K$2:K688,0))),""))</f>
        <v/>
      </c>
      <c r="M688" s="21" t="str">
        <f>IF(A688="","",IFERROR(IF(SUMIF(N$2:N688,"CASA",K$2:K688)=0,"",SUMIF(N$2:N688,"CASA",K$2:K688)),""))</f>
        <v/>
      </c>
      <c r="N688" s="17" t="str">
        <f>IF(J688="","",IF(J688=0.2,"CASA",IF(Dati!G688="","",Dati!G688)))</f>
        <v/>
      </c>
    </row>
    <row r="689" spans="1:14" ht="15" customHeight="1" x14ac:dyDescent="0.2">
      <c r="A689" s="23" t="str">
        <f>IF(Dati!A689="","",Dati!A689)</f>
        <v/>
      </c>
      <c r="B689" s="17" t="str">
        <f>IF(Dati!B689="","",Dati!B689)</f>
        <v/>
      </c>
      <c r="C689" s="17" t="str">
        <f>IF(B689="","",IF(ISNUMBER(B688),IF(B689-B688&lt;0,B689,IF(B689-B688=0,"",B689-B688)),B689))</f>
        <v/>
      </c>
      <c r="D689" s="18" t="str">
        <f>IF(Dati!C689="","",IF(Dati!C689&gt;1,Dati!C689/100,Dati!C689))</f>
        <v/>
      </c>
      <c r="E689" s="18" t="str">
        <f>IF(Dati!D689="","",IF(Dati!D689&gt;1,Dati!D689/100,Dati!D689))</f>
        <v/>
      </c>
      <c r="F689" s="18" t="str">
        <f>IF(OR(D689="",E689=""),"",IF(OR(D689&gt;1,E689&gt;1),(E689-D689)/100,E689-D689))</f>
        <v/>
      </c>
      <c r="G689" s="17" t="str">
        <f>IF(F689="","",IF(64*F689=0,"",64*F689))</f>
        <v/>
      </c>
      <c r="H689" s="19" t="str">
        <f>IF(Dati!E689="","",Dati!E689)</f>
        <v/>
      </c>
      <c r="I689" s="19" t="str">
        <f>IFERROR(IF(OR(C689="",C689=0),"",H689/C689*100),"")</f>
        <v/>
      </c>
      <c r="J689" s="20" t="str">
        <f>IF(Dati!F689="","",Dati!F689)</f>
        <v/>
      </c>
      <c r="K689" s="19" t="str">
        <f>IF(OR(H689="",J689=""),"",IF(H689*J689=0,"",H689*J689))</f>
        <v/>
      </c>
      <c r="L689" s="19" t="str">
        <f>IF(A689="","",IFERROR(IF(SUMPRODUCT((ISNUMBER(A$2:A689))*(A$2:A689&gt;1000)*(MONTH(IF(ISNUMBER(A$2:A689),A$2:A689,1))=MONTH(A689))*(YEAR(IF(ISNUMBER(A$2:A689),A$2:A689,1))=YEAR(A689))*IF(ISNUMBER(K$2:K689),K$2:K689,0))=0,"",SUMPRODUCT((ISNUMBER(A$2:A689))*(A$2:A689&gt;1000)*(MONTH(IF(ISNUMBER(A$2:A689),A$2:A689,1))=MONTH(A689))*(YEAR(IF(ISNUMBER(A$2:A689),A$2:A689,1))=YEAR(A689))*IF(ISNUMBER(K$2:K689),K$2:K689,0))),""))</f>
        <v/>
      </c>
      <c r="M689" s="21" t="str">
        <f>IF(A689="","",IFERROR(IF(SUMIF(N$2:N689,"CASA",K$2:K689)=0,"",SUMIF(N$2:N689,"CASA",K$2:K689)),""))</f>
        <v/>
      </c>
      <c r="N689" s="17" t="str">
        <f>IF(J689="","",IF(J689=0.2,"CASA",IF(Dati!G689="","",Dati!G689)))</f>
        <v/>
      </c>
    </row>
    <row r="690" spans="1:14" ht="15" customHeight="1" x14ac:dyDescent="0.2">
      <c r="A690" s="23" t="str">
        <f>IF(Dati!A690="","",Dati!A690)</f>
        <v/>
      </c>
      <c r="B690" s="17" t="str">
        <f>IF(Dati!B690="","",Dati!B690)</f>
        <v/>
      </c>
      <c r="C690" s="17" t="str">
        <f>IF(B690="","",IF(ISNUMBER(B689),IF(B690-B689&lt;0,B690,IF(B690-B689=0,"",B690-B689)),B690))</f>
        <v/>
      </c>
      <c r="D690" s="18" t="str">
        <f>IF(Dati!C690="","",IF(Dati!C690&gt;1,Dati!C690/100,Dati!C690))</f>
        <v/>
      </c>
      <c r="E690" s="18" t="str">
        <f>IF(Dati!D690="","",IF(Dati!D690&gt;1,Dati!D690/100,Dati!D690))</f>
        <v/>
      </c>
      <c r="F690" s="18" t="str">
        <f>IF(OR(D690="",E690=""),"",IF(OR(D690&gt;1,E690&gt;1),(E690-D690)/100,E690-D690))</f>
        <v/>
      </c>
      <c r="G690" s="17" t="str">
        <f>IF(F690="","",IF(64*F690=0,"",64*F690))</f>
        <v/>
      </c>
      <c r="H690" s="19" t="str">
        <f>IF(Dati!E690="","",Dati!E690)</f>
        <v/>
      </c>
      <c r="I690" s="19" t="str">
        <f>IFERROR(IF(OR(C690="",C690=0),"",H690/C690*100),"")</f>
        <v/>
      </c>
      <c r="J690" s="20" t="str">
        <f>IF(Dati!F690="","",Dati!F690)</f>
        <v/>
      </c>
      <c r="K690" s="19" t="str">
        <f>IF(OR(H690="",J690=""),"",IF(H690*J690=0,"",H690*J690))</f>
        <v/>
      </c>
      <c r="L690" s="19" t="str">
        <f>IF(A690="","",IFERROR(IF(SUMPRODUCT((ISNUMBER(A$2:A690))*(A$2:A690&gt;1000)*(MONTH(IF(ISNUMBER(A$2:A690),A$2:A690,1))=MONTH(A690))*(YEAR(IF(ISNUMBER(A$2:A690),A$2:A690,1))=YEAR(A690))*IF(ISNUMBER(K$2:K690),K$2:K690,0))=0,"",SUMPRODUCT((ISNUMBER(A$2:A690))*(A$2:A690&gt;1000)*(MONTH(IF(ISNUMBER(A$2:A690),A$2:A690,1))=MONTH(A690))*(YEAR(IF(ISNUMBER(A$2:A690),A$2:A690,1))=YEAR(A690))*IF(ISNUMBER(K$2:K690),K$2:K690,0))),""))</f>
        <v/>
      </c>
      <c r="M690" s="21" t="str">
        <f>IF(A690="","",IFERROR(IF(SUMIF(N$2:N690,"CASA",K$2:K690)=0,"",SUMIF(N$2:N690,"CASA",K$2:K690)),""))</f>
        <v/>
      </c>
      <c r="N690" s="17" t="str">
        <f>IF(J690="","",IF(J690=0.2,"CASA",IF(Dati!G690="","",Dati!G690)))</f>
        <v/>
      </c>
    </row>
    <row r="691" spans="1:14" ht="15" customHeight="1" x14ac:dyDescent="0.2">
      <c r="A691" s="23" t="str">
        <f>IF(Dati!A691="","",Dati!A691)</f>
        <v/>
      </c>
      <c r="B691" s="17" t="str">
        <f>IF(Dati!B691="","",Dati!B691)</f>
        <v/>
      </c>
      <c r="C691" s="17" t="str">
        <f>IF(B691="","",IF(ISNUMBER(B690),IF(B691-B690&lt;0,B691,IF(B691-B690=0,"",B691-B690)),B691))</f>
        <v/>
      </c>
      <c r="D691" s="18" t="str">
        <f>IF(Dati!C691="","",IF(Dati!C691&gt;1,Dati!C691/100,Dati!C691))</f>
        <v/>
      </c>
      <c r="E691" s="18" t="str">
        <f>IF(Dati!D691="","",IF(Dati!D691&gt;1,Dati!D691/100,Dati!D691))</f>
        <v/>
      </c>
      <c r="F691" s="18" t="str">
        <f>IF(OR(D691="",E691=""),"",IF(OR(D691&gt;1,E691&gt;1),(E691-D691)/100,E691-D691))</f>
        <v/>
      </c>
      <c r="G691" s="17" t="str">
        <f>IF(F691="","",IF(64*F691=0,"",64*F691))</f>
        <v/>
      </c>
      <c r="H691" s="19" t="str">
        <f>IF(Dati!E691="","",Dati!E691)</f>
        <v/>
      </c>
      <c r="I691" s="19" t="str">
        <f>IFERROR(IF(OR(C691="",C691=0),"",H691/C691*100),"")</f>
        <v/>
      </c>
      <c r="J691" s="20" t="str">
        <f>IF(Dati!F691="","",Dati!F691)</f>
        <v/>
      </c>
      <c r="K691" s="19" t="str">
        <f>IF(OR(H691="",J691=""),"",IF(H691*J691=0,"",H691*J691))</f>
        <v/>
      </c>
      <c r="L691" s="19" t="str">
        <f>IF(A691="","",IFERROR(IF(SUMPRODUCT((ISNUMBER(A$2:A691))*(A$2:A691&gt;1000)*(MONTH(IF(ISNUMBER(A$2:A691),A$2:A691,1))=MONTH(A691))*(YEAR(IF(ISNUMBER(A$2:A691),A$2:A691,1))=YEAR(A691))*IF(ISNUMBER(K$2:K691),K$2:K691,0))=0,"",SUMPRODUCT((ISNUMBER(A$2:A691))*(A$2:A691&gt;1000)*(MONTH(IF(ISNUMBER(A$2:A691),A$2:A691,1))=MONTH(A691))*(YEAR(IF(ISNUMBER(A$2:A691),A$2:A691,1))=YEAR(A691))*IF(ISNUMBER(K$2:K691),K$2:K691,0))),""))</f>
        <v/>
      </c>
      <c r="M691" s="21" t="str">
        <f>IF(A691="","",IFERROR(IF(SUMIF(N$2:N691,"CASA",K$2:K691)=0,"",SUMIF(N$2:N691,"CASA",K$2:K691)),""))</f>
        <v/>
      </c>
      <c r="N691" s="17" t="str">
        <f>IF(J691="","",IF(J691=0.2,"CASA",IF(Dati!G691="","",Dati!G691)))</f>
        <v/>
      </c>
    </row>
    <row r="692" spans="1:14" ht="15" customHeight="1" x14ac:dyDescent="0.2">
      <c r="A692" s="23" t="str">
        <f>IF(Dati!A692="","",Dati!A692)</f>
        <v/>
      </c>
      <c r="B692" s="17" t="str">
        <f>IF(Dati!B692="","",Dati!B692)</f>
        <v/>
      </c>
      <c r="C692" s="17" t="str">
        <f>IF(B692="","",IF(ISNUMBER(B691),IF(B692-B691&lt;0,B692,IF(B692-B691=0,"",B692-B691)),B692))</f>
        <v/>
      </c>
      <c r="D692" s="18" t="str">
        <f>IF(Dati!C692="","",IF(Dati!C692&gt;1,Dati!C692/100,Dati!C692))</f>
        <v/>
      </c>
      <c r="E692" s="18" t="str">
        <f>IF(Dati!D692="","",IF(Dati!D692&gt;1,Dati!D692/100,Dati!D692))</f>
        <v/>
      </c>
      <c r="F692" s="18" t="str">
        <f>IF(OR(D692="",E692=""),"",IF(OR(D692&gt;1,E692&gt;1),(E692-D692)/100,E692-D692))</f>
        <v/>
      </c>
      <c r="G692" s="17" t="str">
        <f>IF(F692="","",IF(64*F692=0,"",64*F692))</f>
        <v/>
      </c>
      <c r="H692" s="19" t="str">
        <f>IF(Dati!E692="","",Dati!E692)</f>
        <v/>
      </c>
      <c r="I692" s="19" t="str">
        <f>IFERROR(IF(OR(C692="",C692=0),"",H692/C692*100),"")</f>
        <v/>
      </c>
      <c r="J692" s="20" t="str">
        <f>IF(Dati!F692="","",Dati!F692)</f>
        <v/>
      </c>
      <c r="K692" s="19" t="str">
        <f>IF(OR(H692="",J692=""),"",IF(H692*J692=0,"",H692*J692))</f>
        <v/>
      </c>
      <c r="L692" s="19" t="str">
        <f>IF(A692="","",IFERROR(IF(SUMPRODUCT((ISNUMBER(A$2:A692))*(A$2:A692&gt;1000)*(MONTH(IF(ISNUMBER(A$2:A692),A$2:A692,1))=MONTH(A692))*(YEAR(IF(ISNUMBER(A$2:A692),A$2:A692,1))=YEAR(A692))*IF(ISNUMBER(K$2:K692),K$2:K692,0))=0,"",SUMPRODUCT((ISNUMBER(A$2:A692))*(A$2:A692&gt;1000)*(MONTH(IF(ISNUMBER(A$2:A692),A$2:A692,1))=MONTH(A692))*(YEAR(IF(ISNUMBER(A$2:A692),A$2:A692,1))=YEAR(A692))*IF(ISNUMBER(K$2:K692),K$2:K692,0))),""))</f>
        <v/>
      </c>
      <c r="M692" s="21" t="str">
        <f>IF(A692="","",IFERROR(IF(SUMIF(N$2:N692,"CASA",K$2:K692)=0,"",SUMIF(N$2:N692,"CASA",K$2:K692)),""))</f>
        <v/>
      </c>
      <c r="N692" s="17" t="str">
        <f>IF(J692="","",IF(J692=0.2,"CASA",IF(Dati!G692="","",Dati!G692)))</f>
        <v/>
      </c>
    </row>
    <row r="693" spans="1:14" ht="15" customHeight="1" x14ac:dyDescent="0.2">
      <c r="A693" s="23" t="str">
        <f>IF(Dati!A693="","",Dati!A693)</f>
        <v/>
      </c>
      <c r="B693" s="17" t="str">
        <f>IF(Dati!B693="","",Dati!B693)</f>
        <v/>
      </c>
      <c r="C693" s="17" t="str">
        <f>IF(B693="","",IF(ISNUMBER(B692),IF(B693-B692&lt;0,B693,IF(B693-B692=0,"",B693-B692)),B693))</f>
        <v/>
      </c>
      <c r="D693" s="18" t="str">
        <f>IF(Dati!C693="","",IF(Dati!C693&gt;1,Dati!C693/100,Dati!C693))</f>
        <v/>
      </c>
      <c r="E693" s="18" t="str">
        <f>IF(Dati!D693="","",IF(Dati!D693&gt;1,Dati!D693/100,Dati!D693))</f>
        <v/>
      </c>
      <c r="F693" s="18" t="str">
        <f>IF(OR(D693="",E693=""),"",IF(OR(D693&gt;1,E693&gt;1),(E693-D693)/100,E693-D693))</f>
        <v/>
      </c>
      <c r="G693" s="17" t="str">
        <f>IF(F693="","",IF(64*F693=0,"",64*F693))</f>
        <v/>
      </c>
      <c r="H693" s="19" t="str">
        <f>IF(Dati!E693="","",Dati!E693)</f>
        <v/>
      </c>
      <c r="I693" s="19" t="str">
        <f>IFERROR(IF(OR(C693="",C693=0),"",H693/C693*100),"")</f>
        <v/>
      </c>
      <c r="J693" s="20" t="str">
        <f>IF(Dati!F693="","",Dati!F693)</f>
        <v/>
      </c>
      <c r="K693" s="19" t="str">
        <f>IF(OR(H693="",J693=""),"",IF(H693*J693=0,"",H693*J693))</f>
        <v/>
      </c>
      <c r="L693" s="19" t="str">
        <f>IF(A693="","",IFERROR(IF(SUMPRODUCT((ISNUMBER(A$2:A693))*(A$2:A693&gt;1000)*(MONTH(IF(ISNUMBER(A$2:A693),A$2:A693,1))=MONTH(A693))*(YEAR(IF(ISNUMBER(A$2:A693),A$2:A693,1))=YEAR(A693))*IF(ISNUMBER(K$2:K693),K$2:K693,0))=0,"",SUMPRODUCT((ISNUMBER(A$2:A693))*(A$2:A693&gt;1000)*(MONTH(IF(ISNUMBER(A$2:A693),A$2:A693,1))=MONTH(A693))*(YEAR(IF(ISNUMBER(A$2:A693),A$2:A693,1))=YEAR(A693))*IF(ISNUMBER(K$2:K693),K$2:K693,0))),""))</f>
        <v/>
      </c>
      <c r="M693" s="21" t="str">
        <f>IF(A693="","",IFERROR(IF(SUMIF(N$2:N693,"CASA",K$2:K693)=0,"",SUMIF(N$2:N693,"CASA",K$2:K693)),""))</f>
        <v/>
      </c>
      <c r="N693" s="17" t="str">
        <f>IF(J693="","",IF(J693=0.2,"CASA",IF(Dati!G693="","",Dati!G693)))</f>
        <v/>
      </c>
    </row>
    <row r="694" spans="1:14" ht="15" customHeight="1" x14ac:dyDescent="0.2">
      <c r="A694" s="23" t="str">
        <f>IF(Dati!A694="","",Dati!A694)</f>
        <v/>
      </c>
      <c r="B694" s="17" t="str">
        <f>IF(Dati!B694="","",Dati!B694)</f>
        <v/>
      </c>
      <c r="C694" s="17" t="str">
        <f>IF(B694="","",IF(ISNUMBER(B693),IF(B694-B693&lt;0,B694,IF(B694-B693=0,"",B694-B693)),B694))</f>
        <v/>
      </c>
      <c r="D694" s="18" t="str">
        <f>IF(Dati!C694="","",IF(Dati!C694&gt;1,Dati!C694/100,Dati!C694))</f>
        <v/>
      </c>
      <c r="E694" s="18" t="str">
        <f>IF(Dati!D694="","",IF(Dati!D694&gt;1,Dati!D694/100,Dati!D694))</f>
        <v/>
      </c>
      <c r="F694" s="18" t="str">
        <f>IF(OR(D694="",E694=""),"",IF(OR(D694&gt;1,E694&gt;1),(E694-D694)/100,E694-D694))</f>
        <v/>
      </c>
      <c r="G694" s="17" t="str">
        <f>IF(F694="","",IF(64*F694=0,"",64*F694))</f>
        <v/>
      </c>
      <c r="H694" s="19" t="str">
        <f>IF(Dati!E694="","",Dati!E694)</f>
        <v/>
      </c>
      <c r="I694" s="19" t="str">
        <f>IFERROR(IF(OR(C694="",C694=0),"",H694/C694*100),"")</f>
        <v/>
      </c>
      <c r="J694" s="20" t="str">
        <f>IF(Dati!F694="","",Dati!F694)</f>
        <v/>
      </c>
      <c r="K694" s="19" t="str">
        <f>IF(OR(H694="",J694=""),"",IF(H694*J694=0,"",H694*J694))</f>
        <v/>
      </c>
      <c r="L694" s="19" t="str">
        <f>IF(A694="","",IFERROR(IF(SUMPRODUCT((ISNUMBER(A$2:A694))*(A$2:A694&gt;1000)*(MONTH(IF(ISNUMBER(A$2:A694),A$2:A694,1))=MONTH(A694))*(YEAR(IF(ISNUMBER(A$2:A694),A$2:A694,1))=YEAR(A694))*IF(ISNUMBER(K$2:K694),K$2:K694,0))=0,"",SUMPRODUCT((ISNUMBER(A$2:A694))*(A$2:A694&gt;1000)*(MONTH(IF(ISNUMBER(A$2:A694),A$2:A694,1))=MONTH(A694))*(YEAR(IF(ISNUMBER(A$2:A694),A$2:A694,1))=YEAR(A694))*IF(ISNUMBER(K$2:K694),K$2:K694,0))),""))</f>
        <v/>
      </c>
      <c r="M694" s="21" t="str">
        <f>IF(A694="","",IFERROR(IF(SUMIF(N$2:N694,"CASA",K$2:K694)=0,"",SUMIF(N$2:N694,"CASA",K$2:K694)),""))</f>
        <v/>
      </c>
      <c r="N694" s="17" t="str">
        <f>IF(J694="","",IF(J694=0.2,"CASA",IF(Dati!G694="","",Dati!G694)))</f>
        <v/>
      </c>
    </row>
    <row r="695" spans="1:14" ht="15" customHeight="1" x14ac:dyDescent="0.2">
      <c r="A695" s="23" t="str">
        <f>IF(Dati!A695="","",Dati!A695)</f>
        <v/>
      </c>
      <c r="B695" s="17" t="str">
        <f>IF(Dati!B695="","",Dati!B695)</f>
        <v/>
      </c>
      <c r="C695" s="17" t="str">
        <f>IF(B695="","",IF(ISNUMBER(B694),IF(B695-B694&lt;0,B695,IF(B695-B694=0,"",B695-B694)),B695))</f>
        <v/>
      </c>
      <c r="D695" s="18" t="str">
        <f>IF(Dati!C695="","",IF(Dati!C695&gt;1,Dati!C695/100,Dati!C695))</f>
        <v/>
      </c>
      <c r="E695" s="18" t="str">
        <f>IF(Dati!D695="","",IF(Dati!D695&gt;1,Dati!D695/100,Dati!D695))</f>
        <v/>
      </c>
      <c r="F695" s="18" t="str">
        <f>IF(OR(D695="",E695=""),"",IF(OR(D695&gt;1,E695&gt;1),(E695-D695)/100,E695-D695))</f>
        <v/>
      </c>
      <c r="G695" s="17" t="str">
        <f>IF(F695="","",IF(64*F695=0,"",64*F695))</f>
        <v/>
      </c>
      <c r="H695" s="19" t="str">
        <f>IF(Dati!E695="","",Dati!E695)</f>
        <v/>
      </c>
      <c r="I695" s="19" t="str">
        <f>IFERROR(IF(OR(C695="",C695=0),"",H695/C695*100),"")</f>
        <v/>
      </c>
      <c r="J695" s="20" t="str">
        <f>IF(Dati!F695="","",Dati!F695)</f>
        <v/>
      </c>
      <c r="K695" s="19" t="str">
        <f>IF(OR(H695="",J695=""),"",IF(H695*J695=0,"",H695*J695))</f>
        <v/>
      </c>
      <c r="L695" s="19" t="str">
        <f>IF(A695="","",IFERROR(IF(SUMPRODUCT((ISNUMBER(A$2:A695))*(A$2:A695&gt;1000)*(MONTH(IF(ISNUMBER(A$2:A695),A$2:A695,1))=MONTH(A695))*(YEAR(IF(ISNUMBER(A$2:A695),A$2:A695,1))=YEAR(A695))*IF(ISNUMBER(K$2:K695),K$2:K695,0))=0,"",SUMPRODUCT((ISNUMBER(A$2:A695))*(A$2:A695&gt;1000)*(MONTH(IF(ISNUMBER(A$2:A695),A$2:A695,1))=MONTH(A695))*(YEAR(IF(ISNUMBER(A$2:A695),A$2:A695,1))=YEAR(A695))*IF(ISNUMBER(K$2:K695),K$2:K695,0))),""))</f>
        <v/>
      </c>
      <c r="M695" s="21" t="str">
        <f>IF(A695="","",IFERROR(IF(SUMIF(N$2:N695,"CASA",K$2:K695)=0,"",SUMIF(N$2:N695,"CASA",K$2:K695)),""))</f>
        <v/>
      </c>
      <c r="N695" s="17" t="str">
        <f>IF(J695="","",IF(J695=0.2,"CASA",IF(Dati!G695="","",Dati!G695)))</f>
        <v/>
      </c>
    </row>
    <row r="696" spans="1:14" ht="15" customHeight="1" x14ac:dyDescent="0.2">
      <c r="A696" s="23" t="str">
        <f>IF(Dati!A696="","",Dati!A696)</f>
        <v/>
      </c>
      <c r="B696" s="17" t="str">
        <f>IF(Dati!B696="","",Dati!B696)</f>
        <v/>
      </c>
      <c r="C696" s="17" t="str">
        <f>IF(B696="","",IF(ISNUMBER(B695),IF(B696-B695&lt;0,B696,IF(B696-B695=0,"",B696-B695)),B696))</f>
        <v/>
      </c>
      <c r="D696" s="18" t="str">
        <f>IF(Dati!C696="","",IF(Dati!C696&gt;1,Dati!C696/100,Dati!C696))</f>
        <v/>
      </c>
      <c r="E696" s="18" t="str">
        <f>IF(Dati!D696="","",IF(Dati!D696&gt;1,Dati!D696/100,Dati!D696))</f>
        <v/>
      </c>
      <c r="F696" s="18" t="str">
        <f>IF(OR(D696="",E696=""),"",IF(OR(D696&gt;1,E696&gt;1),(E696-D696)/100,E696-D696))</f>
        <v/>
      </c>
      <c r="G696" s="17" t="str">
        <f>IF(F696="","",IF(64*F696=0,"",64*F696))</f>
        <v/>
      </c>
      <c r="H696" s="19" t="str">
        <f>IF(Dati!E696="","",Dati!E696)</f>
        <v/>
      </c>
      <c r="I696" s="19" t="str">
        <f>IFERROR(IF(OR(C696="",C696=0),"",H696/C696*100),"")</f>
        <v/>
      </c>
      <c r="J696" s="20" t="str">
        <f>IF(Dati!F696="","",Dati!F696)</f>
        <v/>
      </c>
      <c r="K696" s="19" t="str">
        <f>IF(OR(H696="",J696=""),"",IF(H696*J696=0,"",H696*J696))</f>
        <v/>
      </c>
      <c r="L696" s="19" t="str">
        <f>IF(A696="","",IFERROR(IF(SUMPRODUCT((ISNUMBER(A$2:A696))*(A$2:A696&gt;1000)*(MONTH(IF(ISNUMBER(A$2:A696),A$2:A696,1))=MONTH(A696))*(YEAR(IF(ISNUMBER(A$2:A696),A$2:A696,1))=YEAR(A696))*IF(ISNUMBER(K$2:K696),K$2:K696,0))=0,"",SUMPRODUCT((ISNUMBER(A$2:A696))*(A$2:A696&gt;1000)*(MONTH(IF(ISNUMBER(A$2:A696),A$2:A696,1))=MONTH(A696))*(YEAR(IF(ISNUMBER(A$2:A696),A$2:A696,1))=YEAR(A696))*IF(ISNUMBER(K$2:K696),K$2:K696,0))),""))</f>
        <v/>
      </c>
      <c r="M696" s="21" t="str">
        <f>IF(A696="","",IFERROR(IF(SUMIF(N$2:N696,"CASA",K$2:K696)=0,"",SUMIF(N$2:N696,"CASA",K$2:K696)),""))</f>
        <v/>
      </c>
      <c r="N696" s="17" t="str">
        <f>IF(J696="","",IF(J696=0.2,"CASA",IF(Dati!G696="","",Dati!G696)))</f>
        <v/>
      </c>
    </row>
    <row r="697" spans="1:14" ht="15" customHeight="1" x14ac:dyDescent="0.2">
      <c r="A697" s="23" t="str">
        <f>IF(Dati!A697="","",Dati!A697)</f>
        <v/>
      </c>
      <c r="B697" s="17" t="str">
        <f>IF(Dati!B697="","",Dati!B697)</f>
        <v/>
      </c>
      <c r="C697" s="17" t="str">
        <f>IF(B697="","",IF(ISNUMBER(B696),IF(B697-B696&lt;0,B697,IF(B697-B696=0,"",B697-B696)),B697))</f>
        <v/>
      </c>
      <c r="D697" s="18" t="str">
        <f>IF(Dati!C697="","",IF(Dati!C697&gt;1,Dati!C697/100,Dati!C697))</f>
        <v/>
      </c>
      <c r="E697" s="18" t="str">
        <f>IF(Dati!D697="","",IF(Dati!D697&gt;1,Dati!D697/100,Dati!D697))</f>
        <v/>
      </c>
      <c r="F697" s="18" t="str">
        <f>IF(OR(D697="",E697=""),"",IF(OR(D697&gt;1,E697&gt;1),(E697-D697)/100,E697-D697))</f>
        <v/>
      </c>
      <c r="G697" s="17" t="str">
        <f>IF(F697="","",IF(64*F697=0,"",64*F697))</f>
        <v/>
      </c>
      <c r="H697" s="19" t="str">
        <f>IF(Dati!E697="","",Dati!E697)</f>
        <v/>
      </c>
      <c r="I697" s="19" t="str">
        <f>IFERROR(IF(OR(C697="",C697=0),"",H697/C697*100),"")</f>
        <v/>
      </c>
      <c r="J697" s="20" t="str">
        <f>IF(Dati!F697="","",Dati!F697)</f>
        <v/>
      </c>
      <c r="K697" s="19" t="str">
        <f>IF(OR(H697="",J697=""),"",IF(H697*J697=0,"",H697*J697))</f>
        <v/>
      </c>
      <c r="L697" s="19" t="str">
        <f>IF(A697="","",IFERROR(IF(SUMPRODUCT((ISNUMBER(A$2:A697))*(A$2:A697&gt;1000)*(MONTH(IF(ISNUMBER(A$2:A697),A$2:A697,1))=MONTH(A697))*(YEAR(IF(ISNUMBER(A$2:A697),A$2:A697,1))=YEAR(A697))*IF(ISNUMBER(K$2:K697),K$2:K697,0))=0,"",SUMPRODUCT((ISNUMBER(A$2:A697))*(A$2:A697&gt;1000)*(MONTH(IF(ISNUMBER(A$2:A697),A$2:A697,1))=MONTH(A697))*(YEAR(IF(ISNUMBER(A$2:A697),A$2:A697,1))=YEAR(A697))*IF(ISNUMBER(K$2:K697),K$2:K697,0))),""))</f>
        <v/>
      </c>
      <c r="M697" s="21" t="str">
        <f>IF(A697="","",IFERROR(IF(SUMIF(N$2:N697,"CASA",K$2:K697)=0,"",SUMIF(N$2:N697,"CASA",K$2:K697)),""))</f>
        <v/>
      </c>
      <c r="N697" s="17" t="str">
        <f>IF(J697="","",IF(J697=0.2,"CASA",IF(Dati!G697="","",Dati!G697)))</f>
        <v/>
      </c>
    </row>
    <row r="698" spans="1:14" ht="15" customHeight="1" x14ac:dyDescent="0.2">
      <c r="A698" s="23" t="str">
        <f>IF(Dati!A698="","",Dati!A698)</f>
        <v/>
      </c>
      <c r="B698" s="17" t="str">
        <f>IF(Dati!B698="","",Dati!B698)</f>
        <v/>
      </c>
      <c r="C698" s="17" t="str">
        <f>IF(B698="","",IF(ISNUMBER(B697),IF(B698-B697&lt;0,B698,IF(B698-B697=0,"",B698-B697)),B698))</f>
        <v/>
      </c>
      <c r="D698" s="18" t="str">
        <f>IF(Dati!C698="","",IF(Dati!C698&gt;1,Dati!C698/100,Dati!C698))</f>
        <v/>
      </c>
      <c r="E698" s="18" t="str">
        <f>IF(Dati!D698="","",IF(Dati!D698&gt;1,Dati!D698/100,Dati!D698))</f>
        <v/>
      </c>
      <c r="F698" s="18" t="str">
        <f>IF(OR(D698="",E698=""),"",IF(OR(D698&gt;1,E698&gt;1),(E698-D698)/100,E698-D698))</f>
        <v/>
      </c>
      <c r="G698" s="17" t="str">
        <f>IF(F698="","",IF(64*F698=0,"",64*F698))</f>
        <v/>
      </c>
      <c r="H698" s="19" t="str">
        <f>IF(Dati!E698="","",Dati!E698)</f>
        <v/>
      </c>
      <c r="I698" s="19" t="str">
        <f>IFERROR(IF(OR(C698="",C698=0),"",H698/C698*100),"")</f>
        <v/>
      </c>
      <c r="J698" s="20" t="str">
        <f>IF(Dati!F698="","",Dati!F698)</f>
        <v/>
      </c>
      <c r="K698" s="19" t="str">
        <f>IF(OR(H698="",J698=""),"",IF(H698*J698=0,"",H698*J698))</f>
        <v/>
      </c>
      <c r="L698" s="19" t="str">
        <f>IF(A698="","",IFERROR(IF(SUMPRODUCT((ISNUMBER(A$2:A698))*(A$2:A698&gt;1000)*(MONTH(IF(ISNUMBER(A$2:A698),A$2:A698,1))=MONTH(A698))*(YEAR(IF(ISNUMBER(A$2:A698),A$2:A698,1))=YEAR(A698))*IF(ISNUMBER(K$2:K698),K$2:K698,0))=0,"",SUMPRODUCT((ISNUMBER(A$2:A698))*(A$2:A698&gt;1000)*(MONTH(IF(ISNUMBER(A$2:A698),A$2:A698,1))=MONTH(A698))*(YEAR(IF(ISNUMBER(A$2:A698),A$2:A698,1))=YEAR(A698))*IF(ISNUMBER(K$2:K698),K$2:K698,0))),""))</f>
        <v/>
      </c>
      <c r="M698" s="21" t="str">
        <f>IF(A698="","",IFERROR(IF(SUMIF(N$2:N698,"CASA",K$2:K698)=0,"",SUMIF(N$2:N698,"CASA",K$2:K698)),""))</f>
        <v/>
      </c>
      <c r="N698" s="17" t="str">
        <f>IF(J698="","",IF(J698=0.2,"CASA",IF(Dati!G698="","",Dati!G698)))</f>
        <v/>
      </c>
    </row>
    <row r="699" spans="1:14" ht="15" customHeight="1" x14ac:dyDescent="0.2">
      <c r="A699" s="23" t="str">
        <f>IF(Dati!A699="","",Dati!A699)</f>
        <v/>
      </c>
      <c r="B699" s="17" t="str">
        <f>IF(Dati!B699="","",Dati!B699)</f>
        <v/>
      </c>
      <c r="C699" s="17" t="str">
        <f>IF(B699="","",IF(ISNUMBER(B698),IF(B699-B698&lt;0,B699,IF(B699-B698=0,"",B699-B698)),B699))</f>
        <v/>
      </c>
      <c r="D699" s="18" t="str">
        <f>IF(Dati!C699="","",IF(Dati!C699&gt;1,Dati!C699/100,Dati!C699))</f>
        <v/>
      </c>
      <c r="E699" s="18" t="str">
        <f>IF(Dati!D699="","",IF(Dati!D699&gt;1,Dati!D699/100,Dati!D699))</f>
        <v/>
      </c>
      <c r="F699" s="18" t="str">
        <f>IF(OR(D699="",E699=""),"",IF(OR(D699&gt;1,E699&gt;1),(E699-D699)/100,E699-D699))</f>
        <v/>
      </c>
      <c r="G699" s="17" t="str">
        <f>IF(F699="","",IF(64*F699=0,"",64*F699))</f>
        <v/>
      </c>
      <c r="H699" s="19" t="str">
        <f>IF(Dati!E699="","",Dati!E699)</f>
        <v/>
      </c>
      <c r="I699" s="19" t="str">
        <f>IFERROR(IF(OR(C699="",C699=0),"",H699/C699*100),"")</f>
        <v/>
      </c>
      <c r="J699" s="20" t="str">
        <f>IF(Dati!F699="","",Dati!F699)</f>
        <v/>
      </c>
      <c r="K699" s="19" t="str">
        <f>IF(OR(H699="",J699=""),"",IF(H699*J699=0,"",H699*J699))</f>
        <v/>
      </c>
      <c r="L699" s="19" t="str">
        <f>IF(A699="","",IFERROR(IF(SUMPRODUCT((ISNUMBER(A$2:A699))*(A$2:A699&gt;1000)*(MONTH(IF(ISNUMBER(A$2:A699),A$2:A699,1))=MONTH(A699))*(YEAR(IF(ISNUMBER(A$2:A699),A$2:A699,1))=YEAR(A699))*IF(ISNUMBER(K$2:K699),K$2:K699,0))=0,"",SUMPRODUCT((ISNUMBER(A$2:A699))*(A$2:A699&gt;1000)*(MONTH(IF(ISNUMBER(A$2:A699),A$2:A699,1))=MONTH(A699))*(YEAR(IF(ISNUMBER(A$2:A699),A$2:A699,1))=YEAR(A699))*IF(ISNUMBER(K$2:K699),K$2:K699,0))),""))</f>
        <v/>
      </c>
      <c r="M699" s="21" t="str">
        <f>IF(A699="","",IFERROR(IF(SUMIF(N$2:N699,"CASA",K$2:K699)=0,"",SUMIF(N$2:N699,"CASA",K$2:K699)),""))</f>
        <v/>
      </c>
      <c r="N699" s="17" t="str">
        <f>IF(J699="","",IF(J699=0.2,"CASA",IF(Dati!G699="","",Dati!G699)))</f>
        <v/>
      </c>
    </row>
    <row r="700" spans="1:14" ht="15" customHeight="1" x14ac:dyDescent="0.2">
      <c r="A700" s="23" t="str">
        <f>IF(Dati!A700="","",Dati!A700)</f>
        <v/>
      </c>
      <c r="B700" s="17" t="str">
        <f>IF(Dati!B700="","",Dati!B700)</f>
        <v/>
      </c>
      <c r="C700" s="17" t="str">
        <f>IF(B700="","",IF(ISNUMBER(B699),IF(B700-B699&lt;0,B700,IF(B700-B699=0,"",B700-B699)),B700))</f>
        <v/>
      </c>
      <c r="D700" s="18" t="str">
        <f>IF(Dati!C700="","",IF(Dati!C700&gt;1,Dati!C700/100,Dati!C700))</f>
        <v/>
      </c>
      <c r="E700" s="18" t="str">
        <f>IF(Dati!D700="","",IF(Dati!D700&gt;1,Dati!D700/100,Dati!D700))</f>
        <v/>
      </c>
      <c r="F700" s="18" t="str">
        <f>IF(OR(D700="",E700=""),"",IF(OR(D700&gt;1,E700&gt;1),(E700-D700)/100,E700-D700))</f>
        <v/>
      </c>
      <c r="G700" s="17" t="str">
        <f>IF(F700="","",IF(64*F700=0,"",64*F700))</f>
        <v/>
      </c>
      <c r="H700" s="19" t="str">
        <f>IF(Dati!E700="","",Dati!E700)</f>
        <v/>
      </c>
      <c r="I700" s="19" t="str">
        <f>IFERROR(IF(OR(C700="",C700=0),"",H700/C700*100),"")</f>
        <v/>
      </c>
      <c r="J700" s="20" t="str">
        <f>IF(Dati!F700="","",Dati!F700)</f>
        <v/>
      </c>
      <c r="K700" s="19" t="str">
        <f>IF(OR(H700="",J700=""),"",IF(H700*J700=0,"",H700*J700))</f>
        <v/>
      </c>
      <c r="L700" s="19" t="str">
        <f>IF(A700="","",IFERROR(IF(SUMPRODUCT((ISNUMBER(A$2:A700))*(A$2:A700&gt;1000)*(MONTH(IF(ISNUMBER(A$2:A700),A$2:A700,1))=MONTH(A700))*(YEAR(IF(ISNUMBER(A$2:A700),A$2:A700,1))=YEAR(A700))*IF(ISNUMBER(K$2:K700),K$2:K700,0))=0,"",SUMPRODUCT((ISNUMBER(A$2:A700))*(A$2:A700&gt;1000)*(MONTH(IF(ISNUMBER(A$2:A700),A$2:A700,1))=MONTH(A700))*(YEAR(IF(ISNUMBER(A$2:A700),A$2:A700,1))=YEAR(A700))*IF(ISNUMBER(K$2:K700),K$2:K700,0))),""))</f>
        <v/>
      </c>
      <c r="M700" s="21" t="str">
        <f>IF(A700="","",IFERROR(IF(SUMIF(N$2:N700,"CASA",K$2:K700)=0,"",SUMIF(N$2:N700,"CASA",K$2:K700)),""))</f>
        <v/>
      </c>
      <c r="N700" s="17" t="str">
        <f>IF(J700="","",IF(J700=0.2,"CASA",IF(Dati!G700="","",Dati!G700)))</f>
        <v/>
      </c>
    </row>
    <row r="701" spans="1:14" ht="15" customHeight="1" x14ac:dyDescent="0.2">
      <c r="A701" s="23" t="str">
        <f>IF(Dati!A701="","",Dati!A701)</f>
        <v/>
      </c>
      <c r="B701" s="17" t="str">
        <f>IF(Dati!B701="","",Dati!B701)</f>
        <v/>
      </c>
      <c r="C701" s="17" t="str">
        <f>IF(B701="","",IF(ISNUMBER(B700),IF(B701-B700&lt;0,B701,IF(B701-B700=0,"",B701-B700)),B701))</f>
        <v/>
      </c>
      <c r="D701" s="18" t="str">
        <f>IF(Dati!C701="","",IF(Dati!C701&gt;1,Dati!C701/100,Dati!C701))</f>
        <v/>
      </c>
      <c r="E701" s="18" t="str">
        <f>IF(Dati!D701="","",IF(Dati!D701&gt;1,Dati!D701/100,Dati!D701))</f>
        <v/>
      </c>
      <c r="F701" s="18" t="str">
        <f>IF(OR(D701="",E701=""),"",IF(OR(D701&gt;1,E701&gt;1),(E701-D701)/100,E701-D701))</f>
        <v/>
      </c>
      <c r="G701" s="17" t="str">
        <f>IF(F701="","",IF(64*F701=0,"",64*F701))</f>
        <v/>
      </c>
      <c r="H701" s="19" t="str">
        <f>IF(Dati!E701="","",Dati!E701)</f>
        <v/>
      </c>
      <c r="I701" s="19" t="str">
        <f>IFERROR(IF(OR(C701="",C701=0),"",H701/C701*100),"")</f>
        <v/>
      </c>
      <c r="J701" s="20" t="str">
        <f>IF(Dati!F701="","",Dati!F701)</f>
        <v/>
      </c>
      <c r="K701" s="19" t="str">
        <f>IF(OR(H701="",J701=""),"",IF(H701*J701=0,"",H701*J701))</f>
        <v/>
      </c>
      <c r="L701" s="19" t="str">
        <f>IF(A701="","",IFERROR(IF(SUMPRODUCT((ISNUMBER(A$2:A701))*(A$2:A701&gt;1000)*(MONTH(IF(ISNUMBER(A$2:A701),A$2:A701,1))=MONTH(A701))*(YEAR(IF(ISNUMBER(A$2:A701),A$2:A701,1))=YEAR(A701))*IF(ISNUMBER(K$2:K701),K$2:K701,0))=0,"",SUMPRODUCT((ISNUMBER(A$2:A701))*(A$2:A701&gt;1000)*(MONTH(IF(ISNUMBER(A$2:A701),A$2:A701,1))=MONTH(A701))*(YEAR(IF(ISNUMBER(A$2:A701),A$2:A701,1))=YEAR(A701))*IF(ISNUMBER(K$2:K701),K$2:K701,0))),""))</f>
        <v/>
      </c>
      <c r="M701" s="21" t="str">
        <f>IF(A701="","",IFERROR(IF(SUMIF(N$2:N701,"CASA",K$2:K701)=0,"",SUMIF(N$2:N701,"CASA",K$2:K701)),""))</f>
        <v/>
      </c>
      <c r="N701" s="17" t="str">
        <f>IF(J701="","",IF(J701=0.2,"CASA",IF(Dati!G701="","",Dati!G701)))</f>
        <v/>
      </c>
    </row>
    <row r="702" spans="1:14" ht="15" customHeight="1" x14ac:dyDescent="0.2">
      <c r="A702" s="23" t="str">
        <f>IF(Dati!A702="","",Dati!A702)</f>
        <v/>
      </c>
      <c r="B702" s="17" t="str">
        <f>IF(Dati!B702="","",Dati!B702)</f>
        <v/>
      </c>
      <c r="C702" s="17" t="str">
        <f>IF(B702="","",IF(ISNUMBER(B701),IF(B702-B701&lt;0,B702,IF(B702-B701=0,"",B702-B701)),B702))</f>
        <v/>
      </c>
      <c r="D702" s="18" t="str">
        <f>IF(Dati!C702="","",IF(Dati!C702&gt;1,Dati!C702/100,Dati!C702))</f>
        <v/>
      </c>
      <c r="E702" s="18" t="str">
        <f>IF(Dati!D702="","",IF(Dati!D702&gt;1,Dati!D702/100,Dati!D702))</f>
        <v/>
      </c>
      <c r="F702" s="18" t="str">
        <f>IF(OR(D702="",E702=""),"",IF(OR(D702&gt;1,E702&gt;1),(E702-D702)/100,E702-D702))</f>
        <v/>
      </c>
      <c r="G702" s="17" t="str">
        <f>IF(F702="","",IF(64*F702=0,"",64*F702))</f>
        <v/>
      </c>
      <c r="H702" s="19" t="str">
        <f>IF(Dati!E702="","",Dati!E702)</f>
        <v/>
      </c>
      <c r="I702" s="19" t="str">
        <f>IFERROR(IF(OR(C702="",C702=0),"",H702/C702*100),"")</f>
        <v/>
      </c>
      <c r="J702" s="20" t="str">
        <f>IF(Dati!F702="","",Dati!F702)</f>
        <v/>
      </c>
      <c r="K702" s="19" t="str">
        <f>IF(OR(H702="",J702=""),"",IF(H702*J702=0,"",H702*J702))</f>
        <v/>
      </c>
      <c r="L702" s="19" t="str">
        <f>IF(A702="","",IFERROR(IF(SUMPRODUCT((ISNUMBER(A$2:A702))*(A$2:A702&gt;1000)*(MONTH(IF(ISNUMBER(A$2:A702),A$2:A702,1))=MONTH(A702))*(YEAR(IF(ISNUMBER(A$2:A702),A$2:A702,1))=YEAR(A702))*IF(ISNUMBER(K$2:K702),K$2:K702,0))=0,"",SUMPRODUCT((ISNUMBER(A$2:A702))*(A$2:A702&gt;1000)*(MONTH(IF(ISNUMBER(A$2:A702),A$2:A702,1))=MONTH(A702))*(YEAR(IF(ISNUMBER(A$2:A702),A$2:A702,1))=YEAR(A702))*IF(ISNUMBER(K$2:K702),K$2:K702,0))),""))</f>
        <v/>
      </c>
      <c r="M702" s="21" t="str">
        <f>IF(A702="","",IFERROR(IF(SUMIF(N$2:N702,"CASA",K$2:K702)=0,"",SUMIF(N$2:N702,"CASA",K$2:K702)),""))</f>
        <v/>
      </c>
      <c r="N702" s="17" t="str">
        <f>IF(J702="","",IF(J702=0.2,"CASA",IF(Dati!G702="","",Dati!G702)))</f>
        <v/>
      </c>
    </row>
    <row r="703" spans="1:14" ht="15" customHeight="1" x14ac:dyDescent="0.2">
      <c r="A703" s="23" t="str">
        <f>IF(Dati!A703="","",Dati!A703)</f>
        <v/>
      </c>
      <c r="B703" s="17" t="str">
        <f>IF(Dati!B703="","",Dati!B703)</f>
        <v/>
      </c>
      <c r="C703" s="17" t="str">
        <f>IF(B703="","",IF(ISNUMBER(B702),IF(B703-B702&lt;0,B703,IF(B703-B702=0,"",B703-B702)),B703))</f>
        <v/>
      </c>
      <c r="D703" s="18" t="str">
        <f>IF(Dati!C703="","",IF(Dati!C703&gt;1,Dati!C703/100,Dati!C703))</f>
        <v/>
      </c>
      <c r="E703" s="18" t="str">
        <f>IF(Dati!D703="","",IF(Dati!D703&gt;1,Dati!D703/100,Dati!D703))</f>
        <v/>
      </c>
      <c r="F703" s="18" t="str">
        <f>IF(OR(D703="",E703=""),"",IF(OR(D703&gt;1,E703&gt;1),(E703-D703)/100,E703-D703))</f>
        <v/>
      </c>
      <c r="G703" s="17" t="str">
        <f>IF(F703="","",IF(64*F703=0,"",64*F703))</f>
        <v/>
      </c>
      <c r="H703" s="19" t="str">
        <f>IF(Dati!E703="","",Dati!E703)</f>
        <v/>
      </c>
      <c r="I703" s="19" t="str">
        <f>IFERROR(IF(OR(C703="",C703=0),"",H703/C703*100),"")</f>
        <v/>
      </c>
      <c r="J703" s="20" t="str">
        <f>IF(Dati!F703="","",Dati!F703)</f>
        <v/>
      </c>
      <c r="K703" s="19" t="str">
        <f>IF(OR(H703="",J703=""),"",IF(H703*J703=0,"",H703*J703))</f>
        <v/>
      </c>
      <c r="L703" s="19" t="str">
        <f>IF(A703="","",IFERROR(IF(SUMPRODUCT((ISNUMBER(A$2:A703))*(A$2:A703&gt;1000)*(MONTH(IF(ISNUMBER(A$2:A703),A$2:A703,1))=MONTH(A703))*(YEAR(IF(ISNUMBER(A$2:A703),A$2:A703,1))=YEAR(A703))*IF(ISNUMBER(K$2:K703),K$2:K703,0))=0,"",SUMPRODUCT((ISNUMBER(A$2:A703))*(A$2:A703&gt;1000)*(MONTH(IF(ISNUMBER(A$2:A703),A$2:A703,1))=MONTH(A703))*(YEAR(IF(ISNUMBER(A$2:A703),A$2:A703,1))=YEAR(A703))*IF(ISNUMBER(K$2:K703),K$2:K703,0))),""))</f>
        <v/>
      </c>
      <c r="M703" s="21" t="str">
        <f>IF(A703="","",IFERROR(IF(SUMIF(N$2:N703,"CASA",K$2:K703)=0,"",SUMIF(N$2:N703,"CASA",K$2:K703)),""))</f>
        <v/>
      </c>
      <c r="N703" s="17" t="str">
        <f>IF(J703="","",IF(J703=0.2,"CASA",IF(Dati!G703="","",Dati!G703)))</f>
        <v/>
      </c>
    </row>
    <row r="704" spans="1:14" ht="15" customHeight="1" x14ac:dyDescent="0.2">
      <c r="A704" s="23" t="str">
        <f>IF(Dati!A704="","",Dati!A704)</f>
        <v/>
      </c>
      <c r="B704" s="17" t="str">
        <f>IF(Dati!B704="","",Dati!B704)</f>
        <v/>
      </c>
      <c r="C704" s="17" t="str">
        <f>IF(B704="","",IF(ISNUMBER(B703),IF(B704-B703&lt;0,B704,IF(B704-B703=0,"",B704-B703)),B704))</f>
        <v/>
      </c>
      <c r="D704" s="18" t="str">
        <f>IF(Dati!C704="","",IF(Dati!C704&gt;1,Dati!C704/100,Dati!C704))</f>
        <v/>
      </c>
      <c r="E704" s="18" t="str">
        <f>IF(Dati!D704="","",IF(Dati!D704&gt;1,Dati!D704/100,Dati!D704))</f>
        <v/>
      </c>
      <c r="F704" s="18" t="str">
        <f>IF(OR(D704="",E704=""),"",IF(OR(D704&gt;1,E704&gt;1),(E704-D704)/100,E704-D704))</f>
        <v/>
      </c>
      <c r="G704" s="17" t="str">
        <f>IF(F704="","",IF(64*F704=0,"",64*F704))</f>
        <v/>
      </c>
      <c r="H704" s="19" t="str">
        <f>IF(Dati!E704="","",Dati!E704)</f>
        <v/>
      </c>
      <c r="I704" s="19" t="str">
        <f>IFERROR(IF(OR(C704="",C704=0),"",H704/C704*100),"")</f>
        <v/>
      </c>
      <c r="J704" s="20" t="str">
        <f>IF(Dati!F704="","",Dati!F704)</f>
        <v/>
      </c>
      <c r="K704" s="19" t="str">
        <f>IF(OR(H704="",J704=""),"",IF(H704*J704=0,"",H704*J704))</f>
        <v/>
      </c>
      <c r="L704" s="19" t="str">
        <f>IF(A704="","",IFERROR(IF(SUMPRODUCT((ISNUMBER(A$2:A704))*(A$2:A704&gt;1000)*(MONTH(IF(ISNUMBER(A$2:A704),A$2:A704,1))=MONTH(A704))*(YEAR(IF(ISNUMBER(A$2:A704),A$2:A704,1))=YEAR(A704))*IF(ISNUMBER(K$2:K704),K$2:K704,0))=0,"",SUMPRODUCT((ISNUMBER(A$2:A704))*(A$2:A704&gt;1000)*(MONTH(IF(ISNUMBER(A$2:A704),A$2:A704,1))=MONTH(A704))*(YEAR(IF(ISNUMBER(A$2:A704),A$2:A704,1))=YEAR(A704))*IF(ISNUMBER(K$2:K704),K$2:K704,0))),""))</f>
        <v/>
      </c>
      <c r="M704" s="21" t="str">
        <f>IF(A704="","",IFERROR(IF(SUMIF(N$2:N704,"CASA",K$2:K704)=0,"",SUMIF(N$2:N704,"CASA",K$2:K704)),""))</f>
        <v/>
      </c>
      <c r="N704" s="17" t="str">
        <f>IF(J704="","",IF(J704=0.2,"CASA",IF(Dati!G704="","",Dati!G704)))</f>
        <v/>
      </c>
    </row>
    <row r="705" spans="1:14" ht="15" customHeight="1" x14ac:dyDescent="0.2">
      <c r="A705" s="23" t="str">
        <f>IF(Dati!A705="","",Dati!A705)</f>
        <v/>
      </c>
      <c r="B705" s="17" t="str">
        <f>IF(Dati!B705="","",Dati!B705)</f>
        <v/>
      </c>
      <c r="C705" s="17" t="str">
        <f>IF(B705="","",IF(ISNUMBER(B704),IF(B705-B704&lt;0,B705,IF(B705-B704=0,"",B705-B704)),B705))</f>
        <v/>
      </c>
      <c r="D705" s="18" t="str">
        <f>IF(Dati!C705="","",IF(Dati!C705&gt;1,Dati!C705/100,Dati!C705))</f>
        <v/>
      </c>
      <c r="E705" s="18" t="str">
        <f>IF(Dati!D705="","",IF(Dati!D705&gt;1,Dati!D705/100,Dati!D705))</f>
        <v/>
      </c>
      <c r="F705" s="18" t="str">
        <f>IF(OR(D705="",E705=""),"",IF(OR(D705&gt;1,E705&gt;1),(E705-D705)/100,E705-D705))</f>
        <v/>
      </c>
      <c r="G705" s="17" t="str">
        <f>IF(F705="","",IF(64*F705=0,"",64*F705))</f>
        <v/>
      </c>
      <c r="H705" s="19" t="str">
        <f>IF(Dati!E705="","",Dati!E705)</f>
        <v/>
      </c>
      <c r="I705" s="19" t="str">
        <f>IFERROR(IF(OR(C705="",C705=0),"",H705/C705*100),"")</f>
        <v/>
      </c>
      <c r="J705" s="20" t="str">
        <f>IF(Dati!F705="","",Dati!F705)</f>
        <v/>
      </c>
      <c r="K705" s="19" t="str">
        <f>IF(OR(H705="",J705=""),"",IF(H705*J705=0,"",H705*J705))</f>
        <v/>
      </c>
      <c r="L705" s="19" t="str">
        <f>IF(A705="","",IFERROR(IF(SUMPRODUCT((ISNUMBER(A$2:A705))*(A$2:A705&gt;1000)*(MONTH(IF(ISNUMBER(A$2:A705),A$2:A705,1))=MONTH(A705))*(YEAR(IF(ISNUMBER(A$2:A705),A$2:A705,1))=YEAR(A705))*IF(ISNUMBER(K$2:K705),K$2:K705,0))=0,"",SUMPRODUCT((ISNUMBER(A$2:A705))*(A$2:A705&gt;1000)*(MONTH(IF(ISNUMBER(A$2:A705),A$2:A705,1))=MONTH(A705))*(YEAR(IF(ISNUMBER(A$2:A705),A$2:A705,1))=YEAR(A705))*IF(ISNUMBER(K$2:K705),K$2:K705,0))),""))</f>
        <v/>
      </c>
      <c r="M705" s="21" t="str">
        <f>IF(A705="","",IFERROR(IF(SUMIF(N$2:N705,"CASA",K$2:K705)=0,"",SUMIF(N$2:N705,"CASA",K$2:K705)),""))</f>
        <v/>
      </c>
      <c r="N705" s="17" t="str">
        <f>IF(J705="","",IF(J705=0.2,"CASA",IF(Dati!G705="","",Dati!G705)))</f>
        <v/>
      </c>
    </row>
    <row r="706" spans="1:14" ht="15" customHeight="1" x14ac:dyDescent="0.2">
      <c r="A706" s="23" t="str">
        <f>IF(Dati!A706="","",Dati!A706)</f>
        <v/>
      </c>
      <c r="B706" s="17" t="str">
        <f>IF(Dati!B706="","",Dati!B706)</f>
        <v/>
      </c>
      <c r="C706" s="17" t="str">
        <f>IF(B706="","",IF(ISNUMBER(B705),IF(B706-B705&lt;0,B706,IF(B706-B705=0,"",B706-B705)),B706))</f>
        <v/>
      </c>
      <c r="D706" s="18" t="str">
        <f>IF(Dati!C706="","",IF(Dati!C706&gt;1,Dati!C706/100,Dati!C706))</f>
        <v/>
      </c>
      <c r="E706" s="18" t="str">
        <f>IF(Dati!D706="","",IF(Dati!D706&gt;1,Dati!D706/100,Dati!D706))</f>
        <v/>
      </c>
      <c r="F706" s="18" t="str">
        <f>IF(OR(D706="",E706=""),"",IF(OR(D706&gt;1,E706&gt;1),(E706-D706)/100,E706-D706))</f>
        <v/>
      </c>
      <c r="G706" s="17" t="str">
        <f>IF(F706="","",IF(64*F706=0,"",64*F706))</f>
        <v/>
      </c>
      <c r="H706" s="19" t="str">
        <f>IF(Dati!E706="","",Dati!E706)</f>
        <v/>
      </c>
      <c r="I706" s="19" t="str">
        <f>IFERROR(IF(OR(C706="",C706=0),"",H706/C706*100),"")</f>
        <v/>
      </c>
      <c r="J706" s="20" t="str">
        <f>IF(Dati!F706="","",Dati!F706)</f>
        <v/>
      </c>
      <c r="K706" s="19" t="str">
        <f>IF(OR(H706="",J706=""),"",IF(H706*J706=0,"",H706*J706))</f>
        <v/>
      </c>
      <c r="L706" s="19" t="str">
        <f>IF(A706="","",IFERROR(IF(SUMPRODUCT((ISNUMBER(A$2:A706))*(A$2:A706&gt;1000)*(MONTH(IF(ISNUMBER(A$2:A706),A$2:A706,1))=MONTH(A706))*(YEAR(IF(ISNUMBER(A$2:A706),A$2:A706,1))=YEAR(A706))*IF(ISNUMBER(K$2:K706),K$2:K706,0))=0,"",SUMPRODUCT((ISNUMBER(A$2:A706))*(A$2:A706&gt;1000)*(MONTH(IF(ISNUMBER(A$2:A706),A$2:A706,1))=MONTH(A706))*(YEAR(IF(ISNUMBER(A$2:A706),A$2:A706,1))=YEAR(A706))*IF(ISNUMBER(K$2:K706),K$2:K706,0))),""))</f>
        <v/>
      </c>
      <c r="M706" s="21" t="str">
        <f>IF(A706="","",IFERROR(IF(SUMIF(N$2:N706,"CASA",K$2:K706)=0,"",SUMIF(N$2:N706,"CASA",K$2:K706)),""))</f>
        <v/>
      </c>
      <c r="N706" s="17" t="str">
        <f>IF(J706="","",IF(J706=0.2,"CASA",IF(Dati!G706="","",Dati!G706)))</f>
        <v/>
      </c>
    </row>
    <row r="707" spans="1:14" ht="15" customHeight="1" x14ac:dyDescent="0.2">
      <c r="A707" s="23" t="str">
        <f>IF(Dati!A707="","",Dati!A707)</f>
        <v/>
      </c>
      <c r="B707" s="17" t="str">
        <f>IF(Dati!B707="","",Dati!B707)</f>
        <v/>
      </c>
      <c r="C707" s="17" t="str">
        <f>IF(B707="","",IF(ISNUMBER(B706),IF(B707-B706&lt;0,B707,IF(B707-B706=0,"",B707-B706)),B707))</f>
        <v/>
      </c>
      <c r="D707" s="18" t="str">
        <f>IF(Dati!C707="","",IF(Dati!C707&gt;1,Dati!C707/100,Dati!C707))</f>
        <v/>
      </c>
      <c r="E707" s="18" t="str">
        <f>IF(Dati!D707="","",IF(Dati!D707&gt;1,Dati!D707/100,Dati!D707))</f>
        <v/>
      </c>
      <c r="F707" s="18" t="str">
        <f>IF(OR(D707="",E707=""),"",IF(OR(D707&gt;1,E707&gt;1),(E707-D707)/100,E707-D707))</f>
        <v/>
      </c>
      <c r="G707" s="17" t="str">
        <f>IF(F707="","",IF(64*F707=0,"",64*F707))</f>
        <v/>
      </c>
      <c r="H707" s="19" t="str">
        <f>IF(Dati!E707="","",Dati!E707)</f>
        <v/>
      </c>
      <c r="I707" s="19" t="str">
        <f>IFERROR(IF(OR(C707="",C707=0),"",H707/C707*100),"")</f>
        <v/>
      </c>
      <c r="J707" s="20" t="str">
        <f>IF(Dati!F707="","",Dati!F707)</f>
        <v/>
      </c>
      <c r="K707" s="19" t="str">
        <f>IF(OR(H707="",J707=""),"",IF(H707*J707=0,"",H707*J707))</f>
        <v/>
      </c>
      <c r="L707" s="19" t="str">
        <f>IF(A707="","",IFERROR(IF(SUMPRODUCT((ISNUMBER(A$2:A707))*(A$2:A707&gt;1000)*(MONTH(IF(ISNUMBER(A$2:A707),A$2:A707,1))=MONTH(A707))*(YEAR(IF(ISNUMBER(A$2:A707),A$2:A707,1))=YEAR(A707))*IF(ISNUMBER(K$2:K707),K$2:K707,0))=0,"",SUMPRODUCT((ISNUMBER(A$2:A707))*(A$2:A707&gt;1000)*(MONTH(IF(ISNUMBER(A$2:A707),A$2:A707,1))=MONTH(A707))*(YEAR(IF(ISNUMBER(A$2:A707),A$2:A707,1))=YEAR(A707))*IF(ISNUMBER(K$2:K707),K$2:K707,0))),""))</f>
        <v/>
      </c>
      <c r="M707" s="21" t="str">
        <f>IF(A707="","",IFERROR(IF(SUMIF(N$2:N707,"CASA",K$2:K707)=0,"",SUMIF(N$2:N707,"CASA",K$2:K707)),""))</f>
        <v/>
      </c>
      <c r="N707" s="17" t="str">
        <f>IF(J707="","",IF(J707=0.2,"CASA",IF(Dati!G707="","",Dati!G707)))</f>
        <v/>
      </c>
    </row>
    <row r="708" spans="1:14" ht="15" customHeight="1" x14ac:dyDescent="0.2">
      <c r="A708" s="23" t="str">
        <f>IF(Dati!A708="","",Dati!A708)</f>
        <v/>
      </c>
      <c r="B708" s="17" t="str">
        <f>IF(Dati!B708="","",Dati!B708)</f>
        <v/>
      </c>
      <c r="C708" s="17" t="str">
        <f>IF(B708="","",IF(ISNUMBER(B707),IF(B708-B707&lt;0,B708,IF(B708-B707=0,"",B708-B707)),B708))</f>
        <v/>
      </c>
      <c r="D708" s="18" t="str">
        <f>IF(Dati!C708="","",IF(Dati!C708&gt;1,Dati!C708/100,Dati!C708))</f>
        <v/>
      </c>
      <c r="E708" s="18" t="str">
        <f>IF(Dati!D708="","",IF(Dati!D708&gt;1,Dati!D708/100,Dati!D708))</f>
        <v/>
      </c>
      <c r="F708" s="18" t="str">
        <f>IF(OR(D708="",E708=""),"",IF(OR(D708&gt;1,E708&gt;1),(E708-D708)/100,E708-D708))</f>
        <v/>
      </c>
      <c r="G708" s="17" t="str">
        <f>IF(F708="","",IF(64*F708=0,"",64*F708))</f>
        <v/>
      </c>
      <c r="H708" s="19" t="str">
        <f>IF(Dati!E708="","",Dati!E708)</f>
        <v/>
      </c>
      <c r="I708" s="19" t="str">
        <f>IFERROR(IF(OR(C708="",C708=0),"",H708/C708*100),"")</f>
        <v/>
      </c>
      <c r="J708" s="20" t="str">
        <f>IF(Dati!F708="","",Dati!F708)</f>
        <v/>
      </c>
      <c r="K708" s="19" t="str">
        <f>IF(OR(H708="",J708=""),"",IF(H708*J708=0,"",H708*J708))</f>
        <v/>
      </c>
      <c r="L708" s="19" t="str">
        <f>IF(A708="","",IFERROR(IF(SUMPRODUCT((ISNUMBER(A$2:A708))*(A$2:A708&gt;1000)*(MONTH(IF(ISNUMBER(A$2:A708),A$2:A708,1))=MONTH(A708))*(YEAR(IF(ISNUMBER(A$2:A708),A$2:A708,1))=YEAR(A708))*IF(ISNUMBER(K$2:K708),K$2:K708,0))=0,"",SUMPRODUCT((ISNUMBER(A$2:A708))*(A$2:A708&gt;1000)*(MONTH(IF(ISNUMBER(A$2:A708),A$2:A708,1))=MONTH(A708))*(YEAR(IF(ISNUMBER(A$2:A708),A$2:A708,1))=YEAR(A708))*IF(ISNUMBER(K$2:K708),K$2:K708,0))),""))</f>
        <v/>
      </c>
      <c r="M708" s="21" t="str">
        <f>IF(A708="","",IFERROR(IF(SUMIF(N$2:N708,"CASA",K$2:K708)=0,"",SUMIF(N$2:N708,"CASA",K$2:K708)),""))</f>
        <v/>
      </c>
      <c r="N708" s="17" t="str">
        <f>IF(J708="","",IF(J708=0.2,"CASA",IF(Dati!G708="","",Dati!G708)))</f>
        <v/>
      </c>
    </row>
    <row r="709" spans="1:14" ht="15" customHeight="1" x14ac:dyDescent="0.2">
      <c r="A709" s="23" t="str">
        <f>IF(Dati!A709="","",Dati!A709)</f>
        <v/>
      </c>
      <c r="B709" s="17" t="str">
        <f>IF(Dati!B709="","",Dati!B709)</f>
        <v/>
      </c>
      <c r="C709" s="17" t="str">
        <f>IF(B709="","",IF(ISNUMBER(B708),IF(B709-B708&lt;0,B709,IF(B709-B708=0,"",B709-B708)),B709))</f>
        <v/>
      </c>
      <c r="D709" s="18" t="str">
        <f>IF(Dati!C709="","",IF(Dati!C709&gt;1,Dati!C709/100,Dati!C709))</f>
        <v/>
      </c>
      <c r="E709" s="18" t="str">
        <f>IF(Dati!D709="","",IF(Dati!D709&gt;1,Dati!D709/100,Dati!D709))</f>
        <v/>
      </c>
      <c r="F709" s="18" t="str">
        <f>IF(OR(D709="",E709=""),"",IF(OR(D709&gt;1,E709&gt;1),(E709-D709)/100,E709-D709))</f>
        <v/>
      </c>
      <c r="G709" s="17" t="str">
        <f>IF(F709="","",IF(64*F709=0,"",64*F709))</f>
        <v/>
      </c>
      <c r="H709" s="19" t="str">
        <f>IF(Dati!E709="","",Dati!E709)</f>
        <v/>
      </c>
      <c r="I709" s="19" t="str">
        <f>IFERROR(IF(OR(C709="",C709=0),"",H709/C709*100),"")</f>
        <v/>
      </c>
      <c r="J709" s="20" t="str">
        <f>IF(Dati!F709="","",Dati!F709)</f>
        <v/>
      </c>
      <c r="K709" s="19" t="str">
        <f>IF(OR(H709="",J709=""),"",IF(H709*J709=0,"",H709*J709))</f>
        <v/>
      </c>
      <c r="L709" s="19" t="str">
        <f>IF(A709="","",IFERROR(IF(SUMPRODUCT((ISNUMBER(A$2:A709))*(A$2:A709&gt;1000)*(MONTH(IF(ISNUMBER(A$2:A709),A$2:A709,1))=MONTH(A709))*(YEAR(IF(ISNUMBER(A$2:A709),A$2:A709,1))=YEAR(A709))*IF(ISNUMBER(K$2:K709),K$2:K709,0))=0,"",SUMPRODUCT((ISNUMBER(A$2:A709))*(A$2:A709&gt;1000)*(MONTH(IF(ISNUMBER(A$2:A709),A$2:A709,1))=MONTH(A709))*(YEAR(IF(ISNUMBER(A$2:A709),A$2:A709,1))=YEAR(A709))*IF(ISNUMBER(K$2:K709),K$2:K709,0))),""))</f>
        <v/>
      </c>
      <c r="M709" s="21" t="str">
        <f>IF(A709="","",IFERROR(IF(SUMIF(N$2:N709,"CASA",K$2:K709)=0,"",SUMIF(N$2:N709,"CASA",K$2:K709)),""))</f>
        <v/>
      </c>
      <c r="N709" s="17" t="str">
        <f>IF(J709="","",IF(J709=0.2,"CASA",IF(Dati!G709="","",Dati!G709)))</f>
        <v/>
      </c>
    </row>
    <row r="710" spans="1:14" ht="15" customHeight="1" x14ac:dyDescent="0.2">
      <c r="A710" s="23" t="str">
        <f>IF(Dati!A710="","",Dati!A710)</f>
        <v/>
      </c>
      <c r="B710" s="17" t="str">
        <f>IF(Dati!B710="","",Dati!B710)</f>
        <v/>
      </c>
      <c r="C710" s="17" t="str">
        <f>IF(B710="","",IF(ISNUMBER(B709),IF(B710-B709&lt;0,B710,IF(B710-B709=0,"",B710-B709)),B710))</f>
        <v/>
      </c>
      <c r="D710" s="18" t="str">
        <f>IF(Dati!C710="","",IF(Dati!C710&gt;1,Dati!C710/100,Dati!C710))</f>
        <v/>
      </c>
      <c r="E710" s="18" t="str">
        <f>IF(Dati!D710="","",IF(Dati!D710&gt;1,Dati!D710/100,Dati!D710))</f>
        <v/>
      </c>
      <c r="F710" s="18" t="str">
        <f>IF(OR(D710="",E710=""),"",IF(OR(D710&gt;1,E710&gt;1),(E710-D710)/100,E710-D710))</f>
        <v/>
      </c>
      <c r="G710" s="17" t="str">
        <f>IF(F710="","",IF(64*F710=0,"",64*F710))</f>
        <v/>
      </c>
      <c r="H710" s="19" t="str">
        <f>IF(Dati!E710="","",Dati!E710)</f>
        <v/>
      </c>
      <c r="I710" s="19" t="str">
        <f>IFERROR(IF(OR(C710="",C710=0),"",H710/C710*100),"")</f>
        <v/>
      </c>
      <c r="J710" s="20" t="str">
        <f>IF(Dati!F710="","",Dati!F710)</f>
        <v/>
      </c>
      <c r="K710" s="19" t="str">
        <f>IF(OR(H710="",J710=""),"",IF(H710*J710=0,"",H710*J710))</f>
        <v/>
      </c>
      <c r="L710" s="19" t="str">
        <f>IF(A710="","",IFERROR(IF(SUMPRODUCT((ISNUMBER(A$2:A710))*(A$2:A710&gt;1000)*(MONTH(IF(ISNUMBER(A$2:A710),A$2:A710,1))=MONTH(A710))*(YEAR(IF(ISNUMBER(A$2:A710),A$2:A710,1))=YEAR(A710))*IF(ISNUMBER(K$2:K710),K$2:K710,0))=0,"",SUMPRODUCT((ISNUMBER(A$2:A710))*(A$2:A710&gt;1000)*(MONTH(IF(ISNUMBER(A$2:A710),A$2:A710,1))=MONTH(A710))*(YEAR(IF(ISNUMBER(A$2:A710),A$2:A710,1))=YEAR(A710))*IF(ISNUMBER(K$2:K710),K$2:K710,0))),""))</f>
        <v/>
      </c>
      <c r="M710" s="21" t="str">
        <f>IF(A710="","",IFERROR(IF(SUMIF(N$2:N710,"CASA",K$2:K710)=0,"",SUMIF(N$2:N710,"CASA",K$2:K710)),""))</f>
        <v/>
      </c>
      <c r="N710" s="17" t="str">
        <f>IF(J710="","",IF(J710=0.2,"CASA",IF(Dati!G710="","",Dati!G710)))</f>
        <v/>
      </c>
    </row>
    <row r="711" spans="1:14" ht="15" customHeight="1" x14ac:dyDescent="0.2">
      <c r="A711" s="23" t="str">
        <f>IF(Dati!A711="","",Dati!A711)</f>
        <v/>
      </c>
      <c r="B711" s="17" t="str">
        <f>IF(Dati!B711="","",Dati!B711)</f>
        <v/>
      </c>
      <c r="C711" s="17" t="str">
        <f>IF(B711="","",IF(ISNUMBER(B710),IF(B711-B710&lt;0,B711,IF(B711-B710=0,"",B711-B710)),B711))</f>
        <v/>
      </c>
      <c r="D711" s="18" t="str">
        <f>IF(Dati!C711="","",IF(Dati!C711&gt;1,Dati!C711/100,Dati!C711))</f>
        <v/>
      </c>
      <c r="E711" s="18" t="str">
        <f>IF(Dati!D711="","",IF(Dati!D711&gt;1,Dati!D711/100,Dati!D711))</f>
        <v/>
      </c>
      <c r="F711" s="18" t="str">
        <f>IF(OR(D711="",E711=""),"",IF(OR(D711&gt;1,E711&gt;1),(E711-D711)/100,E711-D711))</f>
        <v/>
      </c>
      <c r="G711" s="17" t="str">
        <f>IF(F711="","",IF(64*F711=0,"",64*F711))</f>
        <v/>
      </c>
      <c r="H711" s="19" t="str">
        <f>IF(Dati!E711="","",Dati!E711)</f>
        <v/>
      </c>
      <c r="I711" s="19" t="str">
        <f>IFERROR(IF(OR(C711="",C711=0),"",H711/C711*100),"")</f>
        <v/>
      </c>
      <c r="J711" s="20" t="str">
        <f>IF(Dati!F711="","",Dati!F711)</f>
        <v/>
      </c>
      <c r="K711" s="19" t="str">
        <f>IF(OR(H711="",J711=""),"",IF(H711*J711=0,"",H711*J711))</f>
        <v/>
      </c>
      <c r="L711" s="19" t="str">
        <f>IF(A711="","",IFERROR(IF(SUMPRODUCT((ISNUMBER(A$2:A711))*(A$2:A711&gt;1000)*(MONTH(IF(ISNUMBER(A$2:A711),A$2:A711,1))=MONTH(A711))*(YEAR(IF(ISNUMBER(A$2:A711),A$2:A711,1))=YEAR(A711))*IF(ISNUMBER(K$2:K711),K$2:K711,0))=0,"",SUMPRODUCT((ISNUMBER(A$2:A711))*(A$2:A711&gt;1000)*(MONTH(IF(ISNUMBER(A$2:A711),A$2:A711,1))=MONTH(A711))*(YEAR(IF(ISNUMBER(A$2:A711),A$2:A711,1))=YEAR(A711))*IF(ISNUMBER(K$2:K711),K$2:K711,0))),""))</f>
        <v/>
      </c>
      <c r="M711" s="21" t="str">
        <f>IF(A711="","",IFERROR(IF(SUMIF(N$2:N711,"CASA",K$2:K711)=0,"",SUMIF(N$2:N711,"CASA",K$2:K711)),""))</f>
        <v/>
      </c>
      <c r="N711" s="17" t="str">
        <f>IF(J711="","",IF(J711=0.2,"CASA",IF(Dati!G711="","",Dati!G711)))</f>
        <v/>
      </c>
    </row>
    <row r="712" spans="1:14" ht="15" customHeight="1" x14ac:dyDescent="0.2">
      <c r="A712" s="23" t="str">
        <f>IF(Dati!A712="","",Dati!A712)</f>
        <v/>
      </c>
      <c r="B712" s="17" t="str">
        <f>IF(Dati!B712="","",Dati!B712)</f>
        <v/>
      </c>
      <c r="C712" s="17" t="str">
        <f>IF(B712="","",IF(ISNUMBER(B711),IF(B712-B711&lt;0,B712,IF(B712-B711=0,"",B712-B711)),B712))</f>
        <v/>
      </c>
      <c r="D712" s="18" t="str">
        <f>IF(Dati!C712="","",IF(Dati!C712&gt;1,Dati!C712/100,Dati!C712))</f>
        <v/>
      </c>
      <c r="E712" s="18" t="str">
        <f>IF(Dati!D712="","",IF(Dati!D712&gt;1,Dati!D712/100,Dati!D712))</f>
        <v/>
      </c>
      <c r="F712" s="18" t="str">
        <f>IF(OR(D712="",E712=""),"",IF(OR(D712&gt;1,E712&gt;1),(E712-D712)/100,E712-D712))</f>
        <v/>
      </c>
      <c r="G712" s="17" t="str">
        <f>IF(F712="","",IF(64*F712=0,"",64*F712))</f>
        <v/>
      </c>
      <c r="H712" s="19" t="str">
        <f>IF(Dati!E712="","",Dati!E712)</f>
        <v/>
      </c>
      <c r="I712" s="19" t="str">
        <f>IFERROR(IF(OR(C712="",C712=0),"",H712/C712*100),"")</f>
        <v/>
      </c>
      <c r="J712" s="20" t="str">
        <f>IF(Dati!F712="","",Dati!F712)</f>
        <v/>
      </c>
      <c r="K712" s="19" t="str">
        <f>IF(OR(H712="",J712=""),"",IF(H712*J712=0,"",H712*J712))</f>
        <v/>
      </c>
      <c r="L712" s="19" t="str">
        <f>IF(A712="","",IFERROR(IF(SUMPRODUCT((ISNUMBER(A$2:A712))*(A$2:A712&gt;1000)*(MONTH(IF(ISNUMBER(A$2:A712),A$2:A712,1))=MONTH(A712))*(YEAR(IF(ISNUMBER(A$2:A712),A$2:A712,1))=YEAR(A712))*IF(ISNUMBER(K$2:K712),K$2:K712,0))=0,"",SUMPRODUCT((ISNUMBER(A$2:A712))*(A$2:A712&gt;1000)*(MONTH(IF(ISNUMBER(A$2:A712),A$2:A712,1))=MONTH(A712))*(YEAR(IF(ISNUMBER(A$2:A712),A$2:A712,1))=YEAR(A712))*IF(ISNUMBER(K$2:K712),K$2:K712,0))),""))</f>
        <v/>
      </c>
      <c r="M712" s="21" t="str">
        <f>IF(A712="","",IFERROR(IF(SUMIF(N$2:N712,"CASA",K$2:K712)=0,"",SUMIF(N$2:N712,"CASA",K$2:K712)),""))</f>
        <v/>
      </c>
      <c r="N712" s="17" t="str">
        <f>IF(J712="","",IF(J712=0.2,"CASA",IF(Dati!G712="","",Dati!G712)))</f>
        <v/>
      </c>
    </row>
    <row r="713" spans="1:14" ht="15" customHeight="1" x14ac:dyDescent="0.2">
      <c r="A713" s="23" t="str">
        <f>IF(Dati!A713="","",Dati!A713)</f>
        <v/>
      </c>
      <c r="B713" s="17" t="str">
        <f>IF(Dati!B713="","",Dati!B713)</f>
        <v/>
      </c>
      <c r="C713" s="17" t="str">
        <f>IF(B713="","",IF(ISNUMBER(B712),IF(B713-B712&lt;0,B713,IF(B713-B712=0,"",B713-B712)),B713))</f>
        <v/>
      </c>
      <c r="D713" s="18" t="str">
        <f>IF(Dati!C713="","",IF(Dati!C713&gt;1,Dati!C713/100,Dati!C713))</f>
        <v/>
      </c>
      <c r="E713" s="18" t="str">
        <f>IF(Dati!D713="","",IF(Dati!D713&gt;1,Dati!D713/100,Dati!D713))</f>
        <v/>
      </c>
      <c r="F713" s="18" t="str">
        <f>IF(OR(D713="",E713=""),"",IF(OR(D713&gt;1,E713&gt;1),(E713-D713)/100,E713-D713))</f>
        <v/>
      </c>
      <c r="G713" s="17" t="str">
        <f>IF(F713="","",IF(64*F713=0,"",64*F713))</f>
        <v/>
      </c>
      <c r="H713" s="19" t="str">
        <f>IF(Dati!E713="","",Dati!E713)</f>
        <v/>
      </c>
      <c r="I713" s="19" t="str">
        <f>IFERROR(IF(OR(C713="",C713=0),"",H713/C713*100),"")</f>
        <v/>
      </c>
      <c r="J713" s="20" t="str">
        <f>IF(Dati!F713="","",Dati!F713)</f>
        <v/>
      </c>
      <c r="K713" s="19" t="str">
        <f>IF(OR(H713="",J713=""),"",IF(H713*J713=0,"",H713*J713))</f>
        <v/>
      </c>
      <c r="L713" s="19" t="str">
        <f>IF(A713="","",IFERROR(IF(SUMPRODUCT((ISNUMBER(A$2:A713))*(A$2:A713&gt;1000)*(MONTH(IF(ISNUMBER(A$2:A713),A$2:A713,1))=MONTH(A713))*(YEAR(IF(ISNUMBER(A$2:A713),A$2:A713,1))=YEAR(A713))*IF(ISNUMBER(K$2:K713),K$2:K713,0))=0,"",SUMPRODUCT((ISNUMBER(A$2:A713))*(A$2:A713&gt;1000)*(MONTH(IF(ISNUMBER(A$2:A713),A$2:A713,1))=MONTH(A713))*(YEAR(IF(ISNUMBER(A$2:A713),A$2:A713,1))=YEAR(A713))*IF(ISNUMBER(K$2:K713),K$2:K713,0))),""))</f>
        <v/>
      </c>
      <c r="M713" s="21" t="str">
        <f>IF(A713="","",IFERROR(IF(SUMIF(N$2:N713,"CASA",K$2:K713)=0,"",SUMIF(N$2:N713,"CASA",K$2:K713)),""))</f>
        <v/>
      </c>
      <c r="N713" s="17" t="str">
        <f>IF(J713="","",IF(J713=0.2,"CASA",IF(Dati!G713="","",Dati!G713)))</f>
        <v/>
      </c>
    </row>
    <row r="714" spans="1:14" ht="15" customHeight="1" x14ac:dyDescent="0.2">
      <c r="A714" s="23" t="str">
        <f>IF(Dati!A714="","",Dati!A714)</f>
        <v/>
      </c>
      <c r="B714" s="17" t="str">
        <f>IF(Dati!B714="","",Dati!B714)</f>
        <v/>
      </c>
      <c r="C714" s="17" t="str">
        <f>IF(B714="","",IF(ISNUMBER(B713),IF(B714-B713&lt;0,B714,IF(B714-B713=0,"",B714-B713)),B714))</f>
        <v/>
      </c>
      <c r="D714" s="18" t="str">
        <f>IF(Dati!C714="","",IF(Dati!C714&gt;1,Dati!C714/100,Dati!C714))</f>
        <v/>
      </c>
      <c r="E714" s="18" t="str">
        <f>IF(Dati!D714="","",IF(Dati!D714&gt;1,Dati!D714/100,Dati!D714))</f>
        <v/>
      </c>
      <c r="F714" s="18" t="str">
        <f>IF(OR(D714="",E714=""),"",IF(OR(D714&gt;1,E714&gt;1),(E714-D714)/100,E714-D714))</f>
        <v/>
      </c>
      <c r="G714" s="17" t="str">
        <f>IF(F714="","",IF(64*F714=0,"",64*F714))</f>
        <v/>
      </c>
      <c r="H714" s="19" t="str">
        <f>IF(Dati!E714="","",Dati!E714)</f>
        <v/>
      </c>
      <c r="I714" s="19" t="str">
        <f>IFERROR(IF(OR(C714="",C714=0),"",H714/C714*100),"")</f>
        <v/>
      </c>
      <c r="J714" s="20" t="str">
        <f>IF(Dati!F714="","",Dati!F714)</f>
        <v/>
      </c>
      <c r="K714" s="19" t="str">
        <f>IF(OR(H714="",J714=""),"",IF(H714*J714=0,"",H714*J714))</f>
        <v/>
      </c>
      <c r="L714" s="19" t="str">
        <f>IF(A714="","",IFERROR(IF(SUMPRODUCT((ISNUMBER(A$2:A714))*(A$2:A714&gt;1000)*(MONTH(IF(ISNUMBER(A$2:A714),A$2:A714,1))=MONTH(A714))*(YEAR(IF(ISNUMBER(A$2:A714),A$2:A714,1))=YEAR(A714))*IF(ISNUMBER(K$2:K714),K$2:K714,0))=0,"",SUMPRODUCT((ISNUMBER(A$2:A714))*(A$2:A714&gt;1000)*(MONTH(IF(ISNUMBER(A$2:A714),A$2:A714,1))=MONTH(A714))*(YEAR(IF(ISNUMBER(A$2:A714),A$2:A714,1))=YEAR(A714))*IF(ISNUMBER(K$2:K714),K$2:K714,0))),""))</f>
        <v/>
      </c>
      <c r="M714" s="21" t="str">
        <f>IF(A714="","",IFERROR(IF(SUMIF(N$2:N714,"CASA",K$2:K714)=0,"",SUMIF(N$2:N714,"CASA",K$2:K714)),""))</f>
        <v/>
      </c>
      <c r="N714" s="17" t="str">
        <f>IF(J714="","",IF(J714=0.2,"CASA",IF(Dati!G714="","",Dati!G714)))</f>
        <v/>
      </c>
    </row>
    <row r="715" spans="1:14" ht="15" customHeight="1" x14ac:dyDescent="0.2">
      <c r="A715" s="23" t="str">
        <f>IF(Dati!A715="","",Dati!A715)</f>
        <v/>
      </c>
      <c r="B715" s="17" t="str">
        <f>IF(Dati!B715="","",Dati!B715)</f>
        <v/>
      </c>
      <c r="C715" s="17" t="str">
        <f>IF(B715="","",IF(ISNUMBER(B714),IF(B715-B714&lt;0,B715,IF(B715-B714=0,"",B715-B714)),B715))</f>
        <v/>
      </c>
      <c r="D715" s="18" t="str">
        <f>IF(Dati!C715="","",IF(Dati!C715&gt;1,Dati!C715/100,Dati!C715))</f>
        <v/>
      </c>
      <c r="E715" s="18" t="str">
        <f>IF(Dati!D715="","",IF(Dati!D715&gt;1,Dati!D715/100,Dati!D715))</f>
        <v/>
      </c>
      <c r="F715" s="18" t="str">
        <f>IF(OR(D715="",E715=""),"",IF(OR(D715&gt;1,E715&gt;1),(E715-D715)/100,E715-D715))</f>
        <v/>
      </c>
      <c r="G715" s="17" t="str">
        <f>IF(F715="","",IF(64*F715=0,"",64*F715))</f>
        <v/>
      </c>
      <c r="H715" s="19" t="str">
        <f>IF(Dati!E715="","",Dati!E715)</f>
        <v/>
      </c>
      <c r="I715" s="19" t="str">
        <f>IFERROR(IF(OR(C715="",C715=0),"",H715/C715*100),"")</f>
        <v/>
      </c>
      <c r="J715" s="20" t="str">
        <f>IF(Dati!F715="","",Dati!F715)</f>
        <v/>
      </c>
      <c r="K715" s="19" t="str">
        <f>IF(OR(H715="",J715=""),"",IF(H715*J715=0,"",H715*J715))</f>
        <v/>
      </c>
      <c r="L715" s="19" t="str">
        <f>IF(A715="","",IFERROR(IF(SUMPRODUCT((ISNUMBER(A$2:A715))*(A$2:A715&gt;1000)*(MONTH(IF(ISNUMBER(A$2:A715),A$2:A715,1))=MONTH(A715))*(YEAR(IF(ISNUMBER(A$2:A715),A$2:A715,1))=YEAR(A715))*IF(ISNUMBER(K$2:K715),K$2:K715,0))=0,"",SUMPRODUCT((ISNUMBER(A$2:A715))*(A$2:A715&gt;1000)*(MONTH(IF(ISNUMBER(A$2:A715),A$2:A715,1))=MONTH(A715))*(YEAR(IF(ISNUMBER(A$2:A715),A$2:A715,1))=YEAR(A715))*IF(ISNUMBER(K$2:K715),K$2:K715,0))),""))</f>
        <v/>
      </c>
      <c r="M715" s="21" t="str">
        <f>IF(A715="","",IFERROR(IF(SUMIF(N$2:N715,"CASA",K$2:K715)=0,"",SUMIF(N$2:N715,"CASA",K$2:K715)),""))</f>
        <v/>
      </c>
      <c r="N715" s="17" t="str">
        <f>IF(J715="","",IF(J715=0.2,"CASA",IF(Dati!G715="","",Dati!G715)))</f>
        <v/>
      </c>
    </row>
    <row r="716" spans="1:14" ht="15" customHeight="1" x14ac:dyDescent="0.2">
      <c r="A716" s="23" t="str">
        <f>IF(Dati!A716="","",Dati!A716)</f>
        <v/>
      </c>
      <c r="B716" s="17" t="str">
        <f>IF(Dati!B716="","",Dati!B716)</f>
        <v/>
      </c>
      <c r="C716" s="17" t="str">
        <f>IF(B716="","",IF(ISNUMBER(B715),IF(B716-B715&lt;0,B716,IF(B716-B715=0,"",B716-B715)),B716))</f>
        <v/>
      </c>
      <c r="D716" s="18" t="str">
        <f>IF(Dati!C716="","",IF(Dati!C716&gt;1,Dati!C716/100,Dati!C716))</f>
        <v/>
      </c>
      <c r="E716" s="18" t="str">
        <f>IF(Dati!D716="","",IF(Dati!D716&gt;1,Dati!D716/100,Dati!D716))</f>
        <v/>
      </c>
      <c r="F716" s="18" t="str">
        <f>IF(OR(D716="",E716=""),"",IF(OR(D716&gt;1,E716&gt;1),(E716-D716)/100,E716-D716))</f>
        <v/>
      </c>
      <c r="G716" s="17" t="str">
        <f>IF(F716="","",IF(64*F716=0,"",64*F716))</f>
        <v/>
      </c>
      <c r="H716" s="19" t="str">
        <f>IF(Dati!E716="","",Dati!E716)</f>
        <v/>
      </c>
      <c r="I716" s="19" t="str">
        <f>IFERROR(IF(OR(C716="",C716=0),"",H716/C716*100),"")</f>
        <v/>
      </c>
      <c r="J716" s="20" t="str">
        <f>IF(Dati!F716="","",Dati!F716)</f>
        <v/>
      </c>
      <c r="K716" s="19" t="str">
        <f>IF(OR(H716="",J716=""),"",IF(H716*J716=0,"",H716*J716))</f>
        <v/>
      </c>
      <c r="L716" s="19" t="str">
        <f>IF(A716="","",IFERROR(IF(SUMPRODUCT((ISNUMBER(A$2:A716))*(A$2:A716&gt;1000)*(MONTH(IF(ISNUMBER(A$2:A716),A$2:A716,1))=MONTH(A716))*(YEAR(IF(ISNUMBER(A$2:A716),A$2:A716,1))=YEAR(A716))*IF(ISNUMBER(K$2:K716),K$2:K716,0))=0,"",SUMPRODUCT((ISNUMBER(A$2:A716))*(A$2:A716&gt;1000)*(MONTH(IF(ISNUMBER(A$2:A716),A$2:A716,1))=MONTH(A716))*(YEAR(IF(ISNUMBER(A$2:A716),A$2:A716,1))=YEAR(A716))*IF(ISNUMBER(K$2:K716),K$2:K716,0))),""))</f>
        <v/>
      </c>
      <c r="M716" s="21" t="str">
        <f>IF(A716="","",IFERROR(IF(SUMIF(N$2:N716,"CASA",K$2:K716)=0,"",SUMIF(N$2:N716,"CASA",K$2:K716)),""))</f>
        <v/>
      </c>
      <c r="N716" s="17" t="str">
        <f>IF(J716="","",IF(J716=0.2,"CASA",IF(Dati!G716="","",Dati!G716)))</f>
        <v/>
      </c>
    </row>
    <row r="717" spans="1:14" ht="15" customHeight="1" x14ac:dyDescent="0.2">
      <c r="A717" s="23" t="str">
        <f>IF(Dati!A717="","",Dati!A717)</f>
        <v/>
      </c>
      <c r="B717" s="17" t="str">
        <f>IF(Dati!B717="","",Dati!B717)</f>
        <v/>
      </c>
      <c r="C717" s="17" t="str">
        <f>IF(B717="","",IF(ISNUMBER(B716),IF(B717-B716&lt;0,B717,IF(B717-B716=0,"",B717-B716)),B717))</f>
        <v/>
      </c>
      <c r="D717" s="18" t="str">
        <f>IF(Dati!C717="","",IF(Dati!C717&gt;1,Dati!C717/100,Dati!C717))</f>
        <v/>
      </c>
      <c r="E717" s="18" t="str">
        <f>IF(Dati!D717="","",IF(Dati!D717&gt;1,Dati!D717/100,Dati!D717))</f>
        <v/>
      </c>
      <c r="F717" s="18" t="str">
        <f>IF(OR(D717="",E717=""),"",IF(OR(D717&gt;1,E717&gt;1),(E717-D717)/100,E717-D717))</f>
        <v/>
      </c>
      <c r="G717" s="17" t="str">
        <f>IF(F717="","",IF(64*F717=0,"",64*F717))</f>
        <v/>
      </c>
      <c r="H717" s="19" t="str">
        <f>IF(Dati!E717="","",Dati!E717)</f>
        <v/>
      </c>
      <c r="I717" s="19" t="str">
        <f>IFERROR(IF(OR(C717="",C717=0),"",H717/C717*100),"")</f>
        <v/>
      </c>
      <c r="J717" s="20" t="str">
        <f>IF(Dati!F717="","",Dati!F717)</f>
        <v/>
      </c>
      <c r="K717" s="19" t="str">
        <f>IF(OR(H717="",J717=""),"",IF(H717*J717=0,"",H717*J717))</f>
        <v/>
      </c>
      <c r="L717" s="19" t="str">
        <f>IF(A717="","",IFERROR(IF(SUMPRODUCT((ISNUMBER(A$2:A717))*(A$2:A717&gt;1000)*(MONTH(IF(ISNUMBER(A$2:A717),A$2:A717,1))=MONTH(A717))*(YEAR(IF(ISNUMBER(A$2:A717),A$2:A717,1))=YEAR(A717))*IF(ISNUMBER(K$2:K717),K$2:K717,0))=0,"",SUMPRODUCT((ISNUMBER(A$2:A717))*(A$2:A717&gt;1000)*(MONTH(IF(ISNUMBER(A$2:A717),A$2:A717,1))=MONTH(A717))*(YEAR(IF(ISNUMBER(A$2:A717),A$2:A717,1))=YEAR(A717))*IF(ISNUMBER(K$2:K717),K$2:K717,0))),""))</f>
        <v/>
      </c>
      <c r="M717" s="21" t="str">
        <f>IF(A717="","",IFERROR(IF(SUMIF(N$2:N717,"CASA",K$2:K717)=0,"",SUMIF(N$2:N717,"CASA",K$2:K717)),""))</f>
        <v/>
      </c>
      <c r="N717" s="17" t="str">
        <f>IF(J717="","",IF(J717=0.2,"CASA",IF(Dati!G717="","",Dati!G717)))</f>
        <v/>
      </c>
    </row>
    <row r="718" spans="1:14" ht="15" customHeight="1" x14ac:dyDescent="0.2">
      <c r="A718" s="23" t="str">
        <f>IF(Dati!A718="","",Dati!A718)</f>
        <v/>
      </c>
      <c r="B718" s="17" t="str">
        <f>IF(Dati!B718="","",Dati!B718)</f>
        <v/>
      </c>
      <c r="C718" s="17" t="str">
        <f>IF(B718="","",IF(ISNUMBER(B717),IF(B718-B717&lt;0,B718,IF(B718-B717=0,"",B718-B717)),B718))</f>
        <v/>
      </c>
      <c r="D718" s="18" t="str">
        <f>IF(Dati!C718="","",IF(Dati!C718&gt;1,Dati!C718/100,Dati!C718))</f>
        <v/>
      </c>
      <c r="E718" s="18" t="str">
        <f>IF(Dati!D718="","",IF(Dati!D718&gt;1,Dati!D718/100,Dati!D718))</f>
        <v/>
      </c>
      <c r="F718" s="18" t="str">
        <f>IF(OR(D718="",E718=""),"",IF(OR(D718&gt;1,E718&gt;1),(E718-D718)/100,E718-D718))</f>
        <v/>
      </c>
      <c r="G718" s="17" t="str">
        <f>IF(F718="","",IF(64*F718=0,"",64*F718))</f>
        <v/>
      </c>
      <c r="H718" s="19" t="str">
        <f>IF(Dati!E718="","",Dati!E718)</f>
        <v/>
      </c>
      <c r="I718" s="19" t="str">
        <f>IFERROR(IF(OR(C718="",C718=0),"",H718/C718*100),"")</f>
        <v/>
      </c>
      <c r="J718" s="20" t="str">
        <f>IF(Dati!F718="","",Dati!F718)</f>
        <v/>
      </c>
      <c r="K718" s="19" t="str">
        <f>IF(OR(H718="",J718=""),"",IF(H718*J718=0,"",H718*J718))</f>
        <v/>
      </c>
      <c r="L718" s="19" t="str">
        <f>IF(A718="","",IFERROR(IF(SUMPRODUCT((ISNUMBER(A$2:A718))*(A$2:A718&gt;1000)*(MONTH(IF(ISNUMBER(A$2:A718),A$2:A718,1))=MONTH(A718))*(YEAR(IF(ISNUMBER(A$2:A718),A$2:A718,1))=YEAR(A718))*IF(ISNUMBER(K$2:K718),K$2:K718,0))=0,"",SUMPRODUCT((ISNUMBER(A$2:A718))*(A$2:A718&gt;1000)*(MONTH(IF(ISNUMBER(A$2:A718),A$2:A718,1))=MONTH(A718))*(YEAR(IF(ISNUMBER(A$2:A718),A$2:A718,1))=YEAR(A718))*IF(ISNUMBER(K$2:K718),K$2:K718,0))),""))</f>
        <v/>
      </c>
      <c r="M718" s="21" t="str">
        <f>IF(A718="","",IFERROR(IF(SUMIF(N$2:N718,"CASA",K$2:K718)=0,"",SUMIF(N$2:N718,"CASA",K$2:K718)),""))</f>
        <v/>
      </c>
      <c r="N718" s="17" t="str">
        <f>IF(J718="","",IF(J718=0.2,"CASA",IF(Dati!G718="","",Dati!G718)))</f>
        <v/>
      </c>
    </row>
    <row r="719" spans="1:14" ht="15" customHeight="1" x14ac:dyDescent="0.2">
      <c r="A719" s="23" t="str">
        <f>IF(Dati!A719="","",Dati!A719)</f>
        <v/>
      </c>
      <c r="B719" s="17" t="str">
        <f>IF(Dati!B719="","",Dati!B719)</f>
        <v/>
      </c>
      <c r="C719" s="17" t="str">
        <f>IF(B719="","",IF(ISNUMBER(B718),IF(B719-B718&lt;0,B719,IF(B719-B718=0,"",B719-B718)),B719))</f>
        <v/>
      </c>
      <c r="D719" s="18" t="str">
        <f>IF(Dati!C719="","",IF(Dati!C719&gt;1,Dati!C719/100,Dati!C719))</f>
        <v/>
      </c>
      <c r="E719" s="18" t="str">
        <f>IF(Dati!D719="","",IF(Dati!D719&gt;1,Dati!D719/100,Dati!D719))</f>
        <v/>
      </c>
      <c r="F719" s="18" t="str">
        <f>IF(OR(D719="",E719=""),"",IF(OR(D719&gt;1,E719&gt;1),(E719-D719)/100,E719-D719))</f>
        <v/>
      </c>
      <c r="G719" s="17" t="str">
        <f>IF(F719="","",IF(64*F719=0,"",64*F719))</f>
        <v/>
      </c>
      <c r="H719" s="19" t="str">
        <f>IF(Dati!E719="","",Dati!E719)</f>
        <v/>
      </c>
      <c r="I719" s="19" t="str">
        <f>IFERROR(IF(OR(C719="",C719=0),"",H719/C719*100),"")</f>
        <v/>
      </c>
      <c r="J719" s="20" t="str">
        <f>IF(Dati!F719="","",Dati!F719)</f>
        <v/>
      </c>
      <c r="K719" s="19" t="str">
        <f>IF(OR(H719="",J719=""),"",IF(H719*J719=0,"",H719*J719))</f>
        <v/>
      </c>
      <c r="L719" s="19" t="str">
        <f>IF(A719="","",IFERROR(IF(SUMPRODUCT((ISNUMBER(A$2:A719))*(A$2:A719&gt;1000)*(MONTH(IF(ISNUMBER(A$2:A719),A$2:A719,1))=MONTH(A719))*(YEAR(IF(ISNUMBER(A$2:A719),A$2:A719,1))=YEAR(A719))*IF(ISNUMBER(K$2:K719),K$2:K719,0))=0,"",SUMPRODUCT((ISNUMBER(A$2:A719))*(A$2:A719&gt;1000)*(MONTH(IF(ISNUMBER(A$2:A719),A$2:A719,1))=MONTH(A719))*(YEAR(IF(ISNUMBER(A$2:A719),A$2:A719,1))=YEAR(A719))*IF(ISNUMBER(K$2:K719),K$2:K719,0))),""))</f>
        <v/>
      </c>
      <c r="M719" s="21" t="str">
        <f>IF(A719="","",IFERROR(IF(SUMIF(N$2:N719,"CASA",K$2:K719)=0,"",SUMIF(N$2:N719,"CASA",K$2:K719)),""))</f>
        <v/>
      </c>
      <c r="N719" s="17" t="str">
        <f>IF(J719="","",IF(J719=0.2,"CASA",IF(Dati!G719="","",Dati!G719)))</f>
        <v/>
      </c>
    </row>
    <row r="720" spans="1:14" ht="15" customHeight="1" x14ac:dyDescent="0.2">
      <c r="A720" s="23" t="str">
        <f>IF(Dati!A720="","",Dati!A720)</f>
        <v/>
      </c>
      <c r="B720" s="17" t="str">
        <f>IF(Dati!B720="","",Dati!B720)</f>
        <v/>
      </c>
      <c r="C720" s="17" t="str">
        <f>IF(B720="","",IF(ISNUMBER(B719),IF(B720-B719&lt;0,B720,IF(B720-B719=0,"",B720-B719)),B720))</f>
        <v/>
      </c>
      <c r="D720" s="18" t="str">
        <f>IF(Dati!C720="","",IF(Dati!C720&gt;1,Dati!C720/100,Dati!C720))</f>
        <v/>
      </c>
      <c r="E720" s="18" t="str">
        <f>IF(Dati!D720="","",IF(Dati!D720&gt;1,Dati!D720/100,Dati!D720))</f>
        <v/>
      </c>
      <c r="F720" s="18" t="str">
        <f>IF(OR(D720="",E720=""),"",IF(OR(D720&gt;1,E720&gt;1),(E720-D720)/100,E720-D720))</f>
        <v/>
      </c>
      <c r="G720" s="17" t="str">
        <f>IF(F720="","",IF(64*F720=0,"",64*F720))</f>
        <v/>
      </c>
      <c r="H720" s="19" t="str">
        <f>IF(Dati!E720="","",Dati!E720)</f>
        <v/>
      </c>
      <c r="I720" s="19" t="str">
        <f>IFERROR(IF(OR(C720="",C720=0),"",H720/C720*100),"")</f>
        <v/>
      </c>
      <c r="J720" s="20" t="str">
        <f>IF(Dati!F720="","",Dati!F720)</f>
        <v/>
      </c>
      <c r="K720" s="19" t="str">
        <f>IF(OR(H720="",J720=""),"",IF(H720*J720=0,"",H720*J720))</f>
        <v/>
      </c>
      <c r="L720" s="19" t="str">
        <f>IF(A720="","",IFERROR(IF(SUMPRODUCT((ISNUMBER(A$2:A720))*(A$2:A720&gt;1000)*(MONTH(IF(ISNUMBER(A$2:A720),A$2:A720,1))=MONTH(A720))*(YEAR(IF(ISNUMBER(A$2:A720),A$2:A720,1))=YEAR(A720))*IF(ISNUMBER(K$2:K720),K$2:K720,0))=0,"",SUMPRODUCT((ISNUMBER(A$2:A720))*(A$2:A720&gt;1000)*(MONTH(IF(ISNUMBER(A$2:A720),A$2:A720,1))=MONTH(A720))*(YEAR(IF(ISNUMBER(A$2:A720),A$2:A720,1))=YEAR(A720))*IF(ISNUMBER(K$2:K720),K$2:K720,0))),""))</f>
        <v/>
      </c>
      <c r="M720" s="21" t="str">
        <f>IF(A720="","",IFERROR(IF(SUMIF(N$2:N720,"CASA",K$2:K720)=0,"",SUMIF(N$2:N720,"CASA",K$2:K720)),""))</f>
        <v/>
      </c>
      <c r="N720" s="17" t="str">
        <f>IF(J720="","",IF(J720=0.2,"CASA",IF(Dati!G720="","",Dati!G720)))</f>
        <v/>
      </c>
    </row>
    <row r="721" spans="1:14" ht="15" customHeight="1" x14ac:dyDescent="0.2">
      <c r="A721" s="23" t="str">
        <f>IF(Dati!A721="","",Dati!A721)</f>
        <v/>
      </c>
      <c r="B721" s="17" t="str">
        <f>IF(Dati!B721="","",Dati!B721)</f>
        <v/>
      </c>
      <c r="C721" s="17" t="str">
        <f>IF(B721="","",IF(ISNUMBER(B720),IF(B721-B720&lt;0,B721,IF(B721-B720=0,"",B721-B720)),B721))</f>
        <v/>
      </c>
      <c r="D721" s="18" t="str">
        <f>IF(Dati!C721="","",IF(Dati!C721&gt;1,Dati!C721/100,Dati!C721))</f>
        <v/>
      </c>
      <c r="E721" s="18" t="str">
        <f>IF(Dati!D721="","",IF(Dati!D721&gt;1,Dati!D721/100,Dati!D721))</f>
        <v/>
      </c>
      <c r="F721" s="18" t="str">
        <f>IF(OR(D721="",E721=""),"",IF(OR(D721&gt;1,E721&gt;1),(E721-D721)/100,E721-D721))</f>
        <v/>
      </c>
      <c r="G721" s="17" t="str">
        <f>IF(F721="","",IF(64*F721=0,"",64*F721))</f>
        <v/>
      </c>
      <c r="H721" s="19" t="str">
        <f>IF(Dati!E721="","",Dati!E721)</f>
        <v/>
      </c>
      <c r="I721" s="19" t="str">
        <f>IFERROR(IF(OR(C721="",C721=0),"",H721/C721*100),"")</f>
        <v/>
      </c>
      <c r="J721" s="20" t="str">
        <f>IF(Dati!F721="","",Dati!F721)</f>
        <v/>
      </c>
      <c r="K721" s="19" t="str">
        <f>IF(OR(H721="",J721=""),"",IF(H721*J721=0,"",H721*J721))</f>
        <v/>
      </c>
      <c r="L721" s="19" t="str">
        <f>IF(A721="","",IFERROR(IF(SUMPRODUCT((ISNUMBER(A$2:A721))*(A$2:A721&gt;1000)*(MONTH(IF(ISNUMBER(A$2:A721),A$2:A721,1))=MONTH(A721))*(YEAR(IF(ISNUMBER(A$2:A721),A$2:A721,1))=YEAR(A721))*IF(ISNUMBER(K$2:K721),K$2:K721,0))=0,"",SUMPRODUCT((ISNUMBER(A$2:A721))*(A$2:A721&gt;1000)*(MONTH(IF(ISNUMBER(A$2:A721),A$2:A721,1))=MONTH(A721))*(YEAR(IF(ISNUMBER(A$2:A721),A$2:A721,1))=YEAR(A721))*IF(ISNUMBER(K$2:K721),K$2:K721,0))),""))</f>
        <v/>
      </c>
      <c r="M721" s="21" t="str">
        <f>IF(A721="","",IFERROR(IF(SUMIF(N$2:N721,"CASA",K$2:K721)=0,"",SUMIF(N$2:N721,"CASA",K$2:K721)),""))</f>
        <v/>
      </c>
      <c r="N721" s="17" t="str">
        <f>IF(J721="","",IF(J721=0.2,"CASA",IF(Dati!G721="","",Dati!G721)))</f>
        <v/>
      </c>
    </row>
    <row r="722" spans="1:14" ht="15" customHeight="1" x14ac:dyDescent="0.2">
      <c r="A722" s="23" t="str">
        <f>IF(Dati!A722="","",Dati!A722)</f>
        <v/>
      </c>
      <c r="B722" s="17" t="str">
        <f>IF(Dati!B722="","",Dati!B722)</f>
        <v/>
      </c>
      <c r="C722" s="17" t="str">
        <f>IF(B722="","",IF(ISNUMBER(B721),IF(B722-B721&lt;0,B722,IF(B722-B721=0,"",B722-B721)),B722))</f>
        <v/>
      </c>
      <c r="D722" s="18" t="str">
        <f>IF(Dati!C722="","",IF(Dati!C722&gt;1,Dati!C722/100,Dati!C722))</f>
        <v/>
      </c>
      <c r="E722" s="18" t="str">
        <f>IF(Dati!D722="","",IF(Dati!D722&gt;1,Dati!D722/100,Dati!D722))</f>
        <v/>
      </c>
      <c r="F722" s="18" t="str">
        <f>IF(OR(D722="",E722=""),"",IF(OR(D722&gt;1,E722&gt;1),(E722-D722)/100,E722-D722))</f>
        <v/>
      </c>
      <c r="G722" s="17" t="str">
        <f>IF(F722="","",IF(64*F722=0,"",64*F722))</f>
        <v/>
      </c>
      <c r="H722" s="19" t="str">
        <f>IF(Dati!E722="","",Dati!E722)</f>
        <v/>
      </c>
      <c r="I722" s="19" t="str">
        <f>IFERROR(IF(OR(C722="",C722=0),"",H722/C722*100),"")</f>
        <v/>
      </c>
      <c r="J722" s="20" t="str">
        <f>IF(Dati!F722="","",Dati!F722)</f>
        <v/>
      </c>
      <c r="K722" s="19" t="str">
        <f>IF(OR(H722="",J722=""),"",IF(H722*J722=0,"",H722*J722))</f>
        <v/>
      </c>
      <c r="L722" s="19" t="str">
        <f>IF(A722="","",IFERROR(IF(SUMPRODUCT((ISNUMBER(A$2:A722))*(A$2:A722&gt;1000)*(MONTH(IF(ISNUMBER(A$2:A722),A$2:A722,1))=MONTH(A722))*(YEAR(IF(ISNUMBER(A$2:A722),A$2:A722,1))=YEAR(A722))*IF(ISNUMBER(K$2:K722),K$2:K722,0))=0,"",SUMPRODUCT((ISNUMBER(A$2:A722))*(A$2:A722&gt;1000)*(MONTH(IF(ISNUMBER(A$2:A722),A$2:A722,1))=MONTH(A722))*(YEAR(IF(ISNUMBER(A$2:A722),A$2:A722,1))=YEAR(A722))*IF(ISNUMBER(K$2:K722),K$2:K722,0))),""))</f>
        <v/>
      </c>
      <c r="M722" s="21" t="str">
        <f>IF(A722="","",IFERROR(IF(SUMIF(N$2:N722,"CASA",K$2:K722)=0,"",SUMIF(N$2:N722,"CASA",K$2:K722)),""))</f>
        <v/>
      </c>
      <c r="N722" s="17" t="str">
        <f>IF(J722="","",IF(J722=0.2,"CASA",IF(Dati!G722="","",Dati!G722)))</f>
        <v/>
      </c>
    </row>
    <row r="723" spans="1:14" ht="15" customHeight="1" x14ac:dyDescent="0.2">
      <c r="A723" s="23" t="str">
        <f>IF(Dati!A723="","",Dati!A723)</f>
        <v/>
      </c>
      <c r="B723" s="17" t="str">
        <f>IF(Dati!B723="","",Dati!B723)</f>
        <v/>
      </c>
      <c r="C723" s="17" t="str">
        <f>IF(B723="","",IF(ISNUMBER(B722),IF(B723-B722&lt;0,B723,IF(B723-B722=0,"",B723-B722)),B723))</f>
        <v/>
      </c>
      <c r="D723" s="18" t="str">
        <f>IF(Dati!C723="","",IF(Dati!C723&gt;1,Dati!C723/100,Dati!C723))</f>
        <v/>
      </c>
      <c r="E723" s="18" t="str">
        <f>IF(Dati!D723="","",IF(Dati!D723&gt;1,Dati!D723/100,Dati!D723))</f>
        <v/>
      </c>
      <c r="F723" s="18" t="str">
        <f>IF(OR(D723="",E723=""),"",IF(OR(D723&gt;1,E723&gt;1),(E723-D723)/100,E723-D723))</f>
        <v/>
      </c>
      <c r="G723" s="17" t="str">
        <f>IF(F723="","",IF(64*F723=0,"",64*F723))</f>
        <v/>
      </c>
      <c r="H723" s="19" t="str">
        <f>IF(Dati!E723="","",Dati!E723)</f>
        <v/>
      </c>
      <c r="I723" s="19" t="str">
        <f>IFERROR(IF(OR(C723="",C723=0),"",H723/C723*100),"")</f>
        <v/>
      </c>
      <c r="J723" s="20" t="str">
        <f>IF(Dati!F723="","",Dati!F723)</f>
        <v/>
      </c>
      <c r="K723" s="19" t="str">
        <f>IF(OR(H723="",J723=""),"",IF(H723*J723=0,"",H723*J723))</f>
        <v/>
      </c>
      <c r="L723" s="19" t="str">
        <f>IF(A723="","",IFERROR(IF(SUMPRODUCT((ISNUMBER(A$2:A723))*(A$2:A723&gt;1000)*(MONTH(IF(ISNUMBER(A$2:A723),A$2:A723,1))=MONTH(A723))*(YEAR(IF(ISNUMBER(A$2:A723),A$2:A723,1))=YEAR(A723))*IF(ISNUMBER(K$2:K723),K$2:K723,0))=0,"",SUMPRODUCT((ISNUMBER(A$2:A723))*(A$2:A723&gt;1000)*(MONTH(IF(ISNUMBER(A$2:A723),A$2:A723,1))=MONTH(A723))*(YEAR(IF(ISNUMBER(A$2:A723),A$2:A723,1))=YEAR(A723))*IF(ISNUMBER(K$2:K723),K$2:K723,0))),""))</f>
        <v/>
      </c>
      <c r="M723" s="21" t="str">
        <f>IF(A723="","",IFERROR(IF(SUMIF(N$2:N723,"CASA",K$2:K723)=0,"",SUMIF(N$2:N723,"CASA",K$2:K723)),""))</f>
        <v/>
      </c>
      <c r="N723" s="17" t="str">
        <f>IF(J723="","",IF(J723=0.2,"CASA",IF(Dati!G723="","",Dati!G723)))</f>
        <v/>
      </c>
    </row>
    <row r="724" spans="1:14" ht="15" customHeight="1" x14ac:dyDescent="0.2">
      <c r="A724" s="23" t="str">
        <f>IF(Dati!A724="","",Dati!A724)</f>
        <v/>
      </c>
      <c r="B724" s="17" t="str">
        <f>IF(Dati!B724="","",Dati!B724)</f>
        <v/>
      </c>
      <c r="C724" s="17" t="str">
        <f>IF(B724="","",IF(ISNUMBER(B723),IF(B724-B723&lt;0,B724,IF(B724-B723=0,"",B724-B723)),B724))</f>
        <v/>
      </c>
      <c r="D724" s="18" t="str">
        <f>IF(Dati!C724="","",IF(Dati!C724&gt;1,Dati!C724/100,Dati!C724))</f>
        <v/>
      </c>
      <c r="E724" s="18" t="str">
        <f>IF(Dati!D724="","",IF(Dati!D724&gt;1,Dati!D724/100,Dati!D724))</f>
        <v/>
      </c>
      <c r="F724" s="18" t="str">
        <f>IF(OR(D724="",E724=""),"",IF(OR(D724&gt;1,E724&gt;1),(E724-D724)/100,E724-D724))</f>
        <v/>
      </c>
      <c r="G724" s="17" t="str">
        <f>IF(F724="","",IF(64*F724=0,"",64*F724))</f>
        <v/>
      </c>
      <c r="H724" s="19" t="str">
        <f>IF(Dati!E724="","",Dati!E724)</f>
        <v/>
      </c>
      <c r="I724" s="19" t="str">
        <f>IFERROR(IF(OR(C724="",C724=0),"",H724/C724*100),"")</f>
        <v/>
      </c>
      <c r="J724" s="20" t="str">
        <f>IF(Dati!F724="","",Dati!F724)</f>
        <v/>
      </c>
      <c r="K724" s="19" t="str">
        <f>IF(OR(H724="",J724=""),"",IF(H724*J724=0,"",H724*J724))</f>
        <v/>
      </c>
      <c r="L724" s="19" t="str">
        <f>IF(A724="","",IFERROR(IF(SUMPRODUCT((ISNUMBER(A$2:A724))*(A$2:A724&gt;1000)*(MONTH(IF(ISNUMBER(A$2:A724),A$2:A724,1))=MONTH(A724))*(YEAR(IF(ISNUMBER(A$2:A724),A$2:A724,1))=YEAR(A724))*IF(ISNUMBER(K$2:K724),K$2:K724,0))=0,"",SUMPRODUCT((ISNUMBER(A$2:A724))*(A$2:A724&gt;1000)*(MONTH(IF(ISNUMBER(A$2:A724),A$2:A724,1))=MONTH(A724))*(YEAR(IF(ISNUMBER(A$2:A724),A$2:A724,1))=YEAR(A724))*IF(ISNUMBER(K$2:K724),K$2:K724,0))),""))</f>
        <v/>
      </c>
      <c r="M724" s="21" t="str">
        <f>IF(A724="","",IFERROR(IF(SUMIF(N$2:N724,"CASA",K$2:K724)=0,"",SUMIF(N$2:N724,"CASA",K$2:K724)),""))</f>
        <v/>
      </c>
      <c r="N724" s="17" t="str">
        <f>IF(J724="","",IF(J724=0.2,"CASA",IF(Dati!G724="","",Dati!G724)))</f>
        <v/>
      </c>
    </row>
    <row r="725" spans="1:14" ht="15" customHeight="1" x14ac:dyDescent="0.2">
      <c r="A725" s="23" t="str">
        <f>IF(Dati!A725="","",Dati!A725)</f>
        <v/>
      </c>
      <c r="B725" s="17" t="str">
        <f>IF(Dati!B725="","",Dati!B725)</f>
        <v/>
      </c>
      <c r="C725" s="17" t="str">
        <f>IF(B725="","",IF(ISNUMBER(B724),IF(B725-B724&lt;0,B725,IF(B725-B724=0,"",B725-B724)),B725))</f>
        <v/>
      </c>
      <c r="D725" s="18" t="str">
        <f>IF(Dati!C725="","",IF(Dati!C725&gt;1,Dati!C725/100,Dati!C725))</f>
        <v/>
      </c>
      <c r="E725" s="18" t="str">
        <f>IF(Dati!D725="","",IF(Dati!D725&gt;1,Dati!D725/100,Dati!D725))</f>
        <v/>
      </c>
      <c r="F725" s="18" t="str">
        <f>IF(OR(D725="",E725=""),"",IF(OR(D725&gt;1,E725&gt;1),(E725-D725)/100,E725-D725))</f>
        <v/>
      </c>
      <c r="G725" s="17" t="str">
        <f>IF(F725="","",IF(64*F725=0,"",64*F725))</f>
        <v/>
      </c>
      <c r="H725" s="19" t="str">
        <f>IF(Dati!E725="","",Dati!E725)</f>
        <v/>
      </c>
      <c r="I725" s="19" t="str">
        <f>IFERROR(IF(OR(C725="",C725=0),"",H725/C725*100),"")</f>
        <v/>
      </c>
      <c r="J725" s="20" t="str">
        <f>IF(Dati!F725="","",Dati!F725)</f>
        <v/>
      </c>
      <c r="K725" s="19" t="str">
        <f>IF(OR(H725="",J725=""),"",IF(H725*J725=0,"",H725*J725))</f>
        <v/>
      </c>
      <c r="L725" s="19" t="str">
        <f>IF(A725="","",IFERROR(IF(SUMPRODUCT((ISNUMBER(A$2:A725))*(A$2:A725&gt;1000)*(MONTH(IF(ISNUMBER(A$2:A725),A$2:A725,1))=MONTH(A725))*(YEAR(IF(ISNUMBER(A$2:A725),A$2:A725,1))=YEAR(A725))*IF(ISNUMBER(K$2:K725),K$2:K725,0))=0,"",SUMPRODUCT((ISNUMBER(A$2:A725))*(A$2:A725&gt;1000)*(MONTH(IF(ISNUMBER(A$2:A725),A$2:A725,1))=MONTH(A725))*(YEAR(IF(ISNUMBER(A$2:A725),A$2:A725,1))=YEAR(A725))*IF(ISNUMBER(K$2:K725),K$2:K725,0))),""))</f>
        <v/>
      </c>
      <c r="M725" s="21" t="str">
        <f>IF(A725="","",IFERROR(IF(SUMIF(N$2:N725,"CASA",K$2:K725)=0,"",SUMIF(N$2:N725,"CASA",K$2:K725)),""))</f>
        <v/>
      </c>
      <c r="N725" s="17" t="str">
        <f>IF(J725="","",IF(J725=0.2,"CASA",IF(Dati!G725="","",Dati!G725)))</f>
        <v/>
      </c>
    </row>
    <row r="726" spans="1:14" ht="15" customHeight="1" x14ac:dyDescent="0.2">
      <c r="A726" s="23" t="str">
        <f>IF(Dati!A726="","",Dati!A726)</f>
        <v/>
      </c>
      <c r="B726" s="17" t="str">
        <f>IF(Dati!B726="","",Dati!B726)</f>
        <v/>
      </c>
      <c r="C726" s="17" t="str">
        <f>IF(B726="","",IF(ISNUMBER(B725),IF(B726-B725&lt;0,B726,IF(B726-B725=0,"",B726-B725)),B726))</f>
        <v/>
      </c>
      <c r="D726" s="18" t="str">
        <f>IF(Dati!C726="","",IF(Dati!C726&gt;1,Dati!C726/100,Dati!C726))</f>
        <v/>
      </c>
      <c r="E726" s="18" t="str">
        <f>IF(Dati!D726="","",IF(Dati!D726&gt;1,Dati!D726/100,Dati!D726))</f>
        <v/>
      </c>
      <c r="F726" s="18" t="str">
        <f>IF(OR(D726="",E726=""),"",IF(OR(D726&gt;1,E726&gt;1),(E726-D726)/100,E726-D726))</f>
        <v/>
      </c>
      <c r="G726" s="17" t="str">
        <f>IF(F726="","",IF(64*F726=0,"",64*F726))</f>
        <v/>
      </c>
      <c r="H726" s="19" t="str">
        <f>IF(Dati!E726="","",Dati!E726)</f>
        <v/>
      </c>
      <c r="I726" s="19" t="str">
        <f>IFERROR(IF(OR(C726="",C726=0),"",H726/C726*100),"")</f>
        <v/>
      </c>
      <c r="J726" s="20" t="str">
        <f>IF(Dati!F726="","",Dati!F726)</f>
        <v/>
      </c>
      <c r="K726" s="19" t="str">
        <f>IF(OR(H726="",J726=""),"",IF(H726*J726=0,"",H726*J726))</f>
        <v/>
      </c>
      <c r="L726" s="19" t="str">
        <f>IF(A726="","",IFERROR(IF(SUMPRODUCT((ISNUMBER(A$2:A726))*(A$2:A726&gt;1000)*(MONTH(IF(ISNUMBER(A$2:A726),A$2:A726,1))=MONTH(A726))*(YEAR(IF(ISNUMBER(A$2:A726),A$2:A726,1))=YEAR(A726))*IF(ISNUMBER(K$2:K726),K$2:K726,0))=0,"",SUMPRODUCT((ISNUMBER(A$2:A726))*(A$2:A726&gt;1000)*(MONTH(IF(ISNUMBER(A$2:A726),A$2:A726,1))=MONTH(A726))*(YEAR(IF(ISNUMBER(A$2:A726),A$2:A726,1))=YEAR(A726))*IF(ISNUMBER(K$2:K726),K$2:K726,0))),""))</f>
        <v/>
      </c>
      <c r="M726" s="21" t="str">
        <f>IF(A726="","",IFERROR(IF(SUMIF(N$2:N726,"CASA",K$2:K726)=0,"",SUMIF(N$2:N726,"CASA",K$2:K726)),""))</f>
        <v/>
      </c>
      <c r="N726" s="17" t="str">
        <f>IF(J726="","",IF(J726=0.2,"CASA",IF(Dati!G726="","",Dati!G726)))</f>
        <v/>
      </c>
    </row>
    <row r="727" spans="1:14" ht="15" customHeight="1" x14ac:dyDescent="0.2">
      <c r="A727" s="23" t="str">
        <f>IF(Dati!A727="","",Dati!A727)</f>
        <v/>
      </c>
      <c r="B727" s="17" t="str">
        <f>IF(Dati!B727="","",Dati!B727)</f>
        <v/>
      </c>
      <c r="C727" s="17" t="str">
        <f>IF(B727="","",IF(ISNUMBER(B726),IF(B727-B726&lt;0,B727,IF(B727-B726=0,"",B727-B726)),B727))</f>
        <v/>
      </c>
      <c r="D727" s="18" t="str">
        <f>IF(Dati!C727="","",IF(Dati!C727&gt;1,Dati!C727/100,Dati!C727))</f>
        <v/>
      </c>
      <c r="E727" s="18" t="str">
        <f>IF(Dati!D727="","",IF(Dati!D727&gt;1,Dati!D727/100,Dati!D727))</f>
        <v/>
      </c>
      <c r="F727" s="18" t="str">
        <f>IF(OR(D727="",E727=""),"",IF(OR(D727&gt;1,E727&gt;1),(E727-D727)/100,E727-D727))</f>
        <v/>
      </c>
      <c r="G727" s="17" t="str">
        <f>IF(F727="","",IF(64*F727=0,"",64*F727))</f>
        <v/>
      </c>
      <c r="H727" s="19" t="str">
        <f>IF(Dati!E727="","",Dati!E727)</f>
        <v/>
      </c>
      <c r="I727" s="19" t="str">
        <f>IFERROR(IF(OR(C727="",C727=0),"",H727/C727*100),"")</f>
        <v/>
      </c>
      <c r="J727" s="20" t="str">
        <f>IF(Dati!F727="","",Dati!F727)</f>
        <v/>
      </c>
      <c r="K727" s="19" t="str">
        <f>IF(OR(H727="",J727=""),"",IF(H727*J727=0,"",H727*J727))</f>
        <v/>
      </c>
      <c r="L727" s="19" t="str">
        <f>IF(A727="","",IFERROR(IF(SUMPRODUCT((ISNUMBER(A$2:A727))*(A$2:A727&gt;1000)*(MONTH(IF(ISNUMBER(A$2:A727),A$2:A727,1))=MONTH(A727))*(YEAR(IF(ISNUMBER(A$2:A727),A$2:A727,1))=YEAR(A727))*IF(ISNUMBER(K$2:K727),K$2:K727,0))=0,"",SUMPRODUCT((ISNUMBER(A$2:A727))*(A$2:A727&gt;1000)*(MONTH(IF(ISNUMBER(A$2:A727),A$2:A727,1))=MONTH(A727))*(YEAR(IF(ISNUMBER(A$2:A727),A$2:A727,1))=YEAR(A727))*IF(ISNUMBER(K$2:K727),K$2:K727,0))),""))</f>
        <v/>
      </c>
      <c r="M727" s="21" t="str">
        <f>IF(A727="","",IFERROR(IF(SUMIF(N$2:N727,"CASA",K$2:K727)=0,"",SUMIF(N$2:N727,"CASA",K$2:K727)),""))</f>
        <v/>
      </c>
      <c r="N727" s="17" t="str">
        <f>IF(J727="","",IF(J727=0.2,"CASA",IF(Dati!G727="","",Dati!G727)))</f>
        <v/>
      </c>
    </row>
    <row r="728" spans="1:14" ht="15" customHeight="1" x14ac:dyDescent="0.2">
      <c r="A728" s="23" t="str">
        <f>IF(Dati!A728="","",Dati!A728)</f>
        <v/>
      </c>
      <c r="B728" s="17" t="str">
        <f>IF(Dati!B728="","",Dati!B728)</f>
        <v/>
      </c>
      <c r="C728" s="17" t="str">
        <f>IF(B728="","",IF(ISNUMBER(B727),IF(B728-B727&lt;0,B728,IF(B728-B727=0,"",B728-B727)),B728))</f>
        <v/>
      </c>
      <c r="D728" s="18" t="str">
        <f>IF(Dati!C728="","",IF(Dati!C728&gt;1,Dati!C728/100,Dati!C728))</f>
        <v/>
      </c>
      <c r="E728" s="18" t="str">
        <f>IF(Dati!D728="","",IF(Dati!D728&gt;1,Dati!D728/100,Dati!D728))</f>
        <v/>
      </c>
      <c r="F728" s="18" t="str">
        <f>IF(OR(D728="",E728=""),"",IF(OR(D728&gt;1,E728&gt;1),(E728-D728)/100,E728-D728))</f>
        <v/>
      </c>
      <c r="G728" s="17" t="str">
        <f>IF(F728="","",IF(64*F728=0,"",64*F728))</f>
        <v/>
      </c>
      <c r="H728" s="19" t="str">
        <f>IF(Dati!E728="","",Dati!E728)</f>
        <v/>
      </c>
      <c r="I728" s="19" t="str">
        <f>IFERROR(IF(OR(C728="",C728=0),"",H728/C728*100),"")</f>
        <v/>
      </c>
      <c r="J728" s="20" t="str">
        <f>IF(Dati!F728="","",Dati!F728)</f>
        <v/>
      </c>
      <c r="K728" s="19" t="str">
        <f>IF(OR(H728="",J728=""),"",IF(H728*J728=0,"",H728*J728))</f>
        <v/>
      </c>
      <c r="L728" s="19" t="str">
        <f>IF(A728="","",IFERROR(IF(SUMPRODUCT((ISNUMBER(A$2:A728))*(A$2:A728&gt;1000)*(MONTH(IF(ISNUMBER(A$2:A728),A$2:A728,1))=MONTH(A728))*(YEAR(IF(ISNUMBER(A$2:A728),A$2:A728,1))=YEAR(A728))*IF(ISNUMBER(K$2:K728),K$2:K728,0))=0,"",SUMPRODUCT((ISNUMBER(A$2:A728))*(A$2:A728&gt;1000)*(MONTH(IF(ISNUMBER(A$2:A728),A$2:A728,1))=MONTH(A728))*(YEAR(IF(ISNUMBER(A$2:A728),A$2:A728,1))=YEAR(A728))*IF(ISNUMBER(K$2:K728),K$2:K728,0))),""))</f>
        <v/>
      </c>
      <c r="M728" s="21" t="str">
        <f>IF(A728="","",IFERROR(IF(SUMIF(N$2:N728,"CASA",K$2:K728)=0,"",SUMIF(N$2:N728,"CASA",K$2:K728)),""))</f>
        <v/>
      </c>
      <c r="N728" s="17" t="str">
        <f>IF(J728="","",IF(J728=0.2,"CASA",IF(Dati!G728="","",Dati!G728)))</f>
        <v/>
      </c>
    </row>
    <row r="729" spans="1:14" ht="15" customHeight="1" x14ac:dyDescent="0.2">
      <c r="A729" s="23" t="str">
        <f>IF(Dati!A729="","",Dati!A729)</f>
        <v/>
      </c>
      <c r="B729" s="17" t="str">
        <f>IF(Dati!B729="","",Dati!B729)</f>
        <v/>
      </c>
      <c r="C729" s="17" t="str">
        <f>IF(B729="","",IF(ISNUMBER(B728),IF(B729-B728&lt;0,B729,IF(B729-B728=0,"",B729-B728)),B729))</f>
        <v/>
      </c>
      <c r="D729" s="18" t="str">
        <f>IF(Dati!C729="","",IF(Dati!C729&gt;1,Dati!C729/100,Dati!C729))</f>
        <v/>
      </c>
      <c r="E729" s="18" t="str">
        <f>IF(Dati!D729="","",IF(Dati!D729&gt;1,Dati!D729/100,Dati!D729))</f>
        <v/>
      </c>
      <c r="F729" s="18" t="str">
        <f>IF(OR(D729="",E729=""),"",IF(OR(D729&gt;1,E729&gt;1),(E729-D729)/100,E729-D729))</f>
        <v/>
      </c>
      <c r="G729" s="17" t="str">
        <f>IF(F729="","",IF(64*F729=0,"",64*F729))</f>
        <v/>
      </c>
      <c r="H729" s="19" t="str">
        <f>IF(Dati!E729="","",Dati!E729)</f>
        <v/>
      </c>
      <c r="I729" s="19" t="str">
        <f>IFERROR(IF(OR(C729="",C729=0),"",H729/C729*100),"")</f>
        <v/>
      </c>
      <c r="J729" s="20" t="str">
        <f>IF(Dati!F729="","",Dati!F729)</f>
        <v/>
      </c>
      <c r="K729" s="19" t="str">
        <f>IF(OR(H729="",J729=""),"",IF(H729*J729=0,"",H729*J729))</f>
        <v/>
      </c>
      <c r="L729" s="19" t="str">
        <f>IF(A729="","",IFERROR(IF(SUMPRODUCT((ISNUMBER(A$2:A729))*(A$2:A729&gt;1000)*(MONTH(IF(ISNUMBER(A$2:A729),A$2:A729,1))=MONTH(A729))*(YEAR(IF(ISNUMBER(A$2:A729),A$2:A729,1))=YEAR(A729))*IF(ISNUMBER(K$2:K729),K$2:K729,0))=0,"",SUMPRODUCT((ISNUMBER(A$2:A729))*(A$2:A729&gt;1000)*(MONTH(IF(ISNUMBER(A$2:A729),A$2:A729,1))=MONTH(A729))*(YEAR(IF(ISNUMBER(A$2:A729),A$2:A729,1))=YEAR(A729))*IF(ISNUMBER(K$2:K729),K$2:K729,0))),""))</f>
        <v/>
      </c>
      <c r="M729" s="21" t="str">
        <f>IF(A729="","",IFERROR(IF(SUMIF(N$2:N729,"CASA",K$2:K729)=0,"",SUMIF(N$2:N729,"CASA",K$2:K729)),""))</f>
        <v/>
      </c>
      <c r="N729" s="17" t="str">
        <f>IF(J729="","",IF(J729=0.2,"CASA",IF(Dati!G729="","",Dati!G729)))</f>
        <v/>
      </c>
    </row>
    <row r="730" spans="1:14" ht="15" customHeight="1" x14ac:dyDescent="0.2">
      <c r="A730" s="23" t="str">
        <f>IF(Dati!A730="","",Dati!A730)</f>
        <v/>
      </c>
      <c r="B730" s="17" t="str">
        <f>IF(Dati!B730="","",Dati!B730)</f>
        <v/>
      </c>
      <c r="C730" s="17" t="str">
        <f>IF(B730="","",IF(ISNUMBER(B729),IF(B730-B729&lt;0,B730,IF(B730-B729=0,"",B730-B729)),B730))</f>
        <v/>
      </c>
      <c r="D730" s="18" t="str">
        <f>IF(Dati!C730="","",IF(Dati!C730&gt;1,Dati!C730/100,Dati!C730))</f>
        <v/>
      </c>
      <c r="E730" s="18" t="str">
        <f>IF(Dati!D730="","",IF(Dati!D730&gt;1,Dati!D730/100,Dati!D730))</f>
        <v/>
      </c>
      <c r="F730" s="18" t="str">
        <f>IF(OR(D730="",E730=""),"",IF(OR(D730&gt;1,E730&gt;1),(E730-D730)/100,E730-D730))</f>
        <v/>
      </c>
      <c r="G730" s="17" t="str">
        <f>IF(F730="","",IF(64*F730=0,"",64*F730))</f>
        <v/>
      </c>
      <c r="H730" s="19" t="str">
        <f>IF(Dati!E730="","",Dati!E730)</f>
        <v/>
      </c>
      <c r="I730" s="19" t="str">
        <f>IFERROR(IF(OR(C730="",C730=0),"",H730/C730*100),"")</f>
        <v/>
      </c>
      <c r="J730" s="20" t="str">
        <f>IF(Dati!F730="","",Dati!F730)</f>
        <v/>
      </c>
      <c r="K730" s="19" t="str">
        <f>IF(OR(H730="",J730=""),"",IF(H730*J730=0,"",H730*J730))</f>
        <v/>
      </c>
      <c r="L730" s="19" t="str">
        <f>IF(A730="","",IFERROR(IF(SUMPRODUCT((ISNUMBER(A$2:A730))*(A$2:A730&gt;1000)*(MONTH(IF(ISNUMBER(A$2:A730),A$2:A730,1))=MONTH(A730))*(YEAR(IF(ISNUMBER(A$2:A730),A$2:A730,1))=YEAR(A730))*IF(ISNUMBER(K$2:K730),K$2:K730,0))=0,"",SUMPRODUCT((ISNUMBER(A$2:A730))*(A$2:A730&gt;1000)*(MONTH(IF(ISNUMBER(A$2:A730),A$2:A730,1))=MONTH(A730))*(YEAR(IF(ISNUMBER(A$2:A730),A$2:A730,1))=YEAR(A730))*IF(ISNUMBER(K$2:K730),K$2:K730,0))),""))</f>
        <v/>
      </c>
      <c r="M730" s="21" t="str">
        <f>IF(A730="","",IFERROR(IF(SUMIF(N$2:N730,"CASA",K$2:K730)=0,"",SUMIF(N$2:N730,"CASA",K$2:K730)),""))</f>
        <v/>
      </c>
      <c r="N730" s="17" t="str">
        <f>IF(J730="","",IF(J730=0.2,"CASA",IF(Dati!G730="","",Dati!G730)))</f>
        <v/>
      </c>
    </row>
    <row r="731" spans="1:14" ht="15" customHeight="1" x14ac:dyDescent="0.2">
      <c r="A731" s="23" t="str">
        <f>IF(Dati!A731="","",Dati!A731)</f>
        <v/>
      </c>
      <c r="B731" s="17" t="str">
        <f>IF(Dati!B731="","",Dati!B731)</f>
        <v/>
      </c>
      <c r="C731" s="17" t="str">
        <f>IF(B731="","",IF(ISNUMBER(B730),IF(B731-B730&lt;0,B731,IF(B731-B730=0,"",B731-B730)),B731))</f>
        <v/>
      </c>
      <c r="D731" s="18" t="str">
        <f>IF(Dati!C731="","",IF(Dati!C731&gt;1,Dati!C731/100,Dati!C731))</f>
        <v/>
      </c>
      <c r="E731" s="18" t="str">
        <f>IF(Dati!D731="","",IF(Dati!D731&gt;1,Dati!D731/100,Dati!D731))</f>
        <v/>
      </c>
      <c r="F731" s="18" t="str">
        <f>IF(OR(D731="",E731=""),"",IF(OR(D731&gt;1,E731&gt;1),(E731-D731)/100,E731-D731))</f>
        <v/>
      </c>
      <c r="G731" s="17" t="str">
        <f>IF(F731="","",IF(64*F731=0,"",64*F731))</f>
        <v/>
      </c>
      <c r="H731" s="19" t="str">
        <f>IF(Dati!E731="","",Dati!E731)</f>
        <v/>
      </c>
      <c r="I731" s="19" t="str">
        <f>IFERROR(IF(OR(C731="",C731=0),"",H731/C731*100),"")</f>
        <v/>
      </c>
      <c r="J731" s="20" t="str">
        <f>IF(Dati!F731="","",Dati!F731)</f>
        <v/>
      </c>
      <c r="K731" s="19" t="str">
        <f>IF(OR(H731="",J731=""),"",IF(H731*J731=0,"",H731*J731))</f>
        <v/>
      </c>
      <c r="L731" s="19" t="str">
        <f>IF(A731="","",IFERROR(IF(SUMPRODUCT((ISNUMBER(A$2:A731))*(A$2:A731&gt;1000)*(MONTH(IF(ISNUMBER(A$2:A731),A$2:A731,1))=MONTH(A731))*(YEAR(IF(ISNUMBER(A$2:A731),A$2:A731,1))=YEAR(A731))*IF(ISNUMBER(K$2:K731),K$2:K731,0))=0,"",SUMPRODUCT((ISNUMBER(A$2:A731))*(A$2:A731&gt;1000)*(MONTH(IF(ISNUMBER(A$2:A731),A$2:A731,1))=MONTH(A731))*(YEAR(IF(ISNUMBER(A$2:A731),A$2:A731,1))=YEAR(A731))*IF(ISNUMBER(K$2:K731),K$2:K731,0))),""))</f>
        <v/>
      </c>
      <c r="M731" s="21" t="str">
        <f>IF(A731="","",IFERROR(IF(SUMIF(N$2:N731,"CASA",K$2:K731)=0,"",SUMIF(N$2:N731,"CASA",K$2:K731)),""))</f>
        <v/>
      </c>
      <c r="N731" s="17" t="str">
        <f>IF(J731="","",IF(J731=0.2,"CASA",IF(Dati!G731="","",Dati!G731)))</f>
        <v/>
      </c>
    </row>
    <row r="732" spans="1:14" ht="15" customHeight="1" x14ac:dyDescent="0.2">
      <c r="A732" s="23" t="str">
        <f>IF(Dati!A732="","",Dati!A732)</f>
        <v/>
      </c>
      <c r="B732" s="17" t="str">
        <f>IF(Dati!B732="","",Dati!B732)</f>
        <v/>
      </c>
      <c r="C732" s="17" t="str">
        <f>IF(B732="","",IF(ISNUMBER(B731),IF(B732-B731&lt;0,B732,IF(B732-B731=0,"",B732-B731)),B732))</f>
        <v/>
      </c>
      <c r="D732" s="18" t="str">
        <f>IF(Dati!C732="","",IF(Dati!C732&gt;1,Dati!C732/100,Dati!C732))</f>
        <v/>
      </c>
      <c r="E732" s="18" t="str">
        <f>IF(Dati!D732="","",IF(Dati!D732&gt;1,Dati!D732/100,Dati!D732))</f>
        <v/>
      </c>
      <c r="F732" s="18" t="str">
        <f>IF(OR(D732="",E732=""),"",IF(OR(D732&gt;1,E732&gt;1),(E732-D732)/100,E732-D732))</f>
        <v/>
      </c>
      <c r="G732" s="17" t="str">
        <f>IF(F732="","",IF(64*F732=0,"",64*F732))</f>
        <v/>
      </c>
      <c r="H732" s="19" t="str">
        <f>IF(Dati!E732="","",Dati!E732)</f>
        <v/>
      </c>
      <c r="I732" s="19" t="str">
        <f>IFERROR(IF(OR(C732="",C732=0),"",H732/C732*100),"")</f>
        <v/>
      </c>
      <c r="J732" s="20" t="str">
        <f>IF(Dati!F732="","",Dati!F732)</f>
        <v/>
      </c>
      <c r="K732" s="19" t="str">
        <f>IF(OR(H732="",J732=""),"",IF(H732*J732=0,"",H732*J732))</f>
        <v/>
      </c>
      <c r="L732" s="19" t="str">
        <f>IF(A732="","",IFERROR(IF(SUMPRODUCT((ISNUMBER(A$2:A732))*(A$2:A732&gt;1000)*(MONTH(IF(ISNUMBER(A$2:A732),A$2:A732,1))=MONTH(A732))*(YEAR(IF(ISNUMBER(A$2:A732),A$2:A732,1))=YEAR(A732))*IF(ISNUMBER(K$2:K732),K$2:K732,0))=0,"",SUMPRODUCT((ISNUMBER(A$2:A732))*(A$2:A732&gt;1000)*(MONTH(IF(ISNUMBER(A$2:A732),A$2:A732,1))=MONTH(A732))*(YEAR(IF(ISNUMBER(A$2:A732),A$2:A732,1))=YEAR(A732))*IF(ISNUMBER(K$2:K732),K$2:K732,0))),""))</f>
        <v/>
      </c>
      <c r="M732" s="21" t="str">
        <f>IF(A732="","",IFERROR(IF(SUMIF(N$2:N732,"CASA",K$2:K732)=0,"",SUMIF(N$2:N732,"CASA",K$2:K732)),""))</f>
        <v/>
      </c>
      <c r="N732" s="17" t="str">
        <f>IF(J732="","",IF(J732=0.2,"CASA",IF(Dati!G732="","",Dati!G732)))</f>
        <v/>
      </c>
    </row>
    <row r="733" spans="1:14" ht="15" customHeight="1" x14ac:dyDescent="0.2">
      <c r="A733" s="23" t="str">
        <f>IF(Dati!A733="","",Dati!A733)</f>
        <v/>
      </c>
      <c r="B733" s="17" t="str">
        <f>IF(Dati!B733="","",Dati!B733)</f>
        <v/>
      </c>
      <c r="C733" s="17" t="str">
        <f>IF(B733="","",IF(ISNUMBER(B732),IF(B733-B732&lt;0,B733,IF(B733-B732=0,"",B733-B732)),B733))</f>
        <v/>
      </c>
      <c r="D733" s="18" t="str">
        <f>IF(Dati!C733="","",IF(Dati!C733&gt;1,Dati!C733/100,Dati!C733))</f>
        <v/>
      </c>
      <c r="E733" s="18" t="str">
        <f>IF(Dati!D733="","",IF(Dati!D733&gt;1,Dati!D733/100,Dati!D733))</f>
        <v/>
      </c>
      <c r="F733" s="18" t="str">
        <f>IF(OR(D733="",E733=""),"",IF(OR(D733&gt;1,E733&gt;1),(E733-D733)/100,E733-D733))</f>
        <v/>
      </c>
      <c r="G733" s="17" t="str">
        <f>IF(F733="","",IF(64*F733=0,"",64*F733))</f>
        <v/>
      </c>
      <c r="H733" s="19" t="str">
        <f>IF(Dati!E733="","",Dati!E733)</f>
        <v/>
      </c>
      <c r="I733" s="19" t="str">
        <f>IFERROR(IF(OR(C733="",C733=0),"",H733/C733*100),"")</f>
        <v/>
      </c>
      <c r="J733" s="20" t="str">
        <f>IF(Dati!F733="","",Dati!F733)</f>
        <v/>
      </c>
      <c r="K733" s="19" t="str">
        <f>IF(OR(H733="",J733=""),"",IF(H733*J733=0,"",H733*J733))</f>
        <v/>
      </c>
      <c r="L733" s="19" t="str">
        <f>IF(A733="","",IFERROR(IF(SUMPRODUCT((ISNUMBER(A$2:A733))*(A$2:A733&gt;1000)*(MONTH(IF(ISNUMBER(A$2:A733),A$2:A733,1))=MONTH(A733))*(YEAR(IF(ISNUMBER(A$2:A733),A$2:A733,1))=YEAR(A733))*IF(ISNUMBER(K$2:K733),K$2:K733,0))=0,"",SUMPRODUCT((ISNUMBER(A$2:A733))*(A$2:A733&gt;1000)*(MONTH(IF(ISNUMBER(A$2:A733),A$2:A733,1))=MONTH(A733))*(YEAR(IF(ISNUMBER(A$2:A733),A$2:A733,1))=YEAR(A733))*IF(ISNUMBER(K$2:K733),K$2:K733,0))),""))</f>
        <v/>
      </c>
      <c r="M733" s="21" t="str">
        <f>IF(A733="","",IFERROR(IF(SUMIF(N$2:N733,"CASA",K$2:K733)=0,"",SUMIF(N$2:N733,"CASA",K$2:K733)),""))</f>
        <v/>
      </c>
      <c r="N733" s="17" t="str">
        <f>IF(J733="","",IF(J733=0.2,"CASA",IF(Dati!G733="","",Dati!G733)))</f>
        <v/>
      </c>
    </row>
    <row r="734" spans="1:14" ht="15" customHeight="1" x14ac:dyDescent="0.2">
      <c r="A734" s="23" t="str">
        <f>IF(Dati!A734="","",Dati!A734)</f>
        <v/>
      </c>
      <c r="B734" s="17" t="str">
        <f>IF(Dati!B734="","",Dati!B734)</f>
        <v/>
      </c>
      <c r="C734" s="17" t="str">
        <f>IF(B734="","",IF(ISNUMBER(B733),IF(B734-B733&lt;0,B734,IF(B734-B733=0,"",B734-B733)),B734))</f>
        <v/>
      </c>
      <c r="D734" s="18" t="str">
        <f>IF(Dati!C734="","",IF(Dati!C734&gt;1,Dati!C734/100,Dati!C734))</f>
        <v/>
      </c>
      <c r="E734" s="18" t="str">
        <f>IF(Dati!D734="","",IF(Dati!D734&gt;1,Dati!D734/100,Dati!D734))</f>
        <v/>
      </c>
      <c r="F734" s="18" t="str">
        <f>IF(OR(D734="",E734=""),"",IF(OR(D734&gt;1,E734&gt;1),(E734-D734)/100,E734-D734))</f>
        <v/>
      </c>
      <c r="G734" s="17" t="str">
        <f>IF(F734="","",IF(64*F734=0,"",64*F734))</f>
        <v/>
      </c>
      <c r="H734" s="19" t="str">
        <f>IF(Dati!E734="","",Dati!E734)</f>
        <v/>
      </c>
      <c r="I734" s="19" t="str">
        <f>IFERROR(IF(OR(C734="",C734=0),"",H734/C734*100),"")</f>
        <v/>
      </c>
      <c r="J734" s="20" t="str">
        <f>IF(Dati!F734="","",Dati!F734)</f>
        <v/>
      </c>
      <c r="K734" s="19" t="str">
        <f>IF(OR(H734="",J734=""),"",IF(H734*J734=0,"",H734*J734))</f>
        <v/>
      </c>
      <c r="L734" s="19" t="str">
        <f>IF(A734="","",IFERROR(IF(SUMPRODUCT((ISNUMBER(A$2:A734))*(A$2:A734&gt;1000)*(MONTH(IF(ISNUMBER(A$2:A734),A$2:A734,1))=MONTH(A734))*(YEAR(IF(ISNUMBER(A$2:A734),A$2:A734,1))=YEAR(A734))*IF(ISNUMBER(K$2:K734),K$2:K734,0))=0,"",SUMPRODUCT((ISNUMBER(A$2:A734))*(A$2:A734&gt;1000)*(MONTH(IF(ISNUMBER(A$2:A734),A$2:A734,1))=MONTH(A734))*(YEAR(IF(ISNUMBER(A$2:A734),A$2:A734,1))=YEAR(A734))*IF(ISNUMBER(K$2:K734),K$2:K734,0))),""))</f>
        <v/>
      </c>
      <c r="M734" s="21" t="str">
        <f>IF(A734="","",IFERROR(IF(SUMIF(N$2:N734,"CASA",K$2:K734)=0,"",SUMIF(N$2:N734,"CASA",K$2:K734)),""))</f>
        <v/>
      </c>
      <c r="N734" s="17" t="str">
        <f>IF(J734="","",IF(J734=0.2,"CASA",IF(Dati!G734="","",Dati!G734)))</f>
        <v/>
      </c>
    </row>
    <row r="735" spans="1:14" ht="15" customHeight="1" x14ac:dyDescent="0.2">
      <c r="A735" s="23" t="str">
        <f>IF(Dati!A735="","",Dati!A735)</f>
        <v/>
      </c>
      <c r="B735" s="17" t="str">
        <f>IF(Dati!B735="","",Dati!B735)</f>
        <v/>
      </c>
      <c r="C735" s="17" t="str">
        <f>IF(B735="","",IF(ISNUMBER(B734),IF(B735-B734&lt;0,B735,IF(B735-B734=0,"",B735-B734)),B735))</f>
        <v/>
      </c>
      <c r="D735" s="18" t="str">
        <f>IF(Dati!C735="","",IF(Dati!C735&gt;1,Dati!C735/100,Dati!C735))</f>
        <v/>
      </c>
      <c r="E735" s="18" t="str">
        <f>IF(Dati!D735="","",IF(Dati!D735&gt;1,Dati!D735/100,Dati!D735))</f>
        <v/>
      </c>
      <c r="F735" s="18" t="str">
        <f>IF(OR(D735="",E735=""),"",IF(OR(D735&gt;1,E735&gt;1),(E735-D735)/100,E735-D735))</f>
        <v/>
      </c>
      <c r="G735" s="17" t="str">
        <f>IF(F735="","",IF(64*F735=0,"",64*F735))</f>
        <v/>
      </c>
      <c r="H735" s="19" t="str">
        <f>IF(Dati!E735="","",Dati!E735)</f>
        <v/>
      </c>
      <c r="I735" s="19" t="str">
        <f>IFERROR(IF(OR(C735="",C735=0),"",H735/C735*100),"")</f>
        <v/>
      </c>
      <c r="J735" s="20" t="str">
        <f>IF(Dati!F735="","",Dati!F735)</f>
        <v/>
      </c>
      <c r="K735" s="19" t="str">
        <f>IF(OR(H735="",J735=""),"",IF(H735*J735=0,"",H735*J735))</f>
        <v/>
      </c>
      <c r="L735" s="19" t="str">
        <f>IF(A735="","",IFERROR(IF(SUMPRODUCT((ISNUMBER(A$2:A735))*(A$2:A735&gt;1000)*(MONTH(IF(ISNUMBER(A$2:A735),A$2:A735,1))=MONTH(A735))*(YEAR(IF(ISNUMBER(A$2:A735),A$2:A735,1))=YEAR(A735))*IF(ISNUMBER(K$2:K735),K$2:K735,0))=0,"",SUMPRODUCT((ISNUMBER(A$2:A735))*(A$2:A735&gt;1000)*(MONTH(IF(ISNUMBER(A$2:A735),A$2:A735,1))=MONTH(A735))*(YEAR(IF(ISNUMBER(A$2:A735),A$2:A735,1))=YEAR(A735))*IF(ISNUMBER(K$2:K735),K$2:K735,0))),""))</f>
        <v/>
      </c>
      <c r="M735" s="21" t="str">
        <f>IF(A735="","",IFERROR(IF(SUMIF(N$2:N735,"CASA",K$2:K735)=0,"",SUMIF(N$2:N735,"CASA",K$2:K735)),""))</f>
        <v/>
      </c>
      <c r="N735" s="17" t="str">
        <f>IF(J735="","",IF(J735=0.2,"CASA",IF(Dati!G735="","",Dati!G735)))</f>
        <v/>
      </c>
    </row>
    <row r="736" spans="1:14" ht="15" customHeight="1" x14ac:dyDescent="0.2">
      <c r="A736" s="23" t="str">
        <f>IF(Dati!A736="","",Dati!A736)</f>
        <v/>
      </c>
      <c r="B736" s="17" t="str">
        <f>IF(Dati!B736="","",Dati!B736)</f>
        <v/>
      </c>
      <c r="C736" s="17" t="str">
        <f>IF(B736="","",IF(ISNUMBER(B735),IF(B736-B735&lt;0,B736,IF(B736-B735=0,"",B736-B735)),B736))</f>
        <v/>
      </c>
      <c r="D736" s="18" t="str">
        <f>IF(Dati!C736="","",IF(Dati!C736&gt;1,Dati!C736/100,Dati!C736))</f>
        <v/>
      </c>
      <c r="E736" s="18" t="str">
        <f>IF(Dati!D736="","",IF(Dati!D736&gt;1,Dati!D736/100,Dati!D736))</f>
        <v/>
      </c>
      <c r="F736" s="18" t="str">
        <f>IF(OR(D736="",E736=""),"",IF(OR(D736&gt;1,E736&gt;1),(E736-D736)/100,E736-D736))</f>
        <v/>
      </c>
      <c r="G736" s="17" t="str">
        <f>IF(F736="","",IF(64*F736=0,"",64*F736))</f>
        <v/>
      </c>
      <c r="H736" s="19" t="str">
        <f>IF(Dati!E736="","",Dati!E736)</f>
        <v/>
      </c>
      <c r="I736" s="19" t="str">
        <f>IFERROR(IF(OR(C736="",C736=0),"",H736/C736*100),"")</f>
        <v/>
      </c>
      <c r="J736" s="20" t="str">
        <f>IF(Dati!F736="","",Dati!F736)</f>
        <v/>
      </c>
      <c r="K736" s="19" t="str">
        <f>IF(OR(H736="",J736=""),"",IF(H736*J736=0,"",H736*J736))</f>
        <v/>
      </c>
      <c r="L736" s="19" t="str">
        <f>IF(A736="","",IFERROR(IF(SUMPRODUCT((ISNUMBER(A$2:A736))*(A$2:A736&gt;1000)*(MONTH(IF(ISNUMBER(A$2:A736),A$2:A736,1))=MONTH(A736))*(YEAR(IF(ISNUMBER(A$2:A736),A$2:A736,1))=YEAR(A736))*IF(ISNUMBER(K$2:K736),K$2:K736,0))=0,"",SUMPRODUCT((ISNUMBER(A$2:A736))*(A$2:A736&gt;1000)*(MONTH(IF(ISNUMBER(A$2:A736),A$2:A736,1))=MONTH(A736))*(YEAR(IF(ISNUMBER(A$2:A736),A$2:A736,1))=YEAR(A736))*IF(ISNUMBER(K$2:K736),K$2:K736,0))),""))</f>
        <v/>
      </c>
      <c r="M736" s="21" t="str">
        <f>IF(A736="","",IFERROR(IF(SUMIF(N$2:N736,"CASA",K$2:K736)=0,"",SUMIF(N$2:N736,"CASA",K$2:K736)),""))</f>
        <v/>
      </c>
      <c r="N736" s="17" t="str">
        <f>IF(J736="","",IF(J736=0.2,"CASA",IF(Dati!G736="","",Dati!G736)))</f>
        <v/>
      </c>
    </row>
    <row r="737" spans="1:14" ht="15" customHeight="1" x14ac:dyDescent="0.2">
      <c r="A737" s="23" t="str">
        <f>IF(Dati!A737="","",Dati!A737)</f>
        <v/>
      </c>
      <c r="B737" s="17" t="str">
        <f>IF(Dati!B737="","",Dati!B737)</f>
        <v/>
      </c>
      <c r="C737" s="17" t="str">
        <f>IF(B737="","",IF(ISNUMBER(B736),IF(B737-B736&lt;0,B737,IF(B737-B736=0,"",B737-B736)),B737))</f>
        <v/>
      </c>
      <c r="D737" s="18" t="str">
        <f>IF(Dati!C737="","",IF(Dati!C737&gt;1,Dati!C737/100,Dati!C737))</f>
        <v/>
      </c>
      <c r="E737" s="18" t="str">
        <f>IF(Dati!D737="","",IF(Dati!D737&gt;1,Dati!D737/100,Dati!D737))</f>
        <v/>
      </c>
      <c r="F737" s="18" t="str">
        <f>IF(OR(D737="",E737=""),"",IF(OR(D737&gt;1,E737&gt;1),(E737-D737)/100,E737-D737))</f>
        <v/>
      </c>
      <c r="G737" s="17" t="str">
        <f>IF(F737="","",IF(64*F737=0,"",64*F737))</f>
        <v/>
      </c>
      <c r="H737" s="19" t="str">
        <f>IF(Dati!E737="","",Dati!E737)</f>
        <v/>
      </c>
      <c r="I737" s="19" t="str">
        <f>IFERROR(IF(OR(C737="",C737=0),"",H737/C737*100),"")</f>
        <v/>
      </c>
      <c r="J737" s="20" t="str">
        <f>IF(Dati!F737="","",Dati!F737)</f>
        <v/>
      </c>
      <c r="K737" s="19" t="str">
        <f>IF(OR(H737="",J737=""),"",IF(H737*J737=0,"",H737*J737))</f>
        <v/>
      </c>
      <c r="L737" s="19" t="str">
        <f>IF(A737="","",IFERROR(IF(SUMPRODUCT((ISNUMBER(A$2:A737))*(A$2:A737&gt;1000)*(MONTH(IF(ISNUMBER(A$2:A737),A$2:A737,1))=MONTH(A737))*(YEAR(IF(ISNUMBER(A$2:A737),A$2:A737,1))=YEAR(A737))*IF(ISNUMBER(K$2:K737),K$2:K737,0))=0,"",SUMPRODUCT((ISNUMBER(A$2:A737))*(A$2:A737&gt;1000)*(MONTH(IF(ISNUMBER(A$2:A737),A$2:A737,1))=MONTH(A737))*(YEAR(IF(ISNUMBER(A$2:A737),A$2:A737,1))=YEAR(A737))*IF(ISNUMBER(K$2:K737),K$2:K737,0))),""))</f>
        <v/>
      </c>
      <c r="M737" s="21" t="str">
        <f>IF(A737="","",IFERROR(IF(SUMIF(N$2:N737,"CASA",K$2:K737)=0,"",SUMIF(N$2:N737,"CASA",K$2:K737)),""))</f>
        <v/>
      </c>
      <c r="N737" s="17" t="str">
        <f>IF(J737="","",IF(J737=0.2,"CASA",IF(Dati!G737="","",Dati!G737)))</f>
        <v/>
      </c>
    </row>
    <row r="738" spans="1:14" ht="15" customHeight="1" x14ac:dyDescent="0.2">
      <c r="A738" s="23" t="str">
        <f>IF(Dati!A738="","",Dati!A738)</f>
        <v/>
      </c>
      <c r="B738" s="17" t="str">
        <f>IF(Dati!B738="","",Dati!B738)</f>
        <v/>
      </c>
      <c r="C738" s="17" t="str">
        <f>IF(B738="","",IF(ISNUMBER(B737),IF(B738-B737&lt;0,B738,IF(B738-B737=0,"",B738-B737)),B738))</f>
        <v/>
      </c>
      <c r="D738" s="18" t="str">
        <f>IF(Dati!C738="","",IF(Dati!C738&gt;1,Dati!C738/100,Dati!C738))</f>
        <v/>
      </c>
      <c r="E738" s="18" t="str">
        <f>IF(Dati!D738="","",IF(Dati!D738&gt;1,Dati!D738/100,Dati!D738))</f>
        <v/>
      </c>
      <c r="F738" s="18" t="str">
        <f>IF(OR(D738="",E738=""),"",IF(OR(D738&gt;1,E738&gt;1),(E738-D738)/100,E738-D738))</f>
        <v/>
      </c>
      <c r="G738" s="17" t="str">
        <f>IF(F738="","",IF(64*F738=0,"",64*F738))</f>
        <v/>
      </c>
      <c r="H738" s="19" t="str">
        <f>IF(Dati!E738="","",Dati!E738)</f>
        <v/>
      </c>
      <c r="I738" s="19" t="str">
        <f>IFERROR(IF(OR(C738="",C738=0),"",H738/C738*100),"")</f>
        <v/>
      </c>
      <c r="J738" s="20" t="str">
        <f>IF(Dati!F738="","",Dati!F738)</f>
        <v/>
      </c>
      <c r="K738" s="19" t="str">
        <f>IF(OR(H738="",J738=""),"",IF(H738*J738=0,"",H738*J738))</f>
        <v/>
      </c>
      <c r="L738" s="19" t="str">
        <f>IF(A738="","",IFERROR(IF(SUMPRODUCT((ISNUMBER(A$2:A738))*(A$2:A738&gt;1000)*(MONTH(IF(ISNUMBER(A$2:A738),A$2:A738,1))=MONTH(A738))*(YEAR(IF(ISNUMBER(A$2:A738),A$2:A738,1))=YEAR(A738))*IF(ISNUMBER(K$2:K738),K$2:K738,0))=0,"",SUMPRODUCT((ISNUMBER(A$2:A738))*(A$2:A738&gt;1000)*(MONTH(IF(ISNUMBER(A$2:A738),A$2:A738,1))=MONTH(A738))*(YEAR(IF(ISNUMBER(A$2:A738),A$2:A738,1))=YEAR(A738))*IF(ISNUMBER(K$2:K738),K$2:K738,0))),""))</f>
        <v/>
      </c>
      <c r="M738" s="21" t="str">
        <f>IF(A738="","",IFERROR(IF(SUMIF(N$2:N738,"CASA",K$2:K738)=0,"",SUMIF(N$2:N738,"CASA",K$2:K738)),""))</f>
        <v/>
      </c>
      <c r="N738" s="17" t="str">
        <f>IF(J738="","",IF(J738=0.2,"CASA",IF(Dati!G738="","",Dati!G738)))</f>
        <v/>
      </c>
    </row>
    <row r="739" spans="1:14" ht="15" customHeight="1" x14ac:dyDescent="0.2">
      <c r="A739" s="23" t="str">
        <f>IF(Dati!A739="","",Dati!A739)</f>
        <v/>
      </c>
      <c r="B739" s="17" t="str">
        <f>IF(Dati!B739="","",Dati!B739)</f>
        <v/>
      </c>
      <c r="C739" s="17" t="str">
        <f>IF(B739="","",IF(ISNUMBER(B738),IF(B739-B738&lt;0,B739,IF(B739-B738=0,"",B739-B738)),B739))</f>
        <v/>
      </c>
      <c r="D739" s="18" t="str">
        <f>IF(Dati!C739="","",IF(Dati!C739&gt;1,Dati!C739/100,Dati!C739))</f>
        <v/>
      </c>
      <c r="E739" s="18" t="str">
        <f>IF(Dati!D739="","",IF(Dati!D739&gt;1,Dati!D739/100,Dati!D739))</f>
        <v/>
      </c>
      <c r="F739" s="18" t="str">
        <f>IF(OR(D739="",E739=""),"",IF(OR(D739&gt;1,E739&gt;1),(E739-D739)/100,E739-D739))</f>
        <v/>
      </c>
      <c r="G739" s="17" t="str">
        <f>IF(F739="","",IF(64*F739=0,"",64*F739))</f>
        <v/>
      </c>
      <c r="H739" s="19" t="str">
        <f>IF(Dati!E739="","",Dati!E739)</f>
        <v/>
      </c>
      <c r="I739" s="19" t="str">
        <f>IFERROR(IF(OR(C739="",C739=0),"",H739/C739*100),"")</f>
        <v/>
      </c>
      <c r="J739" s="20" t="str">
        <f>IF(Dati!F739="","",Dati!F739)</f>
        <v/>
      </c>
      <c r="K739" s="19" t="str">
        <f>IF(OR(H739="",J739=""),"",IF(H739*J739=0,"",H739*J739))</f>
        <v/>
      </c>
      <c r="L739" s="19" t="str">
        <f>IF(A739="","",IFERROR(IF(SUMPRODUCT((ISNUMBER(A$2:A739))*(A$2:A739&gt;1000)*(MONTH(IF(ISNUMBER(A$2:A739),A$2:A739,1))=MONTH(A739))*(YEAR(IF(ISNUMBER(A$2:A739),A$2:A739,1))=YEAR(A739))*IF(ISNUMBER(K$2:K739),K$2:K739,0))=0,"",SUMPRODUCT((ISNUMBER(A$2:A739))*(A$2:A739&gt;1000)*(MONTH(IF(ISNUMBER(A$2:A739),A$2:A739,1))=MONTH(A739))*(YEAR(IF(ISNUMBER(A$2:A739),A$2:A739,1))=YEAR(A739))*IF(ISNUMBER(K$2:K739),K$2:K739,0))),""))</f>
        <v/>
      </c>
      <c r="M739" s="21" t="str">
        <f>IF(A739="","",IFERROR(IF(SUMIF(N$2:N739,"CASA",K$2:K739)=0,"",SUMIF(N$2:N739,"CASA",K$2:K739)),""))</f>
        <v/>
      </c>
      <c r="N739" s="17" t="str">
        <f>IF(J739="","",IF(J739=0.2,"CASA",IF(Dati!G739="","",Dati!G739)))</f>
        <v/>
      </c>
    </row>
    <row r="740" spans="1:14" ht="15" customHeight="1" x14ac:dyDescent="0.2">
      <c r="A740" s="23" t="str">
        <f>IF(Dati!A740="","",Dati!A740)</f>
        <v/>
      </c>
      <c r="B740" s="17" t="str">
        <f>IF(Dati!B740="","",Dati!B740)</f>
        <v/>
      </c>
      <c r="C740" s="17" t="str">
        <f>IF(B740="","",IF(ISNUMBER(B739),IF(B740-B739&lt;0,B740,IF(B740-B739=0,"",B740-B739)),B740))</f>
        <v/>
      </c>
      <c r="D740" s="18" t="str">
        <f>IF(Dati!C740="","",IF(Dati!C740&gt;1,Dati!C740/100,Dati!C740))</f>
        <v/>
      </c>
      <c r="E740" s="18" t="str">
        <f>IF(Dati!D740="","",IF(Dati!D740&gt;1,Dati!D740/100,Dati!D740))</f>
        <v/>
      </c>
      <c r="F740" s="18" t="str">
        <f>IF(OR(D740="",E740=""),"",IF(OR(D740&gt;1,E740&gt;1),(E740-D740)/100,E740-D740))</f>
        <v/>
      </c>
      <c r="G740" s="17" t="str">
        <f>IF(F740="","",IF(64*F740=0,"",64*F740))</f>
        <v/>
      </c>
      <c r="H740" s="19" t="str">
        <f>IF(Dati!E740="","",Dati!E740)</f>
        <v/>
      </c>
      <c r="I740" s="19" t="str">
        <f>IFERROR(IF(OR(C740="",C740=0),"",H740/C740*100),"")</f>
        <v/>
      </c>
      <c r="J740" s="20" t="str">
        <f>IF(Dati!F740="","",Dati!F740)</f>
        <v/>
      </c>
      <c r="K740" s="19" t="str">
        <f>IF(OR(H740="",J740=""),"",IF(H740*J740=0,"",H740*J740))</f>
        <v/>
      </c>
      <c r="L740" s="19" t="str">
        <f>IF(A740="","",IFERROR(IF(SUMPRODUCT((ISNUMBER(A$2:A740))*(A$2:A740&gt;1000)*(MONTH(IF(ISNUMBER(A$2:A740),A$2:A740,1))=MONTH(A740))*(YEAR(IF(ISNUMBER(A$2:A740),A$2:A740,1))=YEAR(A740))*IF(ISNUMBER(K$2:K740),K$2:K740,0))=0,"",SUMPRODUCT((ISNUMBER(A$2:A740))*(A$2:A740&gt;1000)*(MONTH(IF(ISNUMBER(A$2:A740),A$2:A740,1))=MONTH(A740))*(YEAR(IF(ISNUMBER(A$2:A740),A$2:A740,1))=YEAR(A740))*IF(ISNUMBER(K$2:K740),K$2:K740,0))),""))</f>
        <v/>
      </c>
      <c r="M740" s="21" t="str">
        <f>IF(A740="","",IFERROR(IF(SUMIF(N$2:N740,"CASA",K$2:K740)=0,"",SUMIF(N$2:N740,"CASA",K$2:K740)),""))</f>
        <v/>
      </c>
      <c r="N740" s="17" t="str">
        <f>IF(J740="","",IF(J740=0.2,"CASA",IF(Dati!G740="","",Dati!G740)))</f>
        <v/>
      </c>
    </row>
    <row r="741" spans="1:14" ht="15" customHeight="1" x14ac:dyDescent="0.2">
      <c r="A741" s="23" t="str">
        <f>IF(Dati!A741="","",Dati!A741)</f>
        <v/>
      </c>
      <c r="B741" s="17" t="str">
        <f>IF(Dati!B741="","",Dati!B741)</f>
        <v/>
      </c>
      <c r="C741" s="17" t="str">
        <f>IF(B741="","",IF(ISNUMBER(B740),IF(B741-B740&lt;0,B741,IF(B741-B740=0,"",B741-B740)),B741))</f>
        <v/>
      </c>
      <c r="D741" s="18" t="str">
        <f>IF(Dati!C741="","",IF(Dati!C741&gt;1,Dati!C741/100,Dati!C741))</f>
        <v/>
      </c>
      <c r="E741" s="18" t="str">
        <f>IF(Dati!D741="","",IF(Dati!D741&gt;1,Dati!D741/100,Dati!D741))</f>
        <v/>
      </c>
      <c r="F741" s="18" t="str">
        <f>IF(OR(D741="",E741=""),"",IF(OR(D741&gt;1,E741&gt;1),(E741-D741)/100,E741-D741))</f>
        <v/>
      </c>
      <c r="G741" s="17" t="str">
        <f>IF(F741="","",IF(64*F741=0,"",64*F741))</f>
        <v/>
      </c>
      <c r="H741" s="19" t="str">
        <f>IF(Dati!E741="","",Dati!E741)</f>
        <v/>
      </c>
      <c r="I741" s="19" t="str">
        <f>IFERROR(IF(OR(C741="",C741=0),"",H741/C741*100),"")</f>
        <v/>
      </c>
      <c r="J741" s="20" t="str">
        <f>IF(Dati!F741="","",Dati!F741)</f>
        <v/>
      </c>
      <c r="K741" s="19" t="str">
        <f>IF(OR(H741="",J741=""),"",IF(H741*J741=0,"",H741*J741))</f>
        <v/>
      </c>
      <c r="L741" s="19" t="str">
        <f>IF(A741="","",IFERROR(IF(SUMPRODUCT((ISNUMBER(A$2:A741))*(A$2:A741&gt;1000)*(MONTH(IF(ISNUMBER(A$2:A741),A$2:A741,1))=MONTH(A741))*(YEAR(IF(ISNUMBER(A$2:A741),A$2:A741,1))=YEAR(A741))*IF(ISNUMBER(K$2:K741),K$2:K741,0))=0,"",SUMPRODUCT((ISNUMBER(A$2:A741))*(A$2:A741&gt;1000)*(MONTH(IF(ISNUMBER(A$2:A741),A$2:A741,1))=MONTH(A741))*(YEAR(IF(ISNUMBER(A$2:A741),A$2:A741,1))=YEAR(A741))*IF(ISNUMBER(K$2:K741),K$2:K741,0))),""))</f>
        <v/>
      </c>
      <c r="M741" s="21" t="str">
        <f>IF(A741="","",IFERROR(IF(SUMIF(N$2:N741,"CASA",K$2:K741)=0,"",SUMIF(N$2:N741,"CASA",K$2:K741)),""))</f>
        <v/>
      </c>
      <c r="N741" s="17" t="str">
        <f>IF(J741="","",IF(J741=0.2,"CASA",IF(Dati!G741="","",Dati!G741)))</f>
        <v/>
      </c>
    </row>
    <row r="742" spans="1:14" ht="15" customHeight="1" x14ac:dyDescent="0.2">
      <c r="A742" s="23" t="str">
        <f>IF(Dati!A742="","",Dati!A742)</f>
        <v/>
      </c>
      <c r="B742" s="17" t="str">
        <f>IF(Dati!B742="","",Dati!B742)</f>
        <v/>
      </c>
      <c r="C742" s="17" t="str">
        <f>IF(B742="","",IF(ISNUMBER(B741),IF(B742-B741&lt;0,B742,IF(B742-B741=0,"",B742-B741)),B742))</f>
        <v/>
      </c>
      <c r="D742" s="18" t="str">
        <f>IF(Dati!C742="","",IF(Dati!C742&gt;1,Dati!C742/100,Dati!C742))</f>
        <v/>
      </c>
      <c r="E742" s="18" t="str">
        <f>IF(Dati!D742="","",IF(Dati!D742&gt;1,Dati!D742/100,Dati!D742))</f>
        <v/>
      </c>
      <c r="F742" s="18" t="str">
        <f>IF(OR(D742="",E742=""),"",IF(OR(D742&gt;1,E742&gt;1),(E742-D742)/100,E742-D742))</f>
        <v/>
      </c>
      <c r="G742" s="17" t="str">
        <f>IF(F742="","",IF(64*F742=0,"",64*F742))</f>
        <v/>
      </c>
      <c r="H742" s="19" t="str">
        <f>IF(Dati!E742="","",Dati!E742)</f>
        <v/>
      </c>
      <c r="I742" s="19" t="str">
        <f>IFERROR(IF(OR(C742="",C742=0),"",H742/C742*100),"")</f>
        <v/>
      </c>
      <c r="J742" s="20" t="str">
        <f>IF(Dati!F742="","",Dati!F742)</f>
        <v/>
      </c>
      <c r="K742" s="19" t="str">
        <f>IF(OR(H742="",J742=""),"",IF(H742*J742=0,"",H742*J742))</f>
        <v/>
      </c>
      <c r="L742" s="19" t="str">
        <f>IF(A742="","",IFERROR(IF(SUMPRODUCT((ISNUMBER(A$2:A742))*(A$2:A742&gt;1000)*(MONTH(IF(ISNUMBER(A$2:A742),A$2:A742,1))=MONTH(A742))*(YEAR(IF(ISNUMBER(A$2:A742),A$2:A742,1))=YEAR(A742))*IF(ISNUMBER(K$2:K742),K$2:K742,0))=0,"",SUMPRODUCT((ISNUMBER(A$2:A742))*(A$2:A742&gt;1000)*(MONTH(IF(ISNUMBER(A$2:A742),A$2:A742,1))=MONTH(A742))*(YEAR(IF(ISNUMBER(A$2:A742),A$2:A742,1))=YEAR(A742))*IF(ISNUMBER(K$2:K742),K$2:K742,0))),""))</f>
        <v/>
      </c>
      <c r="M742" s="21" t="str">
        <f>IF(A742="","",IFERROR(IF(SUMIF(N$2:N742,"CASA",K$2:K742)=0,"",SUMIF(N$2:N742,"CASA",K$2:K742)),""))</f>
        <v/>
      </c>
      <c r="N742" s="17" t="str">
        <f>IF(J742="","",IF(J742=0.2,"CASA",IF(Dati!G742="","",Dati!G742)))</f>
        <v/>
      </c>
    </row>
    <row r="743" spans="1:14" ht="15" customHeight="1" x14ac:dyDescent="0.2">
      <c r="A743" s="23" t="str">
        <f>IF(Dati!A743="","",Dati!A743)</f>
        <v/>
      </c>
      <c r="B743" s="17" t="str">
        <f>IF(Dati!B743="","",Dati!B743)</f>
        <v/>
      </c>
      <c r="C743" s="17" t="str">
        <f>IF(B743="","",IF(ISNUMBER(B742),IF(B743-B742&lt;0,B743,IF(B743-B742=0,"",B743-B742)),B743))</f>
        <v/>
      </c>
      <c r="D743" s="18" t="str">
        <f>IF(Dati!C743="","",IF(Dati!C743&gt;1,Dati!C743/100,Dati!C743))</f>
        <v/>
      </c>
      <c r="E743" s="18" t="str">
        <f>IF(Dati!D743="","",IF(Dati!D743&gt;1,Dati!D743/100,Dati!D743))</f>
        <v/>
      </c>
      <c r="F743" s="18" t="str">
        <f>IF(OR(D743="",E743=""),"",IF(OR(D743&gt;1,E743&gt;1),(E743-D743)/100,E743-D743))</f>
        <v/>
      </c>
      <c r="G743" s="17" t="str">
        <f>IF(F743="","",IF(64*F743=0,"",64*F743))</f>
        <v/>
      </c>
      <c r="H743" s="19" t="str">
        <f>IF(Dati!E743="","",Dati!E743)</f>
        <v/>
      </c>
      <c r="I743" s="19" t="str">
        <f>IFERROR(IF(OR(C743="",C743=0),"",H743/C743*100),"")</f>
        <v/>
      </c>
      <c r="J743" s="20" t="str">
        <f>IF(Dati!F743="","",Dati!F743)</f>
        <v/>
      </c>
      <c r="K743" s="19" t="str">
        <f>IF(OR(H743="",J743=""),"",IF(H743*J743=0,"",H743*J743))</f>
        <v/>
      </c>
      <c r="L743" s="19" t="str">
        <f>IF(A743="","",IFERROR(IF(SUMPRODUCT((ISNUMBER(A$2:A743))*(A$2:A743&gt;1000)*(MONTH(IF(ISNUMBER(A$2:A743),A$2:A743,1))=MONTH(A743))*(YEAR(IF(ISNUMBER(A$2:A743),A$2:A743,1))=YEAR(A743))*IF(ISNUMBER(K$2:K743),K$2:K743,0))=0,"",SUMPRODUCT((ISNUMBER(A$2:A743))*(A$2:A743&gt;1000)*(MONTH(IF(ISNUMBER(A$2:A743),A$2:A743,1))=MONTH(A743))*(YEAR(IF(ISNUMBER(A$2:A743),A$2:A743,1))=YEAR(A743))*IF(ISNUMBER(K$2:K743),K$2:K743,0))),""))</f>
        <v/>
      </c>
      <c r="M743" s="21" t="str">
        <f>IF(A743="","",IFERROR(IF(SUMIF(N$2:N743,"CASA",K$2:K743)=0,"",SUMIF(N$2:N743,"CASA",K$2:K743)),""))</f>
        <v/>
      </c>
      <c r="N743" s="17" t="str">
        <f>IF(J743="","",IF(J743=0.2,"CASA",IF(Dati!G743="","",Dati!G743)))</f>
        <v/>
      </c>
    </row>
    <row r="744" spans="1:14" ht="15" customHeight="1" x14ac:dyDescent="0.2">
      <c r="A744" s="23" t="str">
        <f>IF(Dati!A744="","",Dati!A744)</f>
        <v/>
      </c>
      <c r="B744" s="17" t="str">
        <f>IF(Dati!B744="","",Dati!B744)</f>
        <v/>
      </c>
      <c r="C744" s="17" t="str">
        <f>IF(B744="","",IF(ISNUMBER(B743),IF(B744-B743&lt;0,B744,IF(B744-B743=0,"",B744-B743)),B744))</f>
        <v/>
      </c>
      <c r="D744" s="18" t="str">
        <f>IF(Dati!C744="","",IF(Dati!C744&gt;1,Dati!C744/100,Dati!C744))</f>
        <v/>
      </c>
      <c r="E744" s="18" t="str">
        <f>IF(Dati!D744="","",IF(Dati!D744&gt;1,Dati!D744/100,Dati!D744))</f>
        <v/>
      </c>
      <c r="F744" s="18" t="str">
        <f>IF(OR(D744="",E744=""),"",IF(OR(D744&gt;1,E744&gt;1),(E744-D744)/100,E744-D744))</f>
        <v/>
      </c>
      <c r="G744" s="17" t="str">
        <f>IF(F744="","",IF(64*F744=0,"",64*F744))</f>
        <v/>
      </c>
      <c r="H744" s="19" t="str">
        <f>IF(Dati!E744="","",Dati!E744)</f>
        <v/>
      </c>
      <c r="I744" s="19" t="str">
        <f>IFERROR(IF(OR(C744="",C744=0),"",H744/C744*100),"")</f>
        <v/>
      </c>
      <c r="J744" s="20" t="str">
        <f>IF(Dati!F744="","",Dati!F744)</f>
        <v/>
      </c>
      <c r="K744" s="19" t="str">
        <f>IF(OR(H744="",J744=""),"",IF(H744*J744=0,"",H744*J744))</f>
        <v/>
      </c>
      <c r="L744" s="19" t="str">
        <f>IF(A744="","",IFERROR(IF(SUMPRODUCT((ISNUMBER(A$2:A744))*(A$2:A744&gt;1000)*(MONTH(IF(ISNUMBER(A$2:A744),A$2:A744,1))=MONTH(A744))*(YEAR(IF(ISNUMBER(A$2:A744),A$2:A744,1))=YEAR(A744))*IF(ISNUMBER(K$2:K744),K$2:K744,0))=0,"",SUMPRODUCT((ISNUMBER(A$2:A744))*(A$2:A744&gt;1000)*(MONTH(IF(ISNUMBER(A$2:A744),A$2:A744,1))=MONTH(A744))*(YEAR(IF(ISNUMBER(A$2:A744),A$2:A744,1))=YEAR(A744))*IF(ISNUMBER(K$2:K744),K$2:K744,0))),""))</f>
        <v/>
      </c>
      <c r="M744" s="21" t="str">
        <f>IF(A744="","",IFERROR(IF(SUMIF(N$2:N744,"CASA",K$2:K744)=0,"",SUMIF(N$2:N744,"CASA",K$2:K744)),""))</f>
        <v/>
      </c>
      <c r="N744" s="17" t="str">
        <f>IF(J744="","",IF(J744=0.2,"CASA",IF(Dati!G744="","",Dati!G744)))</f>
        <v/>
      </c>
    </row>
    <row r="745" spans="1:14" ht="15" customHeight="1" x14ac:dyDescent="0.2">
      <c r="A745" s="23" t="str">
        <f>IF(Dati!A745="","",Dati!A745)</f>
        <v/>
      </c>
      <c r="B745" s="17" t="str">
        <f>IF(Dati!B745="","",Dati!B745)</f>
        <v/>
      </c>
      <c r="C745" s="17" t="str">
        <f>IF(B745="","",IF(ISNUMBER(B744),IF(B745-B744&lt;0,B745,IF(B745-B744=0,"",B745-B744)),B745))</f>
        <v/>
      </c>
      <c r="D745" s="18" t="str">
        <f>IF(Dati!C745="","",IF(Dati!C745&gt;1,Dati!C745/100,Dati!C745))</f>
        <v/>
      </c>
      <c r="E745" s="18" t="str">
        <f>IF(Dati!D745="","",IF(Dati!D745&gt;1,Dati!D745/100,Dati!D745))</f>
        <v/>
      </c>
      <c r="F745" s="18" t="str">
        <f>IF(OR(D745="",E745=""),"",IF(OR(D745&gt;1,E745&gt;1),(E745-D745)/100,E745-D745))</f>
        <v/>
      </c>
      <c r="G745" s="17" t="str">
        <f>IF(F745="","",IF(64*F745=0,"",64*F745))</f>
        <v/>
      </c>
      <c r="H745" s="19" t="str">
        <f>IF(Dati!E745="","",Dati!E745)</f>
        <v/>
      </c>
      <c r="I745" s="19" t="str">
        <f>IFERROR(IF(OR(C745="",C745=0),"",H745/C745*100),"")</f>
        <v/>
      </c>
      <c r="J745" s="20" t="str">
        <f>IF(Dati!F745="","",Dati!F745)</f>
        <v/>
      </c>
      <c r="K745" s="19" t="str">
        <f>IF(OR(H745="",J745=""),"",IF(H745*J745=0,"",H745*J745))</f>
        <v/>
      </c>
      <c r="L745" s="19" t="str">
        <f>IF(A745="","",IFERROR(IF(SUMPRODUCT((ISNUMBER(A$2:A745))*(A$2:A745&gt;1000)*(MONTH(IF(ISNUMBER(A$2:A745),A$2:A745,1))=MONTH(A745))*(YEAR(IF(ISNUMBER(A$2:A745),A$2:A745,1))=YEAR(A745))*IF(ISNUMBER(K$2:K745),K$2:K745,0))=0,"",SUMPRODUCT((ISNUMBER(A$2:A745))*(A$2:A745&gt;1000)*(MONTH(IF(ISNUMBER(A$2:A745),A$2:A745,1))=MONTH(A745))*(YEAR(IF(ISNUMBER(A$2:A745),A$2:A745,1))=YEAR(A745))*IF(ISNUMBER(K$2:K745),K$2:K745,0))),""))</f>
        <v/>
      </c>
      <c r="M745" s="21" t="str">
        <f>IF(A745="","",IFERROR(IF(SUMIF(N$2:N745,"CASA",K$2:K745)=0,"",SUMIF(N$2:N745,"CASA",K$2:K745)),""))</f>
        <v/>
      </c>
      <c r="N745" s="17" t="str">
        <f>IF(J745="","",IF(J745=0.2,"CASA",IF(Dati!G745="","",Dati!G745)))</f>
        <v/>
      </c>
    </row>
    <row r="746" spans="1:14" ht="15" customHeight="1" x14ac:dyDescent="0.2">
      <c r="A746" s="23" t="str">
        <f>IF(Dati!A746="","",Dati!A746)</f>
        <v/>
      </c>
      <c r="B746" s="17" t="str">
        <f>IF(Dati!B746="","",Dati!B746)</f>
        <v/>
      </c>
      <c r="C746" s="17" t="str">
        <f>IF(B746="","",IF(ISNUMBER(B745),IF(B746-B745&lt;0,B746,IF(B746-B745=0,"",B746-B745)),B746))</f>
        <v/>
      </c>
      <c r="D746" s="18" t="str">
        <f>IF(Dati!C746="","",IF(Dati!C746&gt;1,Dati!C746/100,Dati!C746))</f>
        <v/>
      </c>
      <c r="E746" s="18" t="str">
        <f>IF(Dati!D746="","",IF(Dati!D746&gt;1,Dati!D746/100,Dati!D746))</f>
        <v/>
      </c>
      <c r="F746" s="18" t="str">
        <f>IF(OR(D746="",E746=""),"",IF(OR(D746&gt;1,E746&gt;1),(E746-D746)/100,E746-D746))</f>
        <v/>
      </c>
      <c r="G746" s="17" t="str">
        <f>IF(F746="","",IF(64*F746=0,"",64*F746))</f>
        <v/>
      </c>
      <c r="H746" s="19" t="str">
        <f>IF(Dati!E746="","",Dati!E746)</f>
        <v/>
      </c>
      <c r="I746" s="19" t="str">
        <f>IFERROR(IF(OR(C746="",C746=0),"",H746/C746*100),"")</f>
        <v/>
      </c>
      <c r="J746" s="20" t="str">
        <f>IF(Dati!F746="","",Dati!F746)</f>
        <v/>
      </c>
      <c r="K746" s="19" t="str">
        <f>IF(OR(H746="",J746=""),"",IF(H746*J746=0,"",H746*J746))</f>
        <v/>
      </c>
      <c r="L746" s="19" t="str">
        <f>IF(A746="","",IFERROR(IF(SUMPRODUCT((ISNUMBER(A$2:A746))*(A$2:A746&gt;1000)*(MONTH(IF(ISNUMBER(A$2:A746),A$2:A746,1))=MONTH(A746))*(YEAR(IF(ISNUMBER(A$2:A746),A$2:A746,1))=YEAR(A746))*IF(ISNUMBER(K$2:K746),K$2:K746,0))=0,"",SUMPRODUCT((ISNUMBER(A$2:A746))*(A$2:A746&gt;1000)*(MONTH(IF(ISNUMBER(A$2:A746),A$2:A746,1))=MONTH(A746))*(YEAR(IF(ISNUMBER(A$2:A746),A$2:A746,1))=YEAR(A746))*IF(ISNUMBER(K$2:K746),K$2:K746,0))),""))</f>
        <v/>
      </c>
      <c r="M746" s="21" t="str">
        <f>IF(A746="","",IFERROR(IF(SUMIF(N$2:N746,"CASA",K$2:K746)=0,"",SUMIF(N$2:N746,"CASA",K$2:K746)),""))</f>
        <v/>
      </c>
      <c r="N746" s="17" t="str">
        <f>IF(J746="","",IF(J746=0.2,"CASA",IF(Dati!G746="","",Dati!G746)))</f>
        <v/>
      </c>
    </row>
    <row r="747" spans="1:14" ht="15" customHeight="1" x14ac:dyDescent="0.2">
      <c r="A747" s="23" t="str">
        <f>IF(Dati!A747="","",Dati!A747)</f>
        <v/>
      </c>
      <c r="B747" s="17" t="str">
        <f>IF(Dati!B747="","",Dati!B747)</f>
        <v/>
      </c>
      <c r="C747" s="17" t="str">
        <f>IF(B747="","",IF(ISNUMBER(B746),IF(B747-B746&lt;0,B747,IF(B747-B746=0,"",B747-B746)),B747))</f>
        <v/>
      </c>
      <c r="D747" s="18" t="str">
        <f>IF(Dati!C747="","",IF(Dati!C747&gt;1,Dati!C747/100,Dati!C747))</f>
        <v/>
      </c>
      <c r="E747" s="18" t="str">
        <f>IF(Dati!D747="","",IF(Dati!D747&gt;1,Dati!D747/100,Dati!D747))</f>
        <v/>
      </c>
      <c r="F747" s="18" t="str">
        <f>IF(OR(D747="",E747=""),"",IF(OR(D747&gt;1,E747&gt;1),(E747-D747)/100,E747-D747))</f>
        <v/>
      </c>
      <c r="G747" s="17" t="str">
        <f>IF(F747="","",IF(64*F747=0,"",64*F747))</f>
        <v/>
      </c>
      <c r="H747" s="19" t="str">
        <f>IF(Dati!E747="","",Dati!E747)</f>
        <v/>
      </c>
      <c r="I747" s="19" t="str">
        <f>IFERROR(IF(OR(C747="",C747=0),"",H747/C747*100),"")</f>
        <v/>
      </c>
      <c r="J747" s="20" t="str">
        <f>IF(Dati!F747="","",Dati!F747)</f>
        <v/>
      </c>
      <c r="K747" s="19" t="str">
        <f>IF(OR(H747="",J747=""),"",IF(H747*J747=0,"",H747*J747))</f>
        <v/>
      </c>
      <c r="L747" s="19" t="str">
        <f>IF(A747="","",IFERROR(IF(SUMPRODUCT((ISNUMBER(A$2:A747))*(A$2:A747&gt;1000)*(MONTH(IF(ISNUMBER(A$2:A747),A$2:A747,1))=MONTH(A747))*(YEAR(IF(ISNUMBER(A$2:A747),A$2:A747,1))=YEAR(A747))*IF(ISNUMBER(K$2:K747),K$2:K747,0))=0,"",SUMPRODUCT((ISNUMBER(A$2:A747))*(A$2:A747&gt;1000)*(MONTH(IF(ISNUMBER(A$2:A747),A$2:A747,1))=MONTH(A747))*(YEAR(IF(ISNUMBER(A$2:A747),A$2:A747,1))=YEAR(A747))*IF(ISNUMBER(K$2:K747),K$2:K747,0))),""))</f>
        <v/>
      </c>
      <c r="M747" s="21" t="str">
        <f>IF(A747="","",IFERROR(IF(SUMIF(N$2:N747,"CASA",K$2:K747)=0,"",SUMIF(N$2:N747,"CASA",K$2:K747)),""))</f>
        <v/>
      </c>
      <c r="N747" s="17" t="str">
        <f>IF(J747="","",IF(J747=0.2,"CASA",IF(Dati!G747="","",Dati!G747)))</f>
        <v/>
      </c>
    </row>
    <row r="748" spans="1:14" ht="15" customHeight="1" x14ac:dyDescent="0.2">
      <c r="A748" s="23" t="str">
        <f>IF(Dati!A748="","",Dati!A748)</f>
        <v/>
      </c>
      <c r="B748" s="17" t="str">
        <f>IF(Dati!B748="","",Dati!B748)</f>
        <v/>
      </c>
      <c r="C748" s="17" t="str">
        <f>IF(B748="","",IF(ISNUMBER(B747),IF(B748-B747&lt;0,B748,IF(B748-B747=0,"",B748-B747)),B748))</f>
        <v/>
      </c>
      <c r="D748" s="18" t="str">
        <f>IF(Dati!C748="","",IF(Dati!C748&gt;1,Dati!C748/100,Dati!C748))</f>
        <v/>
      </c>
      <c r="E748" s="18" t="str">
        <f>IF(Dati!D748="","",IF(Dati!D748&gt;1,Dati!D748/100,Dati!D748))</f>
        <v/>
      </c>
      <c r="F748" s="18" t="str">
        <f>IF(OR(D748="",E748=""),"",IF(OR(D748&gt;1,E748&gt;1),(E748-D748)/100,E748-D748))</f>
        <v/>
      </c>
      <c r="G748" s="17" t="str">
        <f>IF(F748="","",IF(64*F748=0,"",64*F748))</f>
        <v/>
      </c>
      <c r="H748" s="19" t="str">
        <f>IF(Dati!E748="","",Dati!E748)</f>
        <v/>
      </c>
      <c r="I748" s="19" t="str">
        <f>IFERROR(IF(OR(C748="",C748=0),"",H748/C748*100),"")</f>
        <v/>
      </c>
      <c r="J748" s="20" t="str">
        <f>IF(Dati!F748="","",Dati!F748)</f>
        <v/>
      </c>
      <c r="K748" s="19" t="str">
        <f>IF(OR(H748="",J748=""),"",IF(H748*J748=0,"",H748*J748))</f>
        <v/>
      </c>
      <c r="L748" s="19" t="str">
        <f>IF(A748="","",IFERROR(IF(SUMPRODUCT((ISNUMBER(A$2:A748))*(A$2:A748&gt;1000)*(MONTH(IF(ISNUMBER(A$2:A748),A$2:A748,1))=MONTH(A748))*(YEAR(IF(ISNUMBER(A$2:A748),A$2:A748,1))=YEAR(A748))*IF(ISNUMBER(K$2:K748),K$2:K748,0))=0,"",SUMPRODUCT((ISNUMBER(A$2:A748))*(A$2:A748&gt;1000)*(MONTH(IF(ISNUMBER(A$2:A748),A$2:A748,1))=MONTH(A748))*(YEAR(IF(ISNUMBER(A$2:A748),A$2:A748,1))=YEAR(A748))*IF(ISNUMBER(K$2:K748),K$2:K748,0))),""))</f>
        <v/>
      </c>
      <c r="M748" s="21" t="str">
        <f>IF(A748="","",IFERROR(IF(SUMIF(N$2:N748,"CASA",K$2:K748)=0,"",SUMIF(N$2:N748,"CASA",K$2:K748)),""))</f>
        <v/>
      </c>
      <c r="N748" s="17" t="str">
        <f>IF(J748="","",IF(J748=0.2,"CASA",IF(Dati!G748="","",Dati!G748)))</f>
        <v/>
      </c>
    </row>
    <row r="749" spans="1:14" ht="15" customHeight="1" x14ac:dyDescent="0.2">
      <c r="A749" s="23" t="str">
        <f>IF(Dati!A749="","",Dati!A749)</f>
        <v/>
      </c>
      <c r="B749" s="17" t="str">
        <f>IF(Dati!B749="","",Dati!B749)</f>
        <v/>
      </c>
      <c r="C749" s="17" t="str">
        <f>IF(B749="","",IF(ISNUMBER(B748),IF(B749-B748&lt;0,B749,IF(B749-B748=0,"",B749-B748)),B749))</f>
        <v/>
      </c>
      <c r="D749" s="18" t="str">
        <f>IF(Dati!C749="","",IF(Dati!C749&gt;1,Dati!C749/100,Dati!C749))</f>
        <v/>
      </c>
      <c r="E749" s="18" t="str">
        <f>IF(Dati!D749="","",IF(Dati!D749&gt;1,Dati!D749/100,Dati!D749))</f>
        <v/>
      </c>
      <c r="F749" s="18" t="str">
        <f>IF(OR(D749="",E749=""),"",IF(OR(D749&gt;1,E749&gt;1),(E749-D749)/100,E749-D749))</f>
        <v/>
      </c>
      <c r="G749" s="17" t="str">
        <f>IF(F749="","",IF(64*F749=0,"",64*F749))</f>
        <v/>
      </c>
      <c r="H749" s="19" t="str">
        <f>IF(Dati!E749="","",Dati!E749)</f>
        <v/>
      </c>
      <c r="I749" s="19" t="str">
        <f>IFERROR(IF(OR(C749="",C749=0),"",H749/C749*100),"")</f>
        <v/>
      </c>
      <c r="J749" s="20" t="str">
        <f>IF(Dati!F749="","",Dati!F749)</f>
        <v/>
      </c>
      <c r="K749" s="19" t="str">
        <f>IF(OR(H749="",J749=""),"",IF(H749*J749=0,"",H749*J749))</f>
        <v/>
      </c>
      <c r="L749" s="19" t="str">
        <f>IF(A749="","",IFERROR(IF(SUMPRODUCT((ISNUMBER(A$2:A749))*(A$2:A749&gt;1000)*(MONTH(IF(ISNUMBER(A$2:A749),A$2:A749,1))=MONTH(A749))*(YEAR(IF(ISNUMBER(A$2:A749),A$2:A749,1))=YEAR(A749))*IF(ISNUMBER(K$2:K749),K$2:K749,0))=0,"",SUMPRODUCT((ISNUMBER(A$2:A749))*(A$2:A749&gt;1000)*(MONTH(IF(ISNUMBER(A$2:A749),A$2:A749,1))=MONTH(A749))*(YEAR(IF(ISNUMBER(A$2:A749),A$2:A749,1))=YEAR(A749))*IF(ISNUMBER(K$2:K749),K$2:K749,0))),""))</f>
        <v/>
      </c>
      <c r="M749" s="21" t="str">
        <f>IF(A749="","",IFERROR(IF(SUMIF(N$2:N749,"CASA",K$2:K749)=0,"",SUMIF(N$2:N749,"CASA",K$2:K749)),""))</f>
        <v/>
      </c>
      <c r="N749" s="17" t="str">
        <f>IF(J749="","",IF(J749=0.2,"CASA",IF(Dati!G749="","",Dati!G749)))</f>
        <v/>
      </c>
    </row>
    <row r="750" spans="1:14" ht="15" customHeight="1" x14ac:dyDescent="0.2">
      <c r="A750" s="23" t="str">
        <f>IF(Dati!A750="","",Dati!A750)</f>
        <v/>
      </c>
      <c r="B750" s="17" t="str">
        <f>IF(Dati!B750="","",Dati!B750)</f>
        <v/>
      </c>
      <c r="C750" s="17" t="str">
        <f>IF(B750="","",IF(ISNUMBER(B749),IF(B750-B749&lt;0,B750,IF(B750-B749=0,"",B750-B749)),B750))</f>
        <v/>
      </c>
      <c r="D750" s="18" t="str">
        <f>IF(Dati!C750="","",IF(Dati!C750&gt;1,Dati!C750/100,Dati!C750))</f>
        <v/>
      </c>
      <c r="E750" s="18" t="str">
        <f>IF(Dati!D750="","",IF(Dati!D750&gt;1,Dati!D750/100,Dati!D750))</f>
        <v/>
      </c>
      <c r="F750" s="18" t="str">
        <f>IF(OR(D750="",E750=""),"",IF(OR(D750&gt;1,E750&gt;1),(E750-D750)/100,E750-D750))</f>
        <v/>
      </c>
      <c r="G750" s="17" t="str">
        <f>IF(F750="","",IF(64*F750=0,"",64*F750))</f>
        <v/>
      </c>
      <c r="H750" s="19" t="str">
        <f>IF(Dati!E750="","",Dati!E750)</f>
        <v/>
      </c>
      <c r="I750" s="19" t="str">
        <f>IFERROR(IF(OR(C750="",C750=0),"",H750/C750*100),"")</f>
        <v/>
      </c>
      <c r="J750" s="20" t="str">
        <f>IF(Dati!F750="","",Dati!F750)</f>
        <v/>
      </c>
      <c r="K750" s="19" t="str">
        <f>IF(OR(H750="",J750=""),"",IF(H750*J750=0,"",H750*J750))</f>
        <v/>
      </c>
      <c r="L750" s="19" t="str">
        <f>IF(A750="","",IFERROR(IF(SUMPRODUCT((ISNUMBER(A$2:A750))*(A$2:A750&gt;1000)*(MONTH(IF(ISNUMBER(A$2:A750),A$2:A750,1))=MONTH(A750))*(YEAR(IF(ISNUMBER(A$2:A750),A$2:A750,1))=YEAR(A750))*IF(ISNUMBER(K$2:K750),K$2:K750,0))=0,"",SUMPRODUCT((ISNUMBER(A$2:A750))*(A$2:A750&gt;1000)*(MONTH(IF(ISNUMBER(A$2:A750),A$2:A750,1))=MONTH(A750))*(YEAR(IF(ISNUMBER(A$2:A750),A$2:A750,1))=YEAR(A750))*IF(ISNUMBER(K$2:K750),K$2:K750,0))),""))</f>
        <v/>
      </c>
      <c r="M750" s="21" t="str">
        <f>IF(A750="","",IFERROR(IF(SUMIF(N$2:N750,"CASA",K$2:K750)=0,"",SUMIF(N$2:N750,"CASA",K$2:K750)),""))</f>
        <v/>
      </c>
      <c r="N750" s="17" t="str">
        <f>IF(J750="","",IF(J750=0.2,"CASA",IF(Dati!G750="","",Dati!G750)))</f>
        <v/>
      </c>
    </row>
    <row r="751" spans="1:14" ht="15" customHeight="1" x14ac:dyDescent="0.2">
      <c r="A751" s="23" t="str">
        <f>IF(Dati!A751="","",Dati!A751)</f>
        <v/>
      </c>
      <c r="B751" s="17" t="str">
        <f>IF(Dati!B751="","",Dati!B751)</f>
        <v/>
      </c>
      <c r="C751" s="17" t="str">
        <f>IF(B751="","",IF(ISNUMBER(B750),IF(B751-B750&lt;0,B751,IF(B751-B750=0,"",B751-B750)),B751))</f>
        <v/>
      </c>
      <c r="D751" s="18" t="str">
        <f>IF(Dati!C751="","",IF(Dati!C751&gt;1,Dati!C751/100,Dati!C751))</f>
        <v/>
      </c>
      <c r="E751" s="18" t="str">
        <f>IF(Dati!D751="","",IF(Dati!D751&gt;1,Dati!D751/100,Dati!D751))</f>
        <v/>
      </c>
      <c r="F751" s="18" t="str">
        <f>IF(OR(D751="",E751=""),"",IF(OR(D751&gt;1,E751&gt;1),(E751-D751)/100,E751-D751))</f>
        <v/>
      </c>
      <c r="G751" s="17" t="str">
        <f>IF(F751="","",IF(64*F751=0,"",64*F751))</f>
        <v/>
      </c>
      <c r="H751" s="19" t="str">
        <f>IF(Dati!E751="","",Dati!E751)</f>
        <v/>
      </c>
      <c r="I751" s="19" t="str">
        <f>IFERROR(IF(OR(C751="",C751=0),"",H751/C751*100),"")</f>
        <v/>
      </c>
      <c r="J751" s="20" t="str">
        <f>IF(Dati!F751="","",Dati!F751)</f>
        <v/>
      </c>
      <c r="K751" s="19" t="str">
        <f>IF(OR(H751="",J751=""),"",IF(H751*J751=0,"",H751*J751))</f>
        <v/>
      </c>
      <c r="L751" s="19" t="str">
        <f>IF(A751="","",IFERROR(IF(SUMPRODUCT((ISNUMBER(A$2:A751))*(A$2:A751&gt;1000)*(MONTH(IF(ISNUMBER(A$2:A751),A$2:A751,1))=MONTH(A751))*(YEAR(IF(ISNUMBER(A$2:A751),A$2:A751,1))=YEAR(A751))*IF(ISNUMBER(K$2:K751),K$2:K751,0))=0,"",SUMPRODUCT((ISNUMBER(A$2:A751))*(A$2:A751&gt;1000)*(MONTH(IF(ISNUMBER(A$2:A751),A$2:A751,1))=MONTH(A751))*(YEAR(IF(ISNUMBER(A$2:A751),A$2:A751,1))=YEAR(A751))*IF(ISNUMBER(K$2:K751),K$2:K751,0))),""))</f>
        <v/>
      </c>
      <c r="M751" s="21" t="str">
        <f>IF(A751="","",IFERROR(IF(SUMIF(N$2:N751,"CASA",K$2:K751)=0,"",SUMIF(N$2:N751,"CASA",K$2:K751)),""))</f>
        <v/>
      </c>
      <c r="N751" s="17" t="str">
        <f>IF(J751="","",IF(J751=0.2,"CASA",IF(Dati!G751="","",Dati!G751)))</f>
        <v/>
      </c>
    </row>
    <row r="752" spans="1:14" ht="15" customHeight="1" x14ac:dyDescent="0.2">
      <c r="A752" s="23" t="str">
        <f>IF(Dati!A752="","",Dati!A752)</f>
        <v/>
      </c>
      <c r="B752" s="17" t="str">
        <f>IF(Dati!B752="","",Dati!B752)</f>
        <v/>
      </c>
      <c r="C752" s="17" t="str">
        <f>IF(B752="","",IF(ISNUMBER(B751),IF(B752-B751&lt;0,B752,IF(B752-B751=0,"",B752-B751)),B752))</f>
        <v/>
      </c>
      <c r="D752" s="18" t="str">
        <f>IF(Dati!C752="","",IF(Dati!C752&gt;1,Dati!C752/100,Dati!C752))</f>
        <v/>
      </c>
      <c r="E752" s="18" t="str">
        <f>IF(Dati!D752="","",IF(Dati!D752&gt;1,Dati!D752/100,Dati!D752))</f>
        <v/>
      </c>
      <c r="F752" s="18" t="str">
        <f>IF(OR(D752="",E752=""),"",IF(OR(D752&gt;1,E752&gt;1),(E752-D752)/100,E752-D752))</f>
        <v/>
      </c>
      <c r="G752" s="17" t="str">
        <f>IF(F752="","",IF(64*F752=0,"",64*F752))</f>
        <v/>
      </c>
      <c r="H752" s="19" t="str">
        <f>IF(Dati!E752="","",Dati!E752)</f>
        <v/>
      </c>
      <c r="I752" s="19" t="str">
        <f>IFERROR(IF(OR(C752="",C752=0),"",H752/C752*100),"")</f>
        <v/>
      </c>
      <c r="J752" s="20" t="str">
        <f>IF(Dati!F752="","",Dati!F752)</f>
        <v/>
      </c>
      <c r="K752" s="19" t="str">
        <f>IF(OR(H752="",J752=""),"",IF(H752*J752=0,"",H752*J752))</f>
        <v/>
      </c>
      <c r="L752" s="19" t="str">
        <f>IF(A752="","",IFERROR(IF(SUMPRODUCT((ISNUMBER(A$2:A752))*(A$2:A752&gt;1000)*(MONTH(IF(ISNUMBER(A$2:A752),A$2:A752,1))=MONTH(A752))*(YEAR(IF(ISNUMBER(A$2:A752),A$2:A752,1))=YEAR(A752))*IF(ISNUMBER(K$2:K752),K$2:K752,0))=0,"",SUMPRODUCT((ISNUMBER(A$2:A752))*(A$2:A752&gt;1000)*(MONTH(IF(ISNUMBER(A$2:A752),A$2:A752,1))=MONTH(A752))*(YEAR(IF(ISNUMBER(A$2:A752),A$2:A752,1))=YEAR(A752))*IF(ISNUMBER(K$2:K752),K$2:K752,0))),""))</f>
        <v/>
      </c>
      <c r="M752" s="21" t="str">
        <f>IF(A752="","",IFERROR(IF(SUMIF(N$2:N752,"CASA",K$2:K752)=0,"",SUMIF(N$2:N752,"CASA",K$2:K752)),""))</f>
        <v/>
      </c>
      <c r="N752" s="17" t="str">
        <f>IF(J752="","",IF(J752=0.2,"CASA",IF(Dati!G752="","",Dati!G752)))</f>
        <v/>
      </c>
    </row>
    <row r="753" spans="1:14" ht="15" customHeight="1" x14ac:dyDescent="0.2">
      <c r="A753" s="23" t="str">
        <f>IF(Dati!A753="","",Dati!A753)</f>
        <v/>
      </c>
      <c r="B753" s="17" t="str">
        <f>IF(Dati!B753="","",Dati!B753)</f>
        <v/>
      </c>
      <c r="C753" s="17" t="str">
        <f>IF(B753="","",IF(ISNUMBER(B752),IF(B753-B752&lt;0,B753,IF(B753-B752=0,"",B753-B752)),B753))</f>
        <v/>
      </c>
      <c r="D753" s="18" t="str">
        <f>IF(Dati!C753="","",IF(Dati!C753&gt;1,Dati!C753/100,Dati!C753))</f>
        <v/>
      </c>
      <c r="E753" s="18" t="str">
        <f>IF(Dati!D753="","",IF(Dati!D753&gt;1,Dati!D753/100,Dati!D753))</f>
        <v/>
      </c>
      <c r="F753" s="18" t="str">
        <f>IF(OR(D753="",E753=""),"",IF(OR(D753&gt;1,E753&gt;1),(E753-D753)/100,E753-D753))</f>
        <v/>
      </c>
      <c r="G753" s="17" t="str">
        <f>IF(F753="","",IF(64*F753=0,"",64*F753))</f>
        <v/>
      </c>
      <c r="H753" s="19" t="str">
        <f>IF(Dati!E753="","",Dati!E753)</f>
        <v/>
      </c>
      <c r="I753" s="19" t="str">
        <f>IFERROR(IF(OR(C753="",C753=0),"",H753/C753*100),"")</f>
        <v/>
      </c>
      <c r="J753" s="20" t="str">
        <f>IF(Dati!F753="","",Dati!F753)</f>
        <v/>
      </c>
      <c r="K753" s="19" t="str">
        <f>IF(OR(H753="",J753=""),"",IF(H753*J753=0,"",H753*J753))</f>
        <v/>
      </c>
      <c r="L753" s="19" t="str">
        <f>IF(A753="","",IFERROR(IF(SUMPRODUCT((ISNUMBER(A$2:A753))*(A$2:A753&gt;1000)*(MONTH(IF(ISNUMBER(A$2:A753),A$2:A753,1))=MONTH(A753))*(YEAR(IF(ISNUMBER(A$2:A753),A$2:A753,1))=YEAR(A753))*IF(ISNUMBER(K$2:K753),K$2:K753,0))=0,"",SUMPRODUCT((ISNUMBER(A$2:A753))*(A$2:A753&gt;1000)*(MONTH(IF(ISNUMBER(A$2:A753),A$2:A753,1))=MONTH(A753))*(YEAR(IF(ISNUMBER(A$2:A753),A$2:A753,1))=YEAR(A753))*IF(ISNUMBER(K$2:K753),K$2:K753,0))),""))</f>
        <v/>
      </c>
      <c r="M753" s="21" t="str">
        <f>IF(A753="","",IFERROR(IF(SUMIF(N$2:N753,"CASA",K$2:K753)=0,"",SUMIF(N$2:N753,"CASA",K$2:K753)),""))</f>
        <v/>
      </c>
      <c r="N753" s="17" t="str">
        <f>IF(J753="","",IF(J753=0.2,"CASA",IF(Dati!G753="","",Dati!G753)))</f>
        <v/>
      </c>
    </row>
    <row r="754" spans="1:14" ht="15" customHeight="1" x14ac:dyDescent="0.2">
      <c r="A754" s="23" t="str">
        <f>IF(Dati!A754="","",Dati!A754)</f>
        <v/>
      </c>
      <c r="B754" s="17" t="str">
        <f>IF(Dati!B754="","",Dati!B754)</f>
        <v/>
      </c>
      <c r="C754" s="17" t="str">
        <f>IF(B754="","",IF(ISNUMBER(B753),IF(B754-B753&lt;0,B754,IF(B754-B753=0,"",B754-B753)),B754))</f>
        <v/>
      </c>
      <c r="D754" s="18" t="str">
        <f>IF(Dati!C754="","",IF(Dati!C754&gt;1,Dati!C754/100,Dati!C754))</f>
        <v/>
      </c>
      <c r="E754" s="18" t="str">
        <f>IF(Dati!D754="","",IF(Dati!D754&gt;1,Dati!D754/100,Dati!D754))</f>
        <v/>
      </c>
      <c r="F754" s="18" t="str">
        <f>IF(OR(D754="",E754=""),"",IF(OR(D754&gt;1,E754&gt;1),(E754-D754)/100,E754-D754))</f>
        <v/>
      </c>
      <c r="G754" s="17" t="str">
        <f>IF(F754="","",IF(64*F754=0,"",64*F754))</f>
        <v/>
      </c>
      <c r="H754" s="19" t="str">
        <f>IF(Dati!E754="","",Dati!E754)</f>
        <v/>
      </c>
      <c r="I754" s="19" t="str">
        <f>IFERROR(IF(OR(C754="",C754=0),"",H754/C754*100),"")</f>
        <v/>
      </c>
      <c r="J754" s="20" t="str">
        <f>IF(Dati!F754="","",Dati!F754)</f>
        <v/>
      </c>
      <c r="K754" s="19" t="str">
        <f>IF(OR(H754="",J754=""),"",IF(H754*J754=0,"",H754*J754))</f>
        <v/>
      </c>
      <c r="L754" s="19" t="str">
        <f>IF(A754="","",IFERROR(IF(SUMPRODUCT((ISNUMBER(A$2:A754))*(A$2:A754&gt;1000)*(MONTH(IF(ISNUMBER(A$2:A754),A$2:A754,1))=MONTH(A754))*(YEAR(IF(ISNUMBER(A$2:A754),A$2:A754,1))=YEAR(A754))*IF(ISNUMBER(K$2:K754),K$2:K754,0))=0,"",SUMPRODUCT((ISNUMBER(A$2:A754))*(A$2:A754&gt;1000)*(MONTH(IF(ISNUMBER(A$2:A754),A$2:A754,1))=MONTH(A754))*(YEAR(IF(ISNUMBER(A$2:A754),A$2:A754,1))=YEAR(A754))*IF(ISNUMBER(K$2:K754),K$2:K754,0))),""))</f>
        <v/>
      </c>
      <c r="M754" s="21" t="str">
        <f>IF(A754="","",IFERROR(IF(SUMIF(N$2:N754,"CASA",K$2:K754)=0,"",SUMIF(N$2:N754,"CASA",K$2:K754)),""))</f>
        <v/>
      </c>
      <c r="N754" s="17" t="str">
        <f>IF(J754="","",IF(J754=0.2,"CASA",IF(Dati!G754="","",Dati!G754)))</f>
        <v/>
      </c>
    </row>
    <row r="755" spans="1:14" ht="15" customHeight="1" x14ac:dyDescent="0.2">
      <c r="A755" s="23" t="str">
        <f>IF(Dati!A755="","",Dati!A755)</f>
        <v/>
      </c>
      <c r="B755" s="17" t="str">
        <f>IF(Dati!B755="","",Dati!B755)</f>
        <v/>
      </c>
      <c r="C755" s="17" t="str">
        <f>IF(B755="","",IF(ISNUMBER(B754),IF(B755-B754&lt;0,B755,IF(B755-B754=0,"",B755-B754)),B755))</f>
        <v/>
      </c>
      <c r="D755" s="18" t="str">
        <f>IF(Dati!C755="","",IF(Dati!C755&gt;1,Dati!C755/100,Dati!C755))</f>
        <v/>
      </c>
      <c r="E755" s="18" t="str">
        <f>IF(Dati!D755="","",IF(Dati!D755&gt;1,Dati!D755/100,Dati!D755))</f>
        <v/>
      </c>
      <c r="F755" s="18" t="str">
        <f>IF(OR(D755="",E755=""),"",IF(OR(D755&gt;1,E755&gt;1),(E755-D755)/100,E755-D755))</f>
        <v/>
      </c>
      <c r="G755" s="17" t="str">
        <f>IF(F755="","",IF(64*F755=0,"",64*F755))</f>
        <v/>
      </c>
      <c r="H755" s="19" t="str">
        <f>IF(Dati!E755="","",Dati!E755)</f>
        <v/>
      </c>
      <c r="I755" s="19" t="str">
        <f>IFERROR(IF(OR(C755="",C755=0),"",H755/C755*100),"")</f>
        <v/>
      </c>
      <c r="J755" s="20" t="str">
        <f>IF(Dati!F755="","",Dati!F755)</f>
        <v/>
      </c>
      <c r="K755" s="19" t="str">
        <f>IF(OR(H755="",J755=""),"",IF(H755*J755=0,"",H755*J755))</f>
        <v/>
      </c>
      <c r="L755" s="19" t="str">
        <f>IF(A755="","",IFERROR(IF(SUMPRODUCT((ISNUMBER(A$2:A755))*(A$2:A755&gt;1000)*(MONTH(IF(ISNUMBER(A$2:A755),A$2:A755,1))=MONTH(A755))*(YEAR(IF(ISNUMBER(A$2:A755),A$2:A755,1))=YEAR(A755))*IF(ISNUMBER(K$2:K755),K$2:K755,0))=0,"",SUMPRODUCT((ISNUMBER(A$2:A755))*(A$2:A755&gt;1000)*(MONTH(IF(ISNUMBER(A$2:A755),A$2:A755,1))=MONTH(A755))*(YEAR(IF(ISNUMBER(A$2:A755),A$2:A755,1))=YEAR(A755))*IF(ISNUMBER(K$2:K755),K$2:K755,0))),""))</f>
        <v/>
      </c>
      <c r="M755" s="21" t="str">
        <f>IF(A755="","",IFERROR(IF(SUMIF(N$2:N755,"CASA",K$2:K755)=0,"",SUMIF(N$2:N755,"CASA",K$2:K755)),""))</f>
        <v/>
      </c>
      <c r="N755" s="17" t="str">
        <f>IF(J755="","",IF(J755=0.2,"CASA",IF(Dati!G755="","",Dati!G755)))</f>
        <v/>
      </c>
    </row>
    <row r="756" spans="1:14" ht="15" customHeight="1" x14ac:dyDescent="0.2">
      <c r="A756" s="23" t="str">
        <f>IF(Dati!A756="","",Dati!A756)</f>
        <v/>
      </c>
      <c r="B756" s="17" t="str">
        <f>IF(Dati!B756="","",Dati!B756)</f>
        <v/>
      </c>
      <c r="C756" s="17" t="str">
        <f>IF(B756="","",IF(ISNUMBER(B755),IF(B756-B755&lt;0,B756,IF(B756-B755=0,"",B756-B755)),B756))</f>
        <v/>
      </c>
      <c r="D756" s="18" t="str">
        <f>IF(Dati!C756="","",IF(Dati!C756&gt;1,Dati!C756/100,Dati!C756))</f>
        <v/>
      </c>
      <c r="E756" s="18" t="str">
        <f>IF(Dati!D756="","",IF(Dati!D756&gt;1,Dati!D756/100,Dati!D756))</f>
        <v/>
      </c>
      <c r="F756" s="18" t="str">
        <f>IF(OR(D756="",E756=""),"",IF(OR(D756&gt;1,E756&gt;1),(E756-D756)/100,E756-D756))</f>
        <v/>
      </c>
      <c r="G756" s="17" t="str">
        <f>IF(F756="","",IF(64*F756=0,"",64*F756))</f>
        <v/>
      </c>
      <c r="H756" s="19" t="str">
        <f>IF(Dati!E756="","",Dati!E756)</f>
        <v/>
      </c>
      <c r="I756" s="19" t="str">
        <f>IFERROR(IF(OR(C756="",C756=0),"",H756/C756*100),"")</f>
        <v/>
      </c>
      <c r="J756" s="20" t="str">
        <f>IF(Dati!F756="","",Dati!F756)</f>
        <v/>
      </c>
      <c r="K756" s="19" t="str">
        <f>IF(OR(H756="",J756=""),"",IF(H756*J756=0,"",H756*J756))</f>
        <v/>
      </c>
      <c r="L756" s="19" t="str">
        <f>IF(A756="","",IFERROR(IF(SUMPRODUCT((ISNUMBER(A$2:A756))*(A$2:A756&gt;1000)*(MONTH(IF(ISNUMBER(A$2:A756),A$2:A756,1))=MONTH(A756))*(YEAR(IF(ISNUMBER(A$2:A756),A$2:A756,1))=YEAR(A756))*IF(ISNUMBER(K$2:K756),K$2:K756,0))=0,"",SUMPRODUCT((ISNUMBER(A$2:A756))*(A$2:A756&gt;1000)*(MONTH(IF(ISNUMBER(A$2:A756),A$2:A756,1))=MONTH(A756))*(YEAR(IF(ISNUMBER(A$2:A756),A$2:A756,1))=YEAR(A756))*IF(ISNUMBER(K$2:K756),K$2:K756,0))),""))</f>
        <v/>
      </c>
      <c r="M756" s="21" t="str">
        <f>IF(A756="","",IFERROR(IF(SUMIF(N$2:N756,"CASA",K$2:K756)=0,"",SUMIF(N$2:N756,"CASA",K$2:K756)),""))</f>
        <v/>
      </c>
      <c r="N756" s="17" t="str">
        <f>IF(J756="","",IF(J756=0.2,"CASA",IF(Dati!G756="","",Dati!G756)))</f>
        <v/>
      </c>
    </row>
    <row r="757" spans="1:14" ht="15" customHeight="1" x14ac:dyDescent="0.2">
      <c r="A757" s="23" t="str">
        <f>IF(Dati!A757="","",Dati!A757)</f>
        <v/>
      </c>
      <c r="B757" s="17" t="str">
        <f>IF(Dati!B757="","",Dati!B757)</f>
        <v/>
      </c>
      <c r="C757" s="17" t="str">
        <f>IF(B757="","",IF(ISNUMBER(B756),IF(B757-B756&lt;0,B757,IF(B757-B756=0,"",B757-B756)),B757))</f>
        <v/>
      </c>
      <c r="D757" s="18" t="str">
        <f>IF(Dati!C757="","",IF(Dati!C757&gt;1,Dati!C757/100,Dati!C757))</f>
        <v/>
      </c>
      <c r="E757" s="18" t="str">
        <f>IF(Dati!D757="","",IF(Dati!D757&gt;1,Dati!D757/100,Dati!D757))</f>
        <v/>
      </c>
      <c r="F757" s="18" t="str">
        <f>IF(OR(D757="",E757=""),"",IF(OR(D757&gt;1,E757&gt;1),(E757-D757)/100,E757-D757))</f>
        <v/>
      </c>
      <c r="G757" s="17" t="str">
        <f>IF(F757="","",IF(64*F757=0,"",64*F757))</f>
        <v/>
      </c>
      <c r="H757" s="19" t="str">
        <f>IF(Dati!E757="","",Dati!E757)</f>
        <v/>
      </c>
      <c r="I757" s="19" t="str">
        <f>IFERROR(IF(OR(C757="",C757=0),"",H757/C757*100),"")</f>
        <v/>
      </c>
      <c r="J757" s="20" t="str">
        <f>IF(Dati!F757="","",Dati!F757)</f>
        <v/>
      </c>
      <c r="K757" s="19" t="str">
        <f>IF(OR(H757="",J757=""),"",IF(H757*J757=0,"",H757*J757))</f>
        <v/>
      </c>
      <c r="L757" s="19" t="str">
        <f>IF(A757="","",IFERROR(IF(SUMPRODUCT((ISNUMBER(A$2:A757))*(A$2:A757&gt;1000)*(MONTH(IF(ISNUMBER(A$2:A757),A$2:A757,1))=MONTH(A757))*(YEAR(IF(ISNUMBER(A$2:A757),A$2:A757,1))=YEAR(A757))*IF(ISNUMBER(K$2:K757),K$2:K757,0))=0,"",SUMPRODUCT((ISNUMBER(A$2:A757))*(A$2:A757&gt;1000)*(MONTH(IF(ISNUMBER(A$2:A757),A$2:A757,1))=MONTH(A757))*(YEAR(IF(ISNUMBER(A$2:A757),A$2:A757,1))=YEAR(A757))*IF(ISNUMBER(K$2:K757),K$2:K757,0))),""))</f>
        <v/>
      </c>
      <c r="M757" s="21" t="str">
        <f>IF(A757="","",IFERROR(IF(SUMIF(N$2:N757,"CASA",K$2:K757)=0,"",SUMIF(N$2:N757,"CASA",K$2:K757)),""))</f>
        <v/>
      </c>
      <c r="N757" s="17" t="str">
        <f>IF(J757="","",IF(J757=0.2,"CASA",IF(Dati!G757="","",Dati!G757)))</f>
        <v/>
      </c>
    </row>
    <row r="758" spans="1:14" ht="15" customHeight="1" x14ac:dyDescent="0.2">
      <c r="A758" s="23" t="str">
        <f>IF(Dati!A758="","",Dati!A758)</f>
        <v/>
      </c>
      <c r="B758" s="17" t="str">
        <f>IF(Dati!B758="","",Dati!B758)</f>
        <v/>
      </c>
      <c r="C758" s="17" t="str">
        <f>IF(B758="","",IF(ISNUMBER(B757),IF(B758-B757&lt;0,B758,IF(B758-B757=0,"",B758-B757)),B758))</f>
        <v/>
      </c>
      <c r="D758" s="18" t="str">
        <f>IF(Dati!C758="","",IF(Dati!C758&gt;1,Dati!C758/100,Dati!C758))</f>
        <v/>
      </c>
      <c r="E758" s="18" t="str">
        <f>IF(Dati!D758="","",IF(Dati!D758&gt;1,Dati!D758/100,Dati!D758))</f>
        <v/>
      </c>
      <c r="F758" s="18" t="str">
        <f>IF(OR(D758="",E758=""),"",IF(OR(D758&gt;1,E758&gt;1),(E758-D758)/100,E758-D758))</f>
        <v/>
      </c>
      <c r="G758" s="17" t="str">
        <f>IF(F758="","",IF(64*F758=0,"",64*F758))</f>
        <v/>
      </c>
      <c r="H758" s="19" t="str">
        <f>IF(Dati!E758="","",Dati!E758)</f>
        <v/>
      </c>
      <c r="I758" s="19" t="str">
        <f>IFERROR(IF(OR(C758="",C758=0),"",H758/C758*100),"")</f>
        <v/>
      </c>
      <c r="J758" s="20" t="str">
        <f>IF(Dati!F758="","",Dati!F758)</f>
        <v/>
      </c>
      <c r="K758" s="19" t="str">
        <f>IF(OR(H758="",J758=""),"",IF(H758*J758=0,"",H758*J758))</f>
        <v/>
      </c>
      <c r="L758" s="19" t="str">
        <f>IF(A758="","",IFERROR(IF(SUMPRODUCT((ISNUMBER(A$2:A758))*(A$2:A758&gt;1000)*(MONTH(IF(ISNUMBER(A$2:A758),A$2:A758,1))=MONTH(A758))*(YEAR(IF(ISNUMBER(A$2:A758),A$2:A758,1))=YEAR(A758))*IF(ISNUMBER(K$2:K758),K$2:K758,0))=0,"",SUMPRODUCT((ISNUMBER(A$2:A758))*(A$2:A758&gt;1000)*(MONTH(IF(ISNUMBER(A$2:A758),A$2:A758,1))=MONTH(A758))*(YEAR(IF(ISNUMBER(A$2:A758),A$2:A758,1))=YEAR(A758))*IF(ISNUMBER(K$2:K758),K$2:K758,0))),""))</f>
        <v/>
      </c>
      <c r="M758" s="21" t="str">
        <f>IF(A758="","",IFERROR(IF(SUMIF(N$2:N758,"CASA",K$2:K758)=0,"",SUMIF(N$2:N758,"CASA",K$2:K758)),""))</f>
        <v/>
      </c>
      <c r="N758" s="17" t="str">
        <f>IF(J758="","",IF(J758=0.2,"CASA",IF(Dati!G758="","",Dati!G758)))</f>
        <v/>
      </c>
    </row>
    <row r="759" spans="1:14" ht="15" customHeight="1" x14ac:dyDescent="0.2">
      <c r="A759" s="23" t="str">
        <f>IF(Dati!A759="","",Dati!A759)</f>
        <v/>
      </c>
      <c r="B759" s="17" t="str">
        <f>IF(Dati!B759="","",Dati!B759)</f>
        <v/>
      </c>
      <c r="C759" s="17" t="str">
        <f>IF(B759="","",IF(ISNUMBER(B758),IF(B759-B758&lt;0,B759,IF(B759-B758=0,"",B759-B758)),B759))</f>
        <v/>
      </c>
      <c r="D759" s="18" t="str">
        <f>IF(Dati!C759="","",IF(Dati!C759&gt;1,Dati!C759/100,Dati!C759))</f>
        <v/>
      </c>
      <c r="E759" s="18" t="str">
        <f>IF(Dati!D759="","",IF(Dati!D759&gt;1,Dati!D759/100,Dati!D759))</f>
        <v/>
      </c>
      <c r="F759" s="18" t="str">
        <f>IF(OR(D759="",E759=""),"",IF(OR(D759&gt;1,E759&gt;1),(E759-D759)/100,E759-D759))</f>
        <v/>
      </c>
      <c r="G759" s="17" t="str">
        <f>IF(F759="","",IF(64*F759=0,"",64*F759))</f>
        <v/>
      </c>
      <c r="H759" s="19" t="str">
        <f>IF(Dati!E759="","",Dati!E759)</f>
        <v/>
      </c>
      <c r="I759" s="19" t="str">
        <f>IFERROR(IF(OR(C759="",C759=0),"",H759/C759*100),"")</f>
        <v/>
      </c>
      <c r="J759" s="20" t="str">
        <f>IF(Dati!F759="","",Dati!F759)</f>
        <v/>
      </c>
      <c r="K759" s="19" t="str">
        <f>IF(OR(H759="",J759=""),"",IF(H759*J759=0,"",H759*J759))</f>
        <v/>
      </c>
      <c r="L759" s="19" t="str">
        <f>IF(A759="","",IFERROR(IF(SUMPRODUCT((ISNUMBER(A$2:A759))*(A$2:A759&gt;1000)*(MONTH(IF(ISNUMBER(A$2:A759),A$2:A759,1))=MONTH(A759))*(YEAR(IF(ISNUMBER(A$2:A759),A$2:A759,1))=YEAR(A759))*IF(ISNUMBER(K$2:K759),K$2:K759,0))=0,"",SUMPRODUCT((ISNUMBER(A$2:A759))*(A$2:A759&gt;1000)*(MONTH(IF(ISNUMBER(A$2:A759),A$2:A759,1))=MONTH(A759))*(YEAR(IF(ISNUMBER(A$2:A759),A$2:A759,1))=YEAR(A759))*IF(ISNUMBER(K$2:K759),K$2:K759,0))),""))</f>
        <v/>
      </c>
      <c r="M759" s="21" t="str">
        <f>IF(A759="","",IFERROR(IF(SUMIF(N$2:N759,"CASA",K$2:K759)=0,"",SUMIF(N$2:N759,"CASA",K$2:K759)),""))</f>
        <v/>
      </c>
      <c r="N759" s="17" t="str">
        <f>IF(J759="","",IF(J759=0.2,"CASA",IF(Dati!G759="","",Dati!G759)))</f>
        <v/>
      </c>
    </row>
    <row r="760" spans="1:14" ht="15" customHeight="1" x14ac:dyDescent="0.2">
      <c r="A760" s="23" t="str">
        <f>IF(Dati!A760="","",Dati!A760)</f>
        <v/>
      </c>
      <c r="B760" s="17" t="str">
        <f>IF(Dati!B760="","",Dati!B760)</f>
        <v/>
      </c>
      <c r="C760" s="17" t="str">
        <f>IF(B760="","",IF(ISNUMBER(B759),IF(B760-B759&lt;0,B760,IF(B760-B759=0,"",B760-B759)),B760))</f>
        <v/>
      </c>
      <c r="D760" s="18" t="str">
        <f>IF(Dati!C760="","",IF(Dati!C760&gt;1,Dati!C760/100,Dati!C760))</f>
        <v/>
      </c>
      <c r="E760" s="18" t="str">
        <f>IF(Dati!D760="","",IF(Dati!D760&gt;1,Dati!D760/100,Dati!D760))</f>
        <v/>
      </c>
      <c r="F760" s="18" t="str">
        <f>IF(OR(D760="",E760=""),"",IF(OR(D760&gt;1,E760&gt;1),(E760-D760)/100,E760-D760))</f>
        <v/>
      </c>
      <c r="G760" s="17" t="str">
        <f>IF(F760="","",IF(64*F760=0,"",64*F760))</f>
        <v/>
      </c>
      <c r="H760" s="19" t="str">
        <f>IF(Dati!E760="","",Dati!E760)</f>
        <v/>
      </c>
      <c r="I760" s="19" t="str">
        <f>IFERROR(IF(OR(C760="",C760=0),"",H760/C760*100),"")</f>
        <v/>
      </c>
      <c r="J760" s="20" t="str">
        <f>IF(Dati!F760="","",Dati!F760)</f>
        <v/>
      </c>
      <c r="K760" s="19" t="str">
        <f>IF(OR(H760="",J760=""),"",IF(H760*J760=0,"",H760*J760))</f>
        <v/>
      </c>
      <c r="L760" s="19" t="str">
        <f>IF(A760="","",IFERROR(IF(SUMPRODUCT((ISNUMBER(A$2:A760))*(A$2:A760&gt;1000)*(MONTH(IF(ISNUMBER(A$2:A760),A$2:A760,1))=MONTH(A760))*(YEAR(IF(ISNUMBER(A$2:A760),A$2:A760,1))=YEAR(A760))*IF(ISNUMBER(K$2:K760),K$2:K760,0))=0,"",SUMPRODUCT((ISNUMBER(A$2:A760))*(A$2:A760&gt;1000)*(MONTH(IF(ISNUMBER(A$2:A760),A$2:A760,1))=MONTH(A760))*(YEAR(IF(ISNUMBER(A$2:A760),A$2:A760,1))=YEAR(A760))*IF(ISNUMBER(K$2:K760),K$2:K760,0))),""))</f>
        <v/>
      </c>
      <c r="M760" s="21" t="str">
        <f>IF(A760="","",IFERROR(IF(SUMIF(N$2:N760,"CASA",K$2:K760)=0,"",SUMIF(N$2:N760,"CASA",K$2:K760)),""))</f>
        <v/>
      </c>
      <c r="N760" s="17" t="str">
        <f>IF(J760="","",IF(J760=0.2,"CASA",IF(Dati!G760="","",Dati!G760)))</f>
        <v/>
      </c>
    </row>
    <row r="761" spans="1:14" ht="15" customHeight="1" x14ac:dyDescent="0.2">
      <c r="A761" s="23" t="str">
        <f>IF(Dati!A761="","",Dati!A761)</f>
        <v/>
      </c>
      <c r="B761" s="17" t="str">
        <f>IF(Dati!B761="","",Dati!B761)</f>
        <v/>
      </c>
      <c r="C761" s="17" t="str">
        <f>IF(B761="","",IF(ISNUMBER(B760),IF(B761-B760&lt;0,B761,IF(B761-B760=0,"",B761-B760)),B761))</f>
        <v/>
      </c>
      <c r="D761" s="18" t="str">
        <f>IF(Dati!C761="","",IF(Dati!C761&gt;1,Dati!C761/100,Dati!C761))</f>
        <v/>
      </c>
      <c r="E761" s="18" t="str">
        <f>IF(Dati!D761="","",IF(Dati!D761&gt;1,Dati!D761/100,Dati!D761))</f>
        <v/>
      </c>
      <c r="F761" s="18" t="str">
        <f>IF(OR(D761="",E761=""),"",IF(OR(D761&gt;1,E761&gt;1),(E761-D761)/100,E761-D761))</f>
        <v/>
      </c>
      <c r="G761" s="17" t="str">
        <f>IF(F761="","",IF(64*F761=0,"",64*F761))</f>
        <v/>
      </c>
      <c r="H761" s="19" t="str">
        <f>IF(Dati!E761="","",Dati!E761)</f>
        <v/>
      </c>
      <c r="I761" s="19" t="str">
        <f>IFERROR(IF(OR(C761="",C761=0),"",H761/C761*100),"")</f>
        <v/>
      </c>
      <c r="J761" s="20" t="str">
        <f>IF(Dati!F761="","",Dati!F761)</f>
        <v/>
      </c>
      <c r="K761" s="19" t="str">
        <f>IF(OR(H761="",J761=""),"",IF(H761*J761=0,"",H761*J761))</f>
        <v/>
      </c>
      <c r="L761" s="19" t="str">
        <f>IF(A761="","",IFERROR(IF(SUMPRODUCT((ISNUMBER(A$2:A761))*(A$2:A761&gt;1000)*(MONTH(IF(ISNUMBER(A$2:A761),A$2:A761,1))=MONTH(A761))*(YEAR(IF(ISNUMBER(A$2:A761),A$2:A761,1))=YEAR(A761))*IF(ISNUMBER(K$2:K761),K$2:K761,0))=0,"",SUMPRODUCT((ISNUMBER(A$2:A761))*(A$2:A761&gt;1000)*(MONTH(IF(ISNUMBER(A$2:A761),A$2:A761,1))=MONTH(A761))*(YEAR(IF(ISNUMBER(A$2:A761),A$2:A761,1))=YEAR(A761))*IF(ISNUMBER(K$2:K761),K$2:K761,0))),""))</f>
        <v/>
      </c>
      <c r="M761" s="21" t="str">
        <f>IF(A761="","",IFERROR(IF(SUMIF(N$2:N761,"CASA",K$2:K761)=0,"",SUMIF(N$2:N761,"CASA",K$2:K761)),""))</f>
        <v/>
      </c>
      <c r="N761" s="17" t="str">
        <f>IF(J761="","",IF(J761=0.2,"CASA",IF(Dati!G761="","",Dati!G761)))</f>
        <v/>
      </c>
    </row>
    <row r="762" spans="1:14" ht="15" customHeight="1" x14ac:dyDescent="0.2">
      <c r="A762" s="23" t="str">
        <f>IF(Dati!A762="","",Dati!A762)</f>
        <v/>
      </c>
      <c r="B762" s="17" t="str">
        <f>IF(Dati!B762="","",Dati!B762)</f>
        <v/>
      </c>
      <c r="C762" s="17" t="str">
        <f>IF(B762="","",IF(ISNUMBER(B761),IF(B762-B761&lt;0,B762,IF(B762-B761=0,"",B762-B761)),B762))</f>
        <v/>
      </c>
      <c r="D762" s="18" t="str">
        <f>IF(Dati!C762="","",IF(Dati!C762&gt;1,Dati!C762/100,Dati!C762))</f>
        <v/>
      </c>
      <c r="E762" s="18" t="str">
        <f>IF(Dati!D762="","",IF(Dati!D762&gt;1,Dati!D762/100,Dati!D762))</f>
        <v/>
      </c>
      <c r="F762" s="18" t="str">
        <f>IF(OR(D762="",E762=""),"",IF(OR(D762&gt;1,E762&gt;1),(E762-D762)/100,E762-D762))</f>
        <v/>
      </c>
      <c r="G762" s="17" t="str">
        <f>IF(F762="","",IF(64*F762=0,"",64*F762))</f>
        <v/>
      </c>
      <c r="H762" s="19" t="str">
        <f>IF(Dati!E762="","",Dati!E762)</f>
        <v/>
      </c>
      <c r="I762" s="19" t="str">
        <f>IFERROR(IF(OR(C762="",C762=0),"",H762/C762*100),"")</f>
        <v/>
      </c>
      <c r="J762" s="20" t="str">
        <f>IF(Dati!F762="","",Dati!F762)</f>
        <v/>
      </c>
      <c r="K762" s="19" t="str">
        <f>IF(OR(H762="",J762=""),"",IF(H762*J762=0,"",H762*J762))</f>
        <v/>
      </c>
      <c r="L762" s="19" t="str">
        <f>IF(A762="","",IFERROR(IF(SUMPRODUCT((ISNUMBER(A$2:A762))*(A$2:A762&gt;1000)*(MONTH(IF(ISNUMBER(A$2:A762),A$2:A762,1))=MONTH(A762))*(YEAR(IF(ISNUMBER(A$2:A762),A$2:A762,1))=YEAR(A762))*IF(ISNUMBER(K$2:K762),K$2:K762,0))=0,"",SUMPRODUCT((ISNUMBER(A$2:A762))*(A$2:A762&gt;1000)*(MONTH(IF(ISNUMBER(A$2:A762),A$2:A762,1))=MONTH(A762))*(YEAR(IF(ISNUMBER(A$2:A762),A$2:A762,1))=YEAR(A762))*IF(ISNUMBER(K$2:K762),K$2:K762,0))),""))</f>
        <v/>
      </c>
      <c r="M762" s="21" t="str">
        <f>IF(A762="","",IFERROR(IF(SUMIF(N$2:N762,"CASA",K$2:K762)=0,"",SUMIF(N$2:N762,"CASA",K$2:K762)),""))</f>
        <v/>
      </c>
      <c r="N762" s="17" t="str">
        <f>IF(J762="","",IF(J762=0.2,"CASA",IF(Dati!G762="","",Dati!G762)))</f>
        <v/>
      </c>
    </row>
    <row r="763" spans="1:14" ht="15" customHeight="1" x14ac:dyDescent="0.2">
      <c r="A763" s="23" t="str">
        <f>IF(Dati!A763="","",Dati!A763)</f>
        <v/>
      </c>
      <c r="B763" s="17" t="str">
        <f>IF(Dati!B763="","",Dati!B763)</f>
        <v/>
      </c>
      <c r="C763" s="17" t="str">
        <f>IF(B763="","",IF(ISNUMBER(B762),IF(B763-B762&lt;0,B763,IF(B763-B762=0,"",B763-B762)),B763))</f>
        <v/>
      </c>
      <c r="D763" s="18" t="str">
        <f>IF(Dati!C763="","",IF(Dati!C763&gt;1,Dati!C763/100,Dati!C763))</f>
        <v/>
      </c>
      <c r="E763" s="18" t="str">
        <f>IF(Dati!D763="","",IF(Dati!D763&gt;1,Dati!D763/100,Dati!D763))</f>
        <v/>
      </c>
      <c r="F763" s="18" t="str">
        <f>IF(OR(D763="",E763=""),"",IF(OR(D763&gt;1,E763&gt;1),(E763-D763)/100,E763-D763))</f>
        <v/>
      </c>
      <c r="G763" s="17" t="str">
        <f>IF(F763="","",IF(64*F763=0,"",64*F763))</f>
        <v/>
      </c>
      <c r="H763" s="19" t="str">
        <f>IF(Dati!E763="","",Dati!E763)</f>
        <v/>
      </c>
      <c r="I763" s="19" t="str">
        <f>IFERROR(IF(OR(C763="",C763=0),"",H763/C763*100),"")</f>
        <v/>
      </c>
      <c r="J763" s="20" t="str">
        <f>IF(Dati!F763="","",Dati!F763)</f>
        <v/>
      </c>
      <c r="K763" s="19" t="str">
        <f>IF(OR(H763="",J763=""),"",IF(H763*J763=0,"",H763*J763))</f>
        <v/>
      </c>
      <c r="L763" s="19" t="str">
        <f>IF(A763="","",IFERROR(IF(SUMPRODUCT((ISNUMBER(A$2:A763))*(A$2:A763&gt;1000)*(MONTH(IF(ISNUMBER(A$2:A763),A$2:A763,1))=MONTH(A763))*(YEAR(IF(ISNUMBER(A$2:A763),A$2:A763,1))=YEAR(A763))*IF(ISNUMBER(K$2:K763),K$2:K763,0))=0,"",SUMPRODUCT((ISNUMBER(A$2:A763))*(A$2:A763&gt;1000)*(MONTH(IF(ISNUMBER(A$2:A763),A$2:A763,1))=MONTH(A763))*(YEAR(IF(ISNUMBER(A$2:A763),A$2:A763,1))=YEAR(A763))*IF(ISNUMBER(K$2:K763),K$2:K763,0))),""))</f>
        <v/>
      </c>
      <c r="M763" s="21" t="str">
        <f>IF(A763="","",IFERROR(IF(SUMIF(N$2:N763,"CASA",K$2:K763)=0,"",SUMIF(N$2:N763,"CASA",K$2:K763)),""))</f>
        <v/>
      </c>
      <c r="N763" s="17" t="str">
        <f>IF(J763="","",IF(J763=0.2,"CASA",IF(Dati!G763="","",Dati!G763)))</f>
        <v/>
      </c>
    </row>
    <row r="764" spans="1:14" ht="15" customHeight="1" x14ac:dyDescent="0.2">
      <c r="A764" s="23" t="str">
        <f>IF(Dati!A764="","",Dati!A764)</f>
        <v/>
      </c>
      <c r="B764" s="17" t="str">
        <f>IF(Dati!B764="","",Dati!B764)</f>
        <v/>
      </c>
      <c r="C764" s="17" t="str">
        <f>IF(B764="","",IF(ISNUMBER(B763),IF(B764-B763&lt;0,B764,IF(B764-B763=0,"",B764-B763)),B764))</f>
        <v/>
      </c>
      <c r="D764" s="18" t="str">
        <f>IF(Dati!C764="","",IF(Dati!C764&gt;1,Dati!C764/100,Dati!C764))</f>
        <v/>
      </c>
      <c r="E764" s="18" t="str">
        <f>IF(Dati!D764="","",IF(Dati!D764&gt;1,Dati!D764/100,Dati!D764))</f>
        <v/>
      </c>
      <c r="F764" s="18" t="str">
        <f>IF(OR(D764="",E764=""),"",IF(OR(D764&gt;1,E764&gt;1),(E764-D764)/100,E764-D764))</f>
        <v/>
      </c>
      <c r="G764" s="17" t="str">
        <f>IF(F764="","",IF(64*F764=0,"",64*F764))</f>
        <v/>
      </c>
      <c r="H764" s="19" t="str">
        <f>IF(Dati!E764="","",Dati!E764)</f>
        <v/>
      </c>
      <c r="I764" s="19" t="str">
        <f>IFERROR(IF(OR(C764="",C764=0),"",H764/C764*100),"")</f>
        <v/>
      </c>
      <c r="J764" s="20" t="str">
        <f>IF(Dati!F764="","",Dati!F764)</f>
        <v/>
      </c>
      <c r="K764" s="19" t="str">
        <f>IF(OR(H764="",J764=""),"",IF(H764*J764=0,"",H764*J764))</f>
        <v/>
      </c>
      <c r="L764" s="19" t="str">
        <f>IF(A764="","",IFERROR(IF(SUMPRODUCT((ISNUMBER(A$2:A764))*(A$2:A764&gt;1000)*(MONTH(IF(ISNUMBER(A$2:A764),A$2:A764,1))=MONTH(A764))*(YEAR(IF(ISNUMBER(A$2:A764),A$2:A764,1))=YEAR(A764))*IF(ISNUMBER(K$2:K764),K$2:K764,0))=0,"",SUMPRODUCT((ISNUMBER(A$2:A764))*(A$2:A764&gt;1000)*(MONTH(IF(ISNUMBER(A$2:A764),A$2:A764,1))=MONTH(A764))*(YEAR(IF(ISNUMBER(A$2:A764),A$2:A764,1))=YEAR(A764))*IF(ISNUMBER(K$2:K764),K$2:K764,0))),""))</f>
        <v/>
      </c>
      <c r="M764" s="21" t="str">
        <f>IF(A764="","",IFERROR(IF(SUMIF(N$2:N764,"CASA",K$2:K764)=0,"",SUMIF(N$2:N764,"CASA",K$2:K764)),""))</f>
        <v/>
      </c>
      <c r="N764" s="17" t="str">
        <f>IF(J764="","",IF(J764=0.2,"CASA",IF(Dati!G764="","",Dati!G764)))</f>
        <v/>
      </c>
    </row>
    <row r="765" spans="1:14" ht="15" customHeight="1" x14ac:dyDescent="0.2">
      <c r="A765" s="23" t="str">
        <f>IF(Dati!A765="","",Dati!A765)</f>
        <v/>
      </c>
      <c r="B765" s="17" t="str">
        <f>IF(Dati!B765="","",Dati!B765)</f>
        <v/>
      </c>
      <c r="C765" s="17" t="str">
        <f>IF(B765="","",IF(ISNUMBER(B764),IF(B765-B764&lt;0,B765,IF(B765-B764=0,"",B765-B764)),B765))</f>
        <v/>
      </c>
      <c r="D765" s="18" t="str">
        <f>IF(Dati!C765="","",IF(Dati!C765&gt;1,Dati!C765/100,Dati!C765))</f>
        <v/>
      </c>
      <c r="E765" s="18" t="str">
        <f>IF(Dati!D765="","",IF(Dati!D765&gt;1,Dati!D765/100,Dati!D765))</f>
        <v/>
      </c>
      <c r="F765" s="18" t="str">
        <f>IF(OR(D765="",E765=""),"",IF(OR(D765&gt;1,E765&gt;1),(E765-D765)/100,E765-D765))</f>
        <v/>
      </c>
      <c r="G765" s="17" t="str">
        <f>IF(F765="","",IF(64*F765=0,"",64*F765))</f>
        <v/>
      </c>
      <c r="H765" s="19" t="str">
        <f>IF(Dati!E765="","",Dati!E765)</f>
        <v/>
      </c>
      <c r="I765" s="19" t="str">
        <f>IFERROR(IF(OR(C765="",C765=0),"",H765/C765*100),"")</f>
        <v/>
      </c>
      <c r="J765" s="20" t="str">
        <f>IF(Dati!F765="","",Dati!F765)</f>
        <v/>
      </c>
      <c r="K765" s="19" t="str">
        <f>IF(OR(H765="",J765=""),"",IF(H765*J765=0,"",H765*J765))</f>
        <v/>
      </c>
      <c r="L765" s="19" t="str">
        <f>IF(A765="","",IFERROR(IF(SUMPRODUCT((ISNUMBER(A$2:A765))*(A$2:A765&gt;1000)*(MONTH(IF(ISNUMBER(A$2:A765),A$2:A765,1))=MONTH(A765))*(YEAR(IF(ISNUMBER(A$2:A765),A$2:A765,1))=YEAR(A765))*IF(ISNUMBER(K$2:K765),K$2:K765,0))=0,"",SUMPRODUCT((ISNUMBER(A$2:A765))*(A$2:A765&gt;1000)*(MONTH(IF(ISNUMBER(A$2:A765),A$2:A765,1))=MONTH(A765))*(YEAR(IF(ISNUMBER(A$2:A765),A$2:A765,1))=YEAR(A765))*IF(ISNUMBER(K$2:K765),K$2:K765,0))),""))</f>
        <v/>
      </c>
      <c r="M765" s="21" t="str">
        <f>IF(A765="","",IFERROR(IF(SUMIF(N$2:N765,"CASA",K$2:K765)=0,"",SUMIF(N$2:N765,"CASA",K$2:K765)),""))</f>
        <v/>
      </c>
      <c r="N765" s="17" t="str">
        <f>IF(J765="","",IF(J765=0.2,"CASA",IF(Dati!G765="","",Dati!G765)))</f>
        <v/>
      </c>
    </row>
    <row r="766" spans="1:14" ht="15" customHeight="1" x14ac:dyDescent="0.2">
      <c r="A766" s="23" t="str">
        <f>IF(Dati!A766="","",Dati!A766)</f>
        <v/>
      </c>
      <c r="B766" s="17" t="str">
        <f>IF(Dati!B766="","",Dati!B766)</f>
        <v/>
      </c>
      <c r="C766" s="17" t="str">
        <f>IF(B766="","",IF(ISNUMBER(B765),IF(B766-B765&lt;0,B766,IF(B766-B765=0,"",B766-B765)),B766))</f>
        <v/>
      </c>
      <c r="D766" s="18" t="str">
        <f>IF(Dati!C766="","",IF(Dati!C766&gt;1,Dati!C766/100,Dati!C766))</f>
        <v/>
      </c>
      <c r="E766" s="18" t="str">
        <f>IF(Dati!D766="","",IF(Dati!D766&gt;1,Dati!D766/100,Dati!D766))</f>
        <v/>
      </c>
      <c r="F766" s="18" t="str">
        <f>IF(OR(D766="",E766=""),"",IF(OR(D766&gt;1,E766&gt;1),(E766-D766)/100,E766-D766))</f>
        <v/>
      </c>
      <c r="G766" s="17" t="str">
        <f>IF(F766="","",IF(64*F766=0,"",64*F766))</f>
        <v/>
      </c>
      <c r="H766" s="19" t="str">
        <f>IF(Dati!E766="","",Dati!E766)</f>
        <v/>
      </c>
      <c r="I766" s="19" t="str">
        <f>IFERROR(IF(OR(C766="",C766=0),"",H766/C766*100),"")</f>
        <v/>
      </c>
      <c r="J766" s="20" t="str">
        <f>IF(Dati!F766="","",Dati!F766)</f>
        <v/>
      </c>
      <c r="K766" s="19" t="str">
        <f>IF(OR(H766="",J766=""),"",IF(H766*J766=0,"",H766*J766))</f>
        <v/>
      </c>
      <c r="L766" s="19" t="str">
        <f>IF(A766="","",IFERROR(IF(SUMPRODUCT((ISNUMBER(A$2:A766))*(A$2:A766&gt;1000)*(MONTH(IF(ISNUMBER(A$2:A766),A$2:A766,1))=MONTH(A766))*(YEAR(IF(ISNUMBER(A$2:A766),A$2:A766,1))=YEAR(A766))*IF(ISNUMBER(K$2:K766),K$2:K766,0))=0,"",SUMPRODUCT((ISNUMBER(A$2:A766))*(A$2:A766&gt;1000)*(MONTH(IF(ISNUMBER(A$2:A766),A$2:A766,1))=MONTH(A766))*(YEAR(IF(ISNUMBER(A$2:A766),A$2:A766,1))=YEAR(A766))*IF(ISNUMBER(K$2:K766),K$2:K766,0))),""))</f>
        <v/>
      </c>
      <c r="M766" s="21" t="str">
        <f>IF(A766="","",IFERROR(IF(SUMIF(N$2:N766,"CASA",K$2:K766)=0,"",SUMIF(N$2:N766,"CASA",K$2:K766)),""))</f>
        <v/>
      </c>
      <c r="N766" s="17" t="str">
        <f>IF(J766="","",IF(J766=0.2,"CASA",IF(Dati!G766="","",Dati!G766)))</f>
        <v/>
      </c>
    </row>
    <row r="767" spans="1:14" ht="15" customHeight="1" x14ac:dyDescent="0.2">
      <c r="A767" s="23" t="str">
        <f>IF(Dati!A767="","",Dati!A767)</f>
        <v/>
      </c>
      <c r="B767" s="17" t="str">
        <f>IF(Dati!B767="","",Dati!B767)</f>
        <v/>
      </c>
      <c r="C767" s="17" t="str">
        <f>IF(B767="","",IF(ISNUMBER(B766),IF(B767-B766&lt;0,B767,IF(B767-B766=0,"",B767-B766)),B767))</f>
        <v/>
      </c>
      <c r="D767" s="18" t="str">
        <f>IF(Dati!C767="","",IF(Dati!C767&gt;1,Dati!C767/100,Dati!C767))</f>
        <v/>
      </c>
      <c r="E767" s="18" t="str">
        <f>IF(Dati!D767="","",IF(Dati!D767&gt;1,Dati!D767/100,Dati!D767))</f>
        <v/>
      </c>
      <c r="F767" s="18" t="str">
        <f>IF(OR(D767="",E767=""),"",IF(OR(D767&gt;1,E767&gt;1),(E767-D767)/100,E767-D767))</f>
        <v/>
      </c>
      <c r="G767" s="17" t="str">
        <f>IF(F767="","",IF(64*F767=0,"",64*F767))</f>
        <v/>
      </c>
      <c r="H767" s="19" t="str">
        <f>IF(Dati!E767="","",Dati!E767)</f>
        <v/>
      </c>
      <c r="I767" s="19" t="str">
        <f>IFERROR(IF(OR(C767="",C767=0),"",H767/C767*100),"")</f>
        <v/>
      </c>
      <c r="J767" s="20" t="str">
        <f>IF(Dati!F767="","",Dati!F767)</f>
        <v/>
      </c>
      <c r="K767" s="19" t="str">
        <f>IF(OR(H767="",J767=""),"",IF(H767*J767=0,"",H767*J767))</f>
        <v/>
      </c>
      <c r="L767" s="19" t="str">
        <f>IF(A767="","",IFERROR(IF(SUMPRODUCT((ISNUMBER(A$2:A767))*(A$2:A767&gt;1000)*(MONTH(IF(ISNUMBER(A$2:A767),A$2:A767,1))=MONTH(A767))*(YEAR(IF(ISNUMBER(A$2:A767),A$2:A767,1))=YEAR(A767))*IF(ISNUMBER(K$2:K767),K$2:K767,0))=0,"",SUMPRODUCT((ISNUMBER(A$2:A767))*(A$2:A767&gt;1000)*(MONTH(IF(ISNUMBER(A$2:A767),A$2:A767,1))=MONTH(A767))*(YEAR(IF(ISNUMBER(A$2:A767),A$2:A767,1))=YEAR(A767))*IF(ISNUMBER(K$2:K767),K$2:K767,0))),""))</f>
        <v/>
      </c>
      <c r="M767" s="21" t="str">
        <f>IF(A767="","",IFERROR(IF(SUMIF(N$2:N767,"CASA",K$2:K767)=0,"",SUMIF(N$2:N767,"CASA",K$2:K767)),""))</f>
        <v/>
      </c>
      <c r="N767" s="17" t="str">
        <f>IF(J767="","",IF(J767=0.2,"CASA",IF(Dati!G767="","",Dati!G767)))</f>
        <v/>
      </c>
    </row>
    <row r="768" spans="1:14" ht="15" customHeight="1" x14ac:dyDescent="0.2">
      <c r="A768" s="23" t="str">
        <f>IF(Dati!A768="","",Dati!A768)</f>
        <v/>
      </c>
      <c r="B768" s="17" t="str">
        <f>IF(Dati!B768="","",Dati!B768)</f>
        <v/>
      </c>
      <c r="C768" s="17" t="str">
        <f>IF(B768="","",IF(ISNUMBER(B767),IF(B768-B767&lt;0,B768,IF(B768-B767=0,"",B768-B767)),B768))</f>
        <v/>
      </c>
      <c r="D768" s="18" t="str">
        <f>IF(Dati!C768="","",IF(Dati!C768&gt;1,Dati!C768/100,Dati!C768))</f>
        <v/>
      </c>
      <c r="E768" s="18" t="str">
        <f>IF(Dati!D768="","",IF(Dati!D768&gt;1,Dati!D768/100,Dati!D768))</f>
        <v/>
      </c>
      <c r="F768" s="18" t="str">
        <f>IF(OR(D768="",E768=""),"",IF(OR(D768&gt;1,E768&gt;1),(E768-D768)/100,E768-D768))</f>
        <v/>
      </c>
      <c r="G768" s="17" t="str">
        <f>IF(F768="","",IF(64*F768=0,"",64*F768))</f>
        <v/>
      </c>
      <c r="H768" s="19" t="str">
        <f>IF(Dati!E768="","",Dati!E768)</f>
        <v/>
      </c>
      <c r="I768" s="19" t="str">
        <f>IFERROR(IF(OR(C768="",C768=0),"",H768/C768*100),"")</f>
        <v/>
      </c>
      <c r="J768" s="20" t="str">
        <f>IF(Dati!F768="","",Dati!F768)</f>
        <v/>
      </c>
      <c r="K768" s="19" t="str">
        <f>IF(OR(H768="",J768=""),"",IF(H768*J768=0,"",H768*J768))</f>
        <v/>
      </c>
      <c r="L768" s="19" t="str">
        <f>IF(A768="","",IFERROR(IF(SUMPRODUCT((ISNUMBER(A$2:A768))*(A$2:A768&gt;1000)*(MONTH(IF(ISNUMBER(A$2:A768),A$2:A768,1))=MONTH(A768))*(YEAR(IF(ISNUMBER(A$2:A768),A$2:A768,1))=YEAR(A768))*IF(ISNUMBER(K$2:K768),K$2:K768,0))=0,"",SUMPRODUCT((ISNUMBER(A$2:A768))*(A$2:A768&gt;1000)*(MONTH(IF(ISNUMBER(A$2:A768),A$2:A768,1))=MONTH(A768))*(YEAR(IF(ISNUMBER(A$2:A768),A$2:A768,1))=YEAR(A768))*IF(ISNUMBER(K$2:K768),K$2:K768,0))),""))</f>
        <v/>
      </c>
      <c r="M768" s="21" t="str">
        <f>IF(A768="","",IFERROR(IF(SUMIF(N$2:N768,"CASA",K$2:K768)=0,"",SUMIF(N$2:N768,"CASA",K$2:K768)),""))</f>
        <v/>
      </c>
      <c r="N768" s="17" t="str">
        <f>IF(J768="","",IF(J768=0.2,"CASA",IF(Dati!G768="","",Dati!G768)))</f>
        <v/>
      </c>
    </row>
    <row r="769" spans="1:14" ht="15" customHeight="1" x14ac:dyDescent="0.2">
      <c r="A769" s="23" t="str">
        <f>IF(Dati!A769="","",Dati!A769)</f>
        <v/>
      </c>
      <c r="B769" s="17" t="str">
        <f>IF(Dati!B769="","",Dati!B769)</f>
        <v/>
      </c>
      <c r="C769" s="17" t="str">
        <f>IF(B769="","",IF(ISNUMBER(B768),IF(B769-B768&lt;0,B769,IF(B769-B768=0,"",B769-B768)),B769))</f>
        <v/>
      </c>
      <c r="D769" s="18" t="str">
        <f>IF(Dati!C769="","",IF(Dati!C769&gt;1,Dati!C769/100,Dati!C769))</f>
        <v/>
      </c>
      <c r="E769" s="18" t="str">
        <f>IF(Dati!D769="","",IF(Dati!D769&gt;1,Dati!D769/100,Dati!D769))</f>
        <v/>
      </c>
      <c r="F769" s="18" t="str">
        <f>IF(OR(D769="",E769=""),"",IF(OR(D769&gt;1,E769&gt;1),(E769-D769)/100,E769-D769))</f>
        <v/>
      </c>
      <c r="G769" s="17" t="str">
        <f>IF(F769="","",IF(64*F769=0,"",64*F769))</f>
        <v/>
      </c>
      <c r="H769" s="19" t="str">
        <f>IF(Dati!E769="","",Dati!E769)</f>
        <v/>
      </c>
      <c r="I769" s="19" t="str">
        <f>IFERROR(IF(OR(C769="",C769=0),"",H769/C769*100),"")</f>
        <v/>
      </c>
      <c r="J769" s="20" t="str">
        <f>IF(Dati!F769="","",Dati!F769)</f>
        <v/>
      </c>
      <c r="K769" s="19" t="str">
        <f>IF(OR(H769="",J769=""),"",IF(H769*J769=0,"",H769*J769))</f>
        <v/>
      </c>
      <c r="L769" s="19" t="str">
        <f>IF(A769="","",IFERROR(IF(SUMPRODUCT((ISNUMBER(A$2:A769))*(A$2:A769&gt;1000)*(MONTH(IF(ISNUMBER(A$2:A769),A$2:A769,1))=MONTH(A769))*(YEAR(IF(ISNUMBER(A$2:A769),A$2:A769,1))=YEAR(A769))*IF(ISNUMBER(K$2:K769),K$2:K769,0))=0,"",SUMPRODUCT((ISNUMBER(A$2:A769))*(A$2:A769&gt;1000)*(MONTH(IF(ISNUMBER(A$2:A769),A$2:A769,1))=MONTH(A769))*(YEAR(IF(ISNUMBER(A$2:A769),A$2:A769,1))=YEAR(A769))*IF(ISNUMBER(K$2:K769),K$2:K769,0))),""))</f>
        <v/>
      </c>
      <c r="M769" s="21" t="str">
        <f>IF(A769="","",IFERROR(IF(SUMIF(N$2:N769,"CASA",K$2:K769)=0,"",SUMIF(N$2:N769,"CASA",K$2:K769)),""))</f>
        <v/>
      </c>
      <c r="N769" s="17" t="str">
        <f>IF(J769="","",IF(J769=0.2,"CASA",IF(Dati!G769="","",Dati!G769)))</f>
        <v/>
      </c>
    </row>
    <row r="770" spans="1:14" ht="15" customHeight="1" x14ac:dyDescent="0.2">
      <c r="A770" s="23" t="str">
        <f>IF(Dati!A770="","",Dati!A770)</f>
        <v/>
      </c>
      <c r="B770" s="17" t="str">
        <f>IF(Dati!B770="","",Dati!B770)</f>
        <v/>
      </c>
      <c r="C770" s="17" t="str">
        <f>IF(B770="","",IF(ISNUMBER(B769),IF(B770-B769&lt;0,B770,IF(B770-B769=0,"",B770-B769)),B770))</f>
        <v/>
      </c>
      <c r="D770" s="18" t="str">
        <f>IF(Dati!C770="","",IF(Dati!C770&gt;1,Dati!C770/100,Dati!C770))</f>
        <v/>
      </c>
      <c r="E770" s="18" t="str">
        <f>IF(Dati!D770="","",IF(Dati!D770&gt;1,Dati!D770/100,Dati!D770))</f>
        <v/>
      </c>
      <c r="F770" s="18" t="str">
        <f>IF(OR(D770="",E770=""),"",IF(OR(D770&gt;1,E770&gt;1),(E770-D770)/100,E770-D770))</f>
        <v/>
      </c>
      <c r="G770" s="17" t="str">
        <f>IF(F770="","",IF(64*F770=0,"",64*F770))</f>
        <v/>
      </c>
      <c r="H770" s="19" t="str">
        <f>IF(Dati!E770="","",Dati!E770)</f>
        <v/>
      </c>
      <c r="I770" s="19" t="str">
        <f>IFERROR(IF(OR(C770="",C770=0),"",H770/C770*100),"")</f>
        <v/>
      </c>
      <c r="J770" s="20" t="str">
        <f>IF(Dati!F770="","",Dati!F770)</f>
        <v/>
      </c>
      <c r="K770" s="19" t="str">
        <f>IF(OR(H770="",J770=""),"",IF(H770*J770=0,"",H770*J770))</f>
        <v/>
      </c>
      <c r="L770" s="19" t="str">
        <f>IF(A770="","",IFERROR(IF(SUMPRODUCT((ISNUMBER(A$2:A770))*(A$2:A770&gt;1000)*(MONTH(IF(ISNUMBER(A$2:A770),A$2:A770,1))=MONTH(A770))*(YEAR(IF(ISNUMBER(A$2:A770),A$2:A770,1))=YEAR(A770))*IF(ISNUMBER(K$2:K770),K$2:K770,0))=0,"",SUMPRODUCT((ISNUMBER(A$2:A770))*(A$2:A770&gt;1000)*(MONTH(IF(ISNUMBER(A$2:A770),A$2:A770,1))=MONTH(A770))*(YEAR(IF(ISNUMBER(A$2:A770),A$2:A770,1))=YEAR(A770))*IF(ISNUMBER(K$2:K770),K$2:K770,0))),""))</f>
        <v/>
      </c>
      <c r="M770" s="21" t="str">
        <f>IF(A770="","",IFERROR(IF(SUMIF(N$2:N770,"CASA",K$2:K770)=0,"",SUMIF(N$2:N770,"CASA",K$2:K770)),""))</f>
        <v/>
      </c>
      <c r="N770" s="17" t="str">
        <f>IF(J770="","",IF(J770=0.2,"CASA",IF(Dati!G770="","",Dati!G770)))</f>
        <v/>
      </c>
    </row>
    <row r="771" spans="1:14" ht="15" customHeight="1" x14ac:dyDescent="0.2">
      <c r="A771" s="23" t="str">
        <f>IF(Dati!A771="","",Dati!A771)</f>
        <v/>
      </c>
      <c r="B771" s="17" t="str">
        <f>IF(Dati!B771="","",Dati!B771)</f>
        <v/>
      </c>
      <c r="C771" s="17" t="str">
        <f>IF(B771="","",IF(ISNUMBER(B770),IF(B771-B770&lt;0,B771,IF(B771-B770=0,"",B771-B770)),B771))</f>
        <v/>
      </c>
      <c r="D771" s="18" t="str">
        <f>IF(Dati!C771="","",IF(Dati!C771&gt;1,Dati!C771/100,Dati!C771))</f>
        <v/>
      </c>
      <c r="E771" s="18" t="str">
        <f>IF(Dati!D771="","",IF(Dati!D771&gt;1,Dati!D771/100,Dati!D771))</f>
        <v/>
      </c>
      <c r="F771" s="18" t="str">
        <f>IF(OR(D771="",E771=""),"",IF(OR(D771&gt;1,E771&gt;1),(E771-D771)/100,E771-D771))</f>
        <v/>
      </c>
      <c r="G771" s="17" t="str">
        <f>IF(F771="","",IF(64*F771=0,"",64*F771))</f>
        <v/>
      </c>
      <c r="H771" s="19" t="str">
        <f>IF(Dati!E771="","",Dati!E771)</f>
        <v/>
      </c>
      <c r="I771" s="19" t="str">
        <f>IFERROR(IF(OR(C771="",C771=0),"",H771/C771*100),"")</f>
        <v/>
      </c>
      <c r="J771" s="20" t="str">
        <f>IF(Dati!F771="","",Dati!F771)</f>
        <v/>
      </c>
      <c r="K771" s="19" t="str">
        <f>IF(OR(H771="",J771=""),"",IF(H771*J771=0,"",H771*J771))</f>
        <v/>
      </c>
      <c r="L771" s="19" t="str">
        <f>IF(A771="","",IFERROR(IF(SUMPRODUCT((ISNUMBER(A$2:A771))*(A$2:A771&gt;1000)*(MONTH(IF(ISNUMBER(A$2:A771),A$2:A771,1))=MONTH(A771))*(YEAR(IF(ISNUMBER(A$2:A771),A$2:A771,1))=YEAR(A771))*IF(ISNUMBER(K$2:K771),K$2:K771,0))=0,"",SUMPRODUCT((ISNUMBER(A$2:A771))*(A$2:A771&gt;1000)*(MONTH(IF(ISNUMBER(A$2:A771),A$2:A771,1))=MONTH(A771))*(YEAR(IF(ISNUMBER(A$2:A771),A$2:A771,1))=YEAR(A771))*IF(ISNUMBER(K$2:K771),K$2:K771,0))),""))</f>
        <v/>
      </c>
      <c r="M771" s="21" t="str">
        <f>IF(A771="","",IFERROR(IF(SUMIF(N$2:N771,"CASA",K$2:K771)=0,"",SUMIF(N$2:N771,"CASA",K$2:K771)),""))</f>
        <v/>
      </c>
      <c r="N771" s="17" t="str">
        <f>IF(J771="","",IF(J771=0.2,"CASA",IF(Dati!G771="","",Dati!G771)))</f>
        <v/>
      </c>
    </row>
    <row r="772" spans="1:14" ht="15" customHeight="1" x14ac:dyDescent="0.2">
      <c r="A772" s="23" t="str">
        <f>IF(Dati!A772="","",Dati!A772)</f>
        <v/>
      </c>
      <c r="B772" s="17" t="str">
        <f>IF(Dati!B772="","",Dati!B772)</f>
        <v/>
      </c>
      <c r="C772" s="17" t="str">
        <f>IF(B772="","",IF(ISNUMBER(B771),IF(B772-B771&lt;0,B772,IF(B772-B771=0,"",B772-B771)),B772))</f>
        <v/>
      </c>
      <c r="D772" s="18" t="str">
        <f>IF(Dati!C772="","",IF(Dati!C772&gt;1,Dati!C772/100,Dati!C772))</f>
        <v/>
      </c>
      <c r="E772" s="18" t="str">
        <f>IF(Dati!D772="","",IF(Dati!D772&gt;1,Dati!D772/100,Dati!D772))</f>
        <v/>
      </c>
      <c r="F772" s="18" t="str">
        <f>IF(OR(D772="",E772=""),"",IF(OR(D772&gt;1,E772&gt;1),(E772-D772)/100,E772-D772))</f>
        <v/>
      </c>
      <c r="G772" s="17" t="str">
        <f>IF(F772="","",IF(64*F772=0,"",64*F772))</f>
        <v/>
      </c>
      <c r="H772" s="19" t="str">
        <f>IF(Dati!E772="","",Dati!E772)</f>
        <v/>
      </c>
      <c r="I772" s="19" t="str">
        <f>IFERROR(IF(OR(C772="",C772=0),"",H772/C772*100),"")</f>
        <v/>
      </c>
      <c r="J772" s="20" t="str">
        <f>IF(Dati!F772="","",Dati!F772)</f>
        <v/>
      </c>
      <c r="K772" s="19" t="str">
        <f>IF(OR(H772="",J772=""),"",IF(H772*J772=0,"",H772*J772))</f>
        <v/>
      </c>
      <c r="L772" s="19" t="str">
        <f>IF(A772="","",IFERROR(IF(SUMPRODUCT((ISNUMBER(A$2:A772))*(A$2:A772&gt;1000)*(MONTH(IF(ISNUMBER(A$2:A772),A$2:A772,1))=MONTH(A772))*(YEAR(IF(ISNUMBER(A$2:A772),A$2:A772,1))=YEAR(A772))*IF(ISNUMBER(K$2:K772),K$2:K772,0))=0,"",SUMPRODUCT((ISNUMBER(A$2:A772))*(A$2:A772&gt;1000)*(MONTH(IF(ISNUMBER(A$2:A772),A$2:A772,1))=MONTH(A772))*(YEAR(IF(ISNUMBER(A$2:A772),A$2:A772,1))=YEAR(A772))*IF(ISNUMBER(K$2:K772),K$2:K772,0))),""))</f>
        <v/>
      </c>
      <c r="M772" s="21" t="str">
        <f>IF(A772="","",IFERROR(IF(SUMIF(N$2:N772,"CASA",K$2:K772)=0,"",SUMIF(N$2:N772,"CASA",K$2:K772)),""))</f>
        <v/>
      </c>
      <c r="N772" s="17" t="str">
        <f>IF(J772="","",IF(J772=0.2,"CASA",IF(Dati!G772="","",Dati!G772)))</f>
        <v/>
      </c>
    </row>
    <row r="773" spans="1:14" ht="15" customHeight="1" x14ac:dyDescent="0.2">
      <c r="A773" s="23" t="str">
        <f>IF(Dati!A773="","",Dati!A773)</f>
        <v/>
      </c>
      <c r="B773" s="17" t="str">
        <f>IF(Dati!B773="","",Dati!B773)</f>
        <v/>
      </c>
      <c r="C773" s="17" t="str">
        <f>IF(B773="","",IF(ISNUMBER(B772),IF(B773-B772&lt;0,B773,IF(B773-B772=0,"",B773-B772)),B773))</f>
        <v/>
      </c>
      <c r="D773" s="18" t="str">
        <f>IF(Dati!C773="","",IF(Dati!C773&gt;1,Dati!C773/100,Dati!C773))</f>
        <v/>
      </c>
      <c r="E773" s="18" t="str">
        <f>IF(Dati!D773="","",IF(Dati!D773&gt;1,Dati!D773/100,Dati!D773))</f>
        <v/>
      </c>
      <c r="F773" s="18" t="str">
        <f>IF(OR(D773="",E773=""),"",IF(OR(D773&gt;1,E773&gt;1),(E773-D773)/100,E773-D773))</f>
        <v/>
      </c>
      <c r="G773" s="17" t="str">
        <f>IF(F773="","",IF(64*F773=0,"",64*F773))</f>
        <v/>
      </c>
      <c r="H773" s="19" t="str">
        <f>IF(Dati!E773="","",Dati!E773)</f>
        <v/>
      </c>
      <c r="I773" s="19" t="str">
        <f>IFERROR(IF(OR(C773="",C773=0),"",H773/C773*100),"")</f>
        <v/>
      </c>
      <c r="J773" s="20" t="str">
        <f>IF(Dati!F773="","",Dati!F773)</f>
        <v/>
      </c>
      <c r="K773" s="19" t="str">
        <f>IF(OR(H773="",J773=""),"",IF(H773*J773=0,"",H773*J773))</f>
        <v/>
      </c>
      <c r="L773" s="19" t="str">
        <f>IF(A773="","",IFERROR(IF(SUMPRODUCT((ISNUMBER(A$2:A773))*(A$2:A773&gt;1000)*(MONTH(IF(ISNUMBER(A$2:A773),A$2:A773,1))=MONTH(A773))*(YEAR(IF(ISNUMBER(A$2:A773),A$2:A773,1))=YEAR(A773))*IF(ISNUMBER(K$2:K773),K$2:K773,0))=0,"",SUMPRODUCT((ISNUMBER(A$2:A773))*(A$2:A773&gt;1000)*(MONTH(IF(ISNUMBER(A$2:A773),A$2:A773,1))=MONTH(A773))*(YEAR(IF(ISNUMBER(A$2:A773),A$2:A773,1))=YEAR(A773))*IF(ISNUMBER(K$2:K773),K$2:K773,0))),""))</f>
        <v/>
      </c>
      <c r="M773" s="21" t="str">
        <f>IF(A773="","",IFERROR(IF(SUMIF(N$2:N773,"CASA",K$2:K773)=0,"",SUMIF(N$2:N773,"CASA",K$2:K773)),""))</f>
        <v/>
      </c>
      <c r="N773" s="17" t="str">
        <f>IF(J773="","",IF(J773=0.2,"CASA",IF(Dati!G773="","",Dati!G773)))</f>
        <v/>
      </c>
    </row>
    <row r="774" spans="1:14" ht="15" customHeight="1" x14ac:dyDescent="0.2">
      <c r="A774" s="23" t="str">
        <f>IF(Dati!A774="","",Dati!A774)</f>
        <v/>
      </c>
      <c r="B774" s="17" t="str">
        <f>IF(Dati!B774="","",Dati!B774)</f>
        <v/>
      </c>
      <c r="C774" s="17" t="str">
        <f>IF(B774="","",IF(ISNUMBER(B773),IF(B774-B773&lt;0,B774,IF(B774-B773=0,"",B774-B773)),B774))</f>
        <v/>
      </c>
      <c r="D774" s="18" t="str">
        <f>IF(Dati!C774="","",IF(Dati!C774&gt;1,Dati!C774/100,Dati!C774))</f>
        <v/>
      </c>
      <c r="E774" s="18" t="str">
        <f>IF(Dati!D774="","",IF(Dati!D774&gt;1,Dati!D774/100,Dati!D774))</f>
        <v/>
      </c>
      <c r="F774" s="18" t="str">
        <f>IF(OR(D774="",E774=""),"",IF(OR(D774&gt;1,E774&gt;1),(E774-D774)/100,E774-D774))</f>
        <v/>
      </c>
      <c r="G774" s="17" t="str">
        <f>IF(F774="","",IF(64*F774=0,"",64*F774))</f>
        <v/>
      </c>
      <c r="H774" s="19" t="str">
        <f>IF(Dati!E774="","",Dati!E774)</f>
        <v/>
      </c>
      <c r="I774" s="19" t="str">
        <f>IFERROR(IF(OR(C774="",C774=0),"",H774/C774*100),"")</f>
        <v/>
      </c>
      <c r="J774" s="20" t="str">
        <f>IF(Dati!F774="","",Dati!F774)</f>
        <v/>
      </c>
      <c r="K774" s="19" t="str">
        <f>IF(OR(H774="",J774=""),"",IF(H774*J774=0,"",H774*J774))</f>
        <v/>
      </c>
      <c r="L774" s="19" t="str">
        <f>IF(A774="","",IFERROR(IF(SUMPRODUCT((ISNUMBER(A$2:A774))*(A$2:A774&gt;1000)*(MONTH(IF(ISNUMBER(A$2:A774),A$2:A774,1))=MONTH(A774))*(YEAR(IF(ISNUMBER(A$2:A774),A$2:A774,1))=YEAR(A774))*IF(ISNUMBER(K$2:K774),K$2:K774,0))=0,"",SUMPRODUCT((ISNUMBER(A$2:A774))*(A$2:A774&gt;1000)*(MONTH(IF(ISNUMBER(A$2:A774),A$2:A774,1))=MONTH(A774))*(YEAR(IF(ISNUMBER(A$2:A774),A$2:A774,1))=YEAR(A774))*IF(ISNUMBER(K$2:K774),K$2:K774,0))),""))</f>
        <v/>
      </c>
      <c r="M774" s="21" t="str">
        <f>IF(A774="","",IFERROR(IF(SUMIF(N$2:N774,"CASA",K$2:K774)=0,"",SUMIF(N$2:N774,"CASA",K$2:K774)),""))</f>
        <v/>
      </c>
      <c r="N774" s="17" t="str">
        <f>IF(J774="","",IF(J774=0.2,"CASA",IF(Dati!G774="","",Dati!G774)))</f>
        <v/>
      </c>
    </row>
    <row r="775" spans="1:14" ht="15" customHeight="1" x14ac:dyDescent="0.2">
      <c r="A775" s="23" t="str">
        <f>IF(Dati!A775="","",Dati!A775)</f>
        <v/>
      </c>
      <c r="B775" s="17" t="str">
        <f>IF(Dati!B775="","",Dati!B775)</f>
        <v/>
      </c>
      <c r="C775" s="17" t="str">
        <f>IF(B775="","",IF(ISNUMBER(B774),IF(B775-B774&lt;0,B775,IF(B775-B774=0,"",B775-B774)),B775))</f>
        <v/>
      </c>
      <c r="D775" s="18" t="str">
        <f>IF(Dati!C775="","",IF(Dati!C775&gt;1,Dati!C775/100,Dati!C775))</f>
        <v/>
      </c>
      <c r="E775" s="18" t="str">
        <f>IF(Dati!D775="","",IF(Dati!D775&gt;1,Dati!D775/100,Dati!D775))</f>
        <v/>
      </c>
      <c r="F775" s="18" t="str">
        <f>IF(OR(D775="",E775=""),"",IF(OR(D775&gt;1,E775&gt;1),(E775-D775)/100,E775-D775))</f>
        <v/>
      </c>
      <c r="G775" s="17" t="str">
        <f>IF(F775="","",IF(64*F775=0,"",64*F775))</f>
        <v/>
      </c>
      <c r="H775" s="19" t="str">
        <f>IF(Dati!E775="","",Dati!E775)</f>
        <v/>
      </c>
      <c r="I775" s="19" t="str">
        <f>IFERROR(IF(OR(C775="",C775=0),"",H775/C775*100),"")</f>
        <v/>
      </c>
      <c r="J775" s="20" t="str">
        <f>IF(Dati!F775="","",Dati!F775)</f>
        <v/>
      </c>
      <c r="K775" s="19" t="str">
        <f>IF(OR(H775="",J775=""),"",IF(H775*J775=0,"",H775*J775))</f>
        <v/>
      </c>
      <c r="L775" s="19" t="str">
        <f>IF(A775="","",IFERROR(IF(SUMPRODUCT((ISNUMBER(A$2:A775))*(A$2:A775&gt;1000)*(MONTH(IF(ISNUMBER(A$2:A775),A$2:A775,1))=MONTH(A775))*(YEAR(IF(ISNUMBER(A$2:A775),A$2:A775,1))=YEAR(A775))*IF(ISNUMBER(K$2:K775),K$2:K775,0))=0,"",SUMPRODUCT((ISNUMBER(A$2:A775))*(A$2:A775&gt;1000)*(MONTH(IF(ISNUMBER(A$2:A775),A$2:A775,1))=MONTH(A775))*(YEAR(IF(ISNUMBER(A$2:A775),A$2:A775,1))=YEAR(A775))*IF(ISNUMBER(K$2:K775),K$2:K775,0))),""))</f>
        <v/>
      </c>
      <c r="M775" s="21" t="str">
        <f>IF(A775="","",IFERROR(IF(SUMIF(N$2:N775,"CASA",K$2:K775)=0,"",SUMIF(N$2:N775,"CASA",K$2:K775)),""))</f>
        <v/>
      </c>
      <c r="N775" s="17" t="str">
        <f>IF(J775="","",IF(J775=0.2,"CASA",IF(Dati!G775="","",Dati!G775)))</f>
        <v/>
      </c>
    </row>
    <row r="776" spans="1:14" ht="15" customHeight="1" x14ac:dyDescent="0.2">
      <c r="A776" s="23" t="str">
        <f>IF(Dati!A776="","",Dati!A776)</f>
        <v/>
      </c>
      <c r="B776" s="17" t="str">
        <f>IF(Dati!B776="","",Dati!B776)</f>
        <v/>
      </c>
      <c r="C776" s="17" t="str">
        <f>IF(B776="","",IF(ISNUMBER(B775),IF(B776-B775&lt;0,B776,IF(B776-B775=0,"",B776-B775)),B776))</f>
        <v/>
      </c>
      <c r="D776" s="18" t="str">
        <f>IF(Dati!C776="","",IF(Dati!C776&gt;1,Dati!C776/100,Dati!C776))</f>
        <v/>
      </c>
      <c r="E776" s="18" t="str">
        <f>IF(Dati!D776="","",IF(Dati!D776&gt;1,Dati!D776/100,Dati!D776))</f>
        <v/>
      </c>
      <c r="F776" s="18" t="str">
        <f>IF(OR(D776="",E776=""),"",IF(OR(D776&gt;1,E776&gt;1),(E776-D776)/100,E776-D776))</f>
        <v/>
      </c>
      <c r="G776" s="17" t="str">
        <f>IF(F776="","",IF(64*F776=0,"",64*F776))</f>
        <v/>
      </c>
      <c r="H776" s="19" t="str">
        <f>IF(Dati!E776="","",Dati!E776)</f>
        <v/>
      </c>
      <c r="I776" s="19" t="str">
        <f>IFERROR(IF(OR(C776="",C776=0),"",H776/C776*100),"")</f>
        <v/>
      </c>
      <c r="J776" s="20" t="str">
        <f>IF(Dati!F776="","",Dati!F776)</f>
        <v/>
      </c>
      <c r="K776" s="19" t="str">
        <f>IF(OR(H776="",J776=""),"",IF(H776*J776=0,"",H776*J776))</f>
        <v/>
      </c>
      <c r="L776" s="19" t="str">
        <f>IF(A776="","",IFERROR(IF(SUMPRODUCT((ISNUMBER(A$2:A776))*(A$2:A776&gt;1000)*(MONTH(IF(ISNUMBER(A$2:A776),A$2:A776,1))=MONTH(A776))*(YEAR(IF(ISNUMBER(A$2:A776),A$2:A776,1))=YEAR(A776))*IF(ISNUMBER(K$2:K776),K$2:K776,0))=0,"",SUMPRODUCT((ISNUMBER(A$2:A776))*(A$2:A776&gt;1000)*(MONTH(IF(ISNUMBER(A$2:A776),A$2:A776,1))=MONTH(A776))*(YEAR(IF(ISNUMBER(A$2:A776),A$2:A776,1))=YEAR(A776))*IF(ISNUMBER(K$2:K776),K$2:K776,0))),""))</f>
        <v/>
      </c>
      <c r="M776" s="21" t="str">
        <f>IF(A776="","",IFERROR(IF(SUMIF(N$2:N776,"CASA",K$2:K776)=0,"",SUMIF(N$2:N776,"CASA",K$2:K776)),""))</f>
        <v/>
      </c>
      <c r="N776" s="17" t="str">
        <f>IF(J776="","",IF(J776=0.2,"CASA",IF(Dati!G776="","",Dati!G776)))</f>
        <v/>
      </c>
    </row>
    <row r="777" spans="1:14" ht="15" customHeight="1" x14ac:dyDescent="0.2">
      <c r="A777" s="23" t="str">
        <f>IF(Dati!A777="","",Dati!A777)</f>
        <v/>
      </c>
      <c r="B777" s="17" t="str">
        <f>IF(Dati!B777="","",Dati!B777)</f>
        <v/>
      </c>
      <c r="C777" s="17" t="str">
        <f>IF(B777="","",IF(ISNUMBER(B776),IF(B777-B776&lt;0,B777,IF(B777-B776=0,"",B777-B776)),B777))</f>
        <v/>
      </c>
      <c r="D777" s="18" t="str">
        <f>IF(Dati!C777="","",IF(Dati!C777&gt;1,Dati!C777/100,Dati!C777))</f>
        <v/>
      </c>
      <c r="E777" s="18" t="str">
        <f>IF(Dati!D777="","",IF(Dati!D777&gt;1,Dati!D777/100,Dati!D777))</f>
        <v/>
      </c>
      <c r="F777" s="18" t="str">
        <f>IF(OR(D777="",E777=""),"",IF(OR(D777&gt;1,E777&gt;1),(E777-D777)/100,E777-D777))</f>
        <v/>
      </c>
      <c r="G777" s="17" t="str">
        <f>IF(F777="","",IF(64*F777=0,"",64*F777))</f>
        <v/>
      </c>
      <c r="H777" s="19" t="str">
        <f>IF(Dati!E777="","",Dati!E777)</f>
        <v/>
      </c>
      <c r="I777" s="19" t="str">
        <f>IFERROR(IF(OR(C777="",C777=0),"",H777/C777*100),"")</f>
        <v/>
      </c>
      <c r="J777" s="20" t="str">
        <f>IF(Dati!F777="","",Dati!F777)</f>
        <v/>
      </c>
      <c r="K777" s="19" t="str">
        <f>IF(OR(H777="",J777=""),"",IF(H777*J777=0,"",H777*J777))</f>
        <v/>
      </c>
      <c r="L777" s="19" t="str">
        <f>IF(A777="","",IFERROR(IF(SUMPRODUCT((ISNUMBER(A$2:A777))*(A$2:A777&gt;1000)*(MONTH(IF(ISNUMBER(A$2:A777),A$2:A777,1))=MONTH(A777))*(YEAR(IF(ISNUMBER(A$2:A777),A$2:A777,1))=YEAR(A777))*IF(ISNUMBER(K$2:K777),K$2:K777,0))=0,"",SUMPRODUCT((ISNUMBER(A$2:A777))*(A$2:A777&gt;1000)*(MONTH(IF(ISNUMBER(A$2:A777),A$2:A777,1))=MONTH(A777))*(YEAR(IF(ISNUMBER(A$2:A777),A$2:A777,1))=YEAR(A777))*IF(ISNUMBER(K$2:K777),K$2:K777,0))),""))</f>
        <v/>
      </c>
      <c r="M777" s="21" t="str">
        <f>IF(A777="","",IFERROR(IF(SUMIF(N$2:N777,"CASA",K$2:K777)=0,"",SUMIF(N$2:N777,"CASA",K$2:K777)),""))</f>
        <v/>
      </c>
      <c r="N777" s="17" t="str">
        <f>IF(J777="","",IF(J777=0.2,"CASA",IF(Dati!G777="","",Dati!G777)))</f>
        <v/>
      </c>
    </row>
    <row r="778" spans="1:14" ht="15" customHeight="1" x14ac:dyDescent="0.2">
      <c r="A778" s="23" t="str">
        <f>IF(Dati!A778="","",Dati!A778)</f>
        <v/>
      </c>
      <c r="B778" s="17" t="str">
        <f>IF(Dati!B778="","",Dati!B778)</f>
        <v/>
      </c>
      <c r="C778" s="17" t="str">
        <f>IF(B778="","",IF(ISNUMBER(B777),IF(B778-B777&lt;0,B778,IF(B778-B777=0,"",B778-B777)),B778))</f>
        <v/>
      </c>
      <c r="D778" s="18" t="str">
        <f>IF(Dati!C778="","",IF(Dati!C778&gt;1,Dati!C778/100,Dati!C778))</f>
        <v/>
      </c>
      <c r="E778" s="18" t="str">
        <f>IF(Dati!D778="","",IF(Dati!D778&gt;1,Dati!D778/100,Dati!D778))</f>
        <v/>
      </c>
      <c r="F778" s="18" t="str">
        <f>IF(OR(D778="",E778=""),"",IF(OR(D778&gt;1,E778&gt;1),(E778-D778)/100,E778-D778))</f>
        <v/>
      </c>
      <c r="G778" s="17" t="str">
        <f>IF(F778="","",IF(64*F778=0,"",64*F778))</f>
        <v/>
      </c>
      <c r="H778" s="19" t="str">
        <f>IF(Dati!E778="","",Dati!E778)</f>
        <v/>
      </c>
      <c r="I778" s="19" t="str">
        <f>IFERROR(IF(OR(C778="",C778=0),"",H778/C778*100),"")</f>
        <v/>
      </c>
      <c r="J778" s="20" t="str">
        <f>IF(Dati!F778="","",Dati!F778)</f>
        <v/>
      </c>
      <c r="K778" s="19" t="str">
        <f>IF(OR(H778="",J778=""),"",IF(H778*J778=0,"",H778*J778))</f>
        <v/>
      </c>
      <c r="L778" s="19" t="str">
        <f>IF(A778="","",IFERROR(IF(SUMPRODUCT((ISNUMBER(A$2:A778))*(A$2:A778&gt;1000)*(MONTH(IF(ISNUMBER(A$2:A778),A$2:A778,1))=MONTH(A778))*(YEAR(IF(ISNUMBER(A$2:A778),A$2:A778,1))=YEAR(A778))*IF(ISNUMBER(K$2:K778),K$2:K778,0))=0,"",SUMPRODUCT((ISNUMBER(A$2:A778))*(A$2:A778&gt;1000)*(MONTH(IF(ISNUMBER(A$2:A778),A$2:A778,1))=MONTH(A778))*(YEAR(IF(ISNUMBER(A$2:A778),A$2:A778,1))=YEAR(A778))*IF(ISNUMBER(K$2:K778),K$2:K778,0))),""))</f>
        <v/>
      </c>
      <c r="M778" s="21" t="str">
        <f>IF(A778="","",IFERROR(IF(SUMIF(N$2:N778,"CASA",K$2:K778)=0,"",SUMIF(N$2:N778,"CASA",K$2:K778)),""))</f>
        <v/>
      </c>
      <c r="N778" s="17" t="str">
        <f>IF(J778="","",IF(J778=0.2,"CASA",IF(Dati!G778="","",Dati!G778)))</f>
        <v/>
      </c>
    </row>
    <row r="779" spans="1:14" ht="15" customHeight="1" x14ac:dyDescent="0.2">
      <c r="A779" s="23" t="str">
        <f>IF(Dati!A779="","",Dati!A779)</f>
        <v/>
      </c>
      <c r="B779" s="17" t="str">
        <f>IF(Dati!B779="","",Dati!B779)</f>
        <v/>
      </c>
      <c r="C779" s="17" t="str">
        <f>IF(B779="","",IF(ISNUMBER(B778),IF(B779-B778&lt;0,B779,IF(B779-B778=0,"",B779-B778)),B779))</f>
        <v/>
      </c>
      <c r="D779" s="18" t="str">
        <f>IF(Dati!C779="","",IF(Dati!C779&gt;1,Dati!C779/100,Dati!C779))</f>
        <v/>
      </c>
      <c r="E779" s="18" t="str">
        <f>IF(Dati!D779="","",IF(Dati!D779&gt;1,Dati!D779/100,Dati!D779))</f>
        <v/>
      </c>
      <c r="F779" s="18" t="str">
        <f>IF(OR(D779="",E779=""),"",IF(OR(D779&gt;1,E779&gt;1),(E779-D779)/100,E779-D779))</f>
        <v/>
      </c>
      <c r="G779" s="17" t="str">
        <f>IF(F779="","",IF(64*F779=0,"",64*F779))</f>
        <v/>
      </c>
      <c r="H779" s="19" t="str">
        <f>IF(Dati!E779="","",Dati!E779)</f>
        <v/>
      </c>
      <c r="I779" s="19" t="str">
        <f>IFERROR(IF(OR(C779="",C779=0),"",H779/C779*100),"")</f>
        <v/>
      </c>
      <c r="J779" s="20" t="str">
        <f>IF(Dati!F779="","",Dati!F779)</f>
        <v/>
      </c>
      <c r="K779" s="19" t="str">
        <f>IF(OR(H779="",J779=""),"",IF(H779*J779=0,"",H779*J779))</f>
        <v/>
      </c>
      <c r="L779" s="19" t="str">
        <f>IF(A779="","",IFERROR(IF(SUMPRODUCT((ISNUMBER(A$2:A779))*(A$2:A779&gt;1000)*(MONTH(IF(ISNUMBER(A$2:A779),A$2:A779,1))=MONTH(A779))*(YEAR(IF(ISNUMBER(A$2:A779),A$2:A779,1))=YEAR(A779))*IF(ISNUMBER(K$2:K779),K$2:K779,0))=0,"",SUMPRODUCT((ISNUMBER(A$2:A779))*(A$2:A779&gt;1000)*(MONTH(IF(ISNUMBER(A$2:A779),A$2:A779,1))=MONTH(A779))*(YEAR(IF(ISNUMBER(A$2:A779),A$2:A779,1))=YEAR(A779))*IF(ISNUMBER(K$2:K779),K$2:K779,0))),""))</f>
        <v/>
      </c>
      <c r="M779" s="21" t="str">
        <f>IF(A779="","",IFERROR(IF(SUMIF(N$2:N779,"CASA",K$2:K779)=0,"",SUMIF(N$2:N779,"CASA",K$2:K779)),""))</f>
        <v/>
      </c>
      <c r="N779" s="17" t="str">
        <f>IF(J779="","",IF(J779=0.2,"CASA",IF(Dati!G779="","",Dati!G779)))</f>
        <v/>
      </c>
    </row>
    <row r="780" spans="1:14" ht="15" customHeight="1" x14ac:dyDescent="0.2">
      <c r="A780" s="23" t="str">
        <f>IF(Dati!A780="","",Dati!A780)</f>
        <v/>
      </c>
      <c r="B780" s="17" t="str">
        <f>IF(Dati!B780="","",Dati!B780)</f>
        <v/>
      </c>
      <c r="C780" s="17" t="str">
        <f>IF(B780="","",IF(ISNUMBER(B779),IF(B780-B779&lt;0,B780,IF(B780-B779=0,"",B780-B779)),B780))</f>
        <v/>
      </c>
      <c r="D780" s="18" t="str">
        <f>IF(Dati!C780="","",IF(Dati!C780&gt;1,Dati!C780/100,Dati!C780))</f>
        <v/>
      </c>
      <c r="E780" s="18" t="str">
        <f>IF(Dati!D780="","",IF(Dati!D780&gt;1,Dati!D780/100,Dati!D780))</f>
        <v/>
      </c>
      <c r="F780" s="18" t="str">
        <f>IF(OR(D780="",E780=""),"",IF(OR(D780&gt;1,E780&gt;1),(E780-D780)/100,E780-D780))</f>
        <v/>
      </c>
      <c r="G780" s="17" t="str">
        <f>IF(F780="","",IF(64*F780=0,"",64*F780))</f>
        <v/>
      </c>
      <c r="H780" s="19" t="str">
        <f>IF(Dati!E780="","",Dati!E780)</f>
        <v/>
      </c>
      <c r="I780" s="19" t="str">
        <f>IFERROR(IF(OR(C780="",C780=0),"",H780/C780*100),"")</f>
        <v/>
      </c>
      <c r="J780" s="20" t="str">
        <f>IF(Dati!F780="","",Dati!F780)</f>
        <v/>
      </c>
      <c r="K780" s="19" t="str">
        <f>IF(OR(H780="",J780=""),"",IF(H780*J780=0,"",H780*J780))</f>
        <v/>
      </c>
      <c r="L780" s="19" t="str">
        <f>IF(A780="","",IFERROR(IF(SUMPRODUCT((ISNUMBER(A$2:A780))*(A$2:A780&gt;1000)*(MONTH(IF(ISNUMBER(A$2:A780),A$2:A780,1))=MONTH(A780))*(YEAR(IF(ISNUMBER(A$2:A780),A$2:A780,1))=YEAR(A780))*IF(ISNUMBER(K$2:K780),K$2:K780,0))=0,"",SUMPRODUCT((ISNUMBER(A$2:A780))*(A$2:A780&gt;1000)*(MONTH(IF(ISNUMBER(A$2:A780),A$2:A780,1))=MONTH(A780))*(YEAR(IF(ISNUMBER(A$2:A780),A$2:A780,1))=YEAR(A780))*IF(ISNUMBER(K$2:K780),K$2:K780,0))),""))</f>
        <v/>
      </c>
      <c r="M780" s="21" t="str">
        <f>IF(A780="","",IFERROR(IF(SUMIF(N$2:N780,"CASA",K$2:K780)=0,"",SUMIF(N$2:N780,"CASA",K$2:K780)),""))</f>
        <v/>
      </c>
      <c r="N780" s="17" t="str">
        <f>IF(J780="","",IF(J780=0.2,"CASA",IF(Dati!G780="","",Dati!G780)))</f>
        <v/>
      </c>
    </row>
    <row r="781" spans="1:14" ht="15" customHeight="1" x14ac:dyDescent="0.2">
      <c r="A781" s="23" t="str">
        <f>IF(Dati!A781="","",Dati!A781)</f>
        <v/>
      </c>
      <c r="B781" s="17" t="str">
        <f>IF(Dati!B781="","",Dati!B781)</f>
        <v/>
      </c>
      <c r="C781" s="17" t="str">
        <f>IF(B781="","",IF(ISNUMBER(B780),IF(B781-B780&lt;0,B781,IF(B781-B780=0,"",B781-B780)),B781))</f>
        <v/>
      </c>
      <c r="D781" s="18" t="str">
        <f>IF(Dati!C781="","",IF(Dati!C781&gt;1,Dati!C781/100,Dati!C781))</f>
        <v/>
      </c>
      <c r="E781" s="18" t="str">
        <f>IF(Dati!D781="","",IF(Dati!D781&gt;1,Dati!D781/100,Dati!D781))</f>
        <v/>
      </c>
      <c r="F781" s="18" t="str">
        <f>IF(OR(D781="",E781=""),"",IF(OR(D781&gt;1,E781&gt;1),(E781-D781)/100,E781-D781))</f>
        <v/>
      </c>
      <c r="G781" s="17" t="str">
        <f>IF(F781="","",IF(64*F781=0,"",64*F781))</f>
        <v/>
      </c>
      <c r="H781" s="19" t="str">
        <f>IF(Dati!E781="","",Dati!E781)</f>
        <v/>
      </c>
      <c r="I781" s="19" t="str">
        <f>IFERROR(IF(OR(C781="",C781=0),"",H781/C781*100),"")</f>
        <v/>
      </c>
      <c r="J781" s="20" t="str">
        <f>IF(Dati!F781="","",Dati!F781)</f>
        <v/>
      </c>
      <c r="K781" s="19" t="str">
        <f>IF(OR(H781="",J781=""),"",IF(H781*J781=0,"",H781*J781))</f>
        <v/>
      </c>
      <c r="L781" s="19" t="str">
        <f>IF(A781="","",IFERROR(IF(SUMPRODUCT((ISNUMBER(A$2:A781))*(A$2:A781&gt;1000)*(MONTH(IF(ISNUMBER(A$2:A781),A$2:A781,1))=MONTH(A781))*(YEAR(IF(ISNUMBER(A$2:A781),A$2:A781,1))=YEAR(A781))*IF(ISNUMBER(K$2:K781),K$2:K781,0))=0,"",SUMPRODUCT((ISNUMBER(A$2:A781))*(A$2:A781&gt;1000)*(MONTH(IF(ISNUMBER(A$2:A781),A$2:A781,1))=MONTH(A781))*(YEAR(IF(ISNUMBER(A$2:A781),A$2:A781,1))=YEAR(A781))*IF(ISNUMBER(K$2:K781),K$2:K781,0))),""))</f>
        <v/>
      </c>
      <c r="M781" s="21" t="str">
        <f>IF(A781="","",IFERROR(IF(SUMIF(N$2:N781,"CASA",K$2:K781)=0,"",SUMIF(N$2:N781,"CASA",K$2:K781)),""))</f>
        <v/>
      </c>
      <c r="N781" s="17" t="str">
        <f>IF(J781="","",IF(J781=0.2,"CASA",IF(Dati!G781="","",Dati!G781)))</f>
        <v/>
      </c>
    </row>
    <row r="782" spans="1:14" ht="15" customHeight="1" x14ac:dyDescent="0.2">
      <c r="A782" s="23" t="str">
        <f>IF(Dati!A782="","",Dati!A782)</f>
        <v/>
      </c>
      <c r="B782" s="17" t="str">
        <f>IF(Dati!B782="","",Dati!B782)</f>
        <v/>
      </c>
      <c r="C782" s="17" t="str">
        <f>IF(B782="","",IF(ISNUMBER(B781),IF(B782-B781&lt;0,B782,IF(B782-B781=0,"",B782-B781)),B782))</f>
        <v/>
      </c>
      <c r="D782" s="18" t="str">
        <f>IF(Dati!C782="","",IF(Dati!C782&gt;1,Dati!C782/100,Dati!C782))</f>
        <v/>
      </c>
      <c r="E782" s="18" t="str">
        <f>IF(Dati!D782="","",IF(Dati!D782&gt;1,Dati!D782/100,Dati!D782))</f>
        <v/>
      </c>
      <c r="F782" s="18" t="str">
        <f>IF(OR(D782="",E782=""),"",IF(OR(D782&gt;1,E782&gt;1),(E782-D782)/100,E782-D782))</f>
        <v/>
      </c>
      <c r="G782" s="17" t="str">
        <f>IF(F782="","",IF(64*F782=0,"",64*F782))</f>
        <v/>
      </c>
      <c r="H782" s="19" t="str">
        <f>IF(Dati!E782="","",Dati!E782)</f>
        <v/>
      </c>
      <c r="I782" s="19" t="str">
        <f>IFERROR(IF(OR(C782="",C782=0),"",H782/C782*100),"")</f>
        <v/>
      </c>
      <c r="J782" s="20" t="str">
        <f>IF(Dati!F782="","",Dati!F782)</f>
        <v/>
      </c>
      <c r="K782" s="19" t="str">
        <f>IF(OR(H782="",J782=""),"",IF(H782*J782=0,"",H782*J782))</f>
        <v/>
      </c>
      <c r="L782" s="19" t="str">
        <f>IF(A782="","",IFERROR(IF(SUMPRODUCT((ISNUMBER(A$2:A782))*(A$2:A782&gt;1000)*(MONTH(IF(ISNUMBER(A$2:A782),A$2:A782,1))=MONTH(A782))*(YEAR(IF(ISNUMBER(A$2:A782),A$2:A782,1))=YEAR(A782))*IF(ISNUMBER(K$2:K782),K$2:K782,0))=0,"",SUMPRODUCT((ISNUMBER(A$2:A782))*(A$2:A782&gt;1000)*(MONTH(IF(ISNUMBER(A$2:A782),A$2:A782,1))=MONTH(A782))*(YEAR(IF(ISNUMBER(A$2:A782),A$2:A782,1))=YEAR(A782))*IF(ISNUMBER(K$2:K782),K$2:K782,0))),""))</f>
        <v/>
      </c>
      <c r="M782" s="21" t="str">
        <f>IF(A782="","",IFERROR(IF(SUMIF(N$2:N782,"CASA",K$2:K782)=0,"",SUMIF(N$2:N782,"CASA",K$2:K782)),""))</f>
        <v/>
      </c>
      <c r="N782" s="17" t="str">
        <f>IF(J782="","",IF(J782=0.2,"CASA",IF(Dati!G782="","",Dati!G782)))</f>
        <v/>
      </c>
    </row>
    <row r="783" spans="1:14" ht="15" customHeight="1" x14ac:dyDescent="0.2">
      <c r="A783" s="23" t="str">
        <f>IF(Dati!A783="","",Dati!A783)</f>
        <v/>
      </c>
      <c r="B783" s="17" t="str">
        <f>IF(Dati!B783="","",Dati!B783)</f>
        <v/>
      </c>
      <c r="C783" s="17" t="str">
        <f>IF(B783="","",IF(ISNUMBER(B782),IF(B783-B782&lt;0,B783,IF(B783-B782=0,"",B783-B782)),B783))</f>
        <v/>
      </c>
      <c r="D783" s="18" t="str">
        <f>IF(Dati!C783="","",IF(Dati!C783&gt;1,Dati!C783/100,Dati!C783))</f>
        <v/>
      </c>
      <c r="E783" s="18" t="str">
        <f>IF(Dati!D783="","",IF(Dati!D783&gt;1,Dati!D783/100,Dati!D783))</f>
        <v/>
      </c>
      <c r="F783" s="18" t="str">
        <f>IF(OR(D783="",E783=""),"",IF(OR(D783&gt;1,E783&gt;1),(E783-D783)/100,E783-D783))</f>
        <v/>
      </c>
      <c r="G783" s="17" t="str">
        <f>IF(F783="","",IF(64*F783=0,"",64*F783))</f>
        <v/>
      </c>
      <c r="H783" s="19" t="str">
        <f>IF(Dati!E783="","",Dati!E783)</f>
        <v/>
      </c>
      <c r="I783" s="19" t="str">
        <f>IFERROR(IF(OR(C783="",C783=0),"",H783/C783*100),"")</f>
        <v/>
      </c>
      <c r="J783" s="20" t="str">
        <f>IF(Dati!F783="","",Dati!F783)</f>
        <v/>
      </c>
      <c r="K783" s="19" t="str">
        <f>IF(OR(H783="",J783=""),"",IF(H783*J783=0,"",H783*J783))</f>
        <v/>
      </c>
      <c r="L783" s="19" t="str">
        <f>IF(A783="","",IFERROR(IF(SUMPRODUCT((ISNUMBER(A$2:A783))*(A$2:A783&gt;1000)*(MONTH(IF(ISNUMBER(A$2:A783),A$2:A783,1))=MONTH(A783))*(YEAR(IF(ISNUMBER(A$2:A783),A$2:A783,1))=YEAR(A783))*IF(ISNUMBER(K$2:K783),K$2:K783,0))=0,"",SUMPRODUCT((ISNUMBER(A$2:A783))*(A$2:A783&gt;1000)*(MONTH(IF(ISNUMBER(A$2:A783),A$2:A783,1))=MONTH(A783))*(YEAR(IF(ISNUMBER(A$2:A783),A$2:A783,1))=YEAR(A783))*IF(ISNUMBER(K$2:K783),K$2:K783,0))),""))</f>
        <v/>
      </c>
      <c r="M783" s="21" t="str">
        <f>IF(A783="","",IFERROR(IF(SUMIF(N$2:N783,"CASA",K$2:K783)=0,"",SUMIF(N$2:N783,"CASA",K$2:K783)),""))</f>
        <v/>
      </c>
      <c r="N783" s="17" t="str">
        <f>IF(J783="","",IF(J783=0.2,"CASA",IF(Dati!G783="","",Dati!G783)))</f>
        <v/>
      </c>
    </row>
    <row r="784" spans="1:14" ht="15" customHeight="1" x14ac:dyDescent="0.2">
      <c r="A784" s="23" t="str">
        <f>IF(Dati!A784="","",Dati!A784)</f>
        <v/>
      </c>
      <c r="B784" s="17" t="str">
        <f>IF(Dati!B784="","",Dati!B784)</f>
        <v/>
      </c>
      <c r="C784" s="17" t="str">
        <f>IF(B784="","",IF(ISNUMBER(B783),IF(B784-B783&lt;0,B784,IF(B784-B783=0,"",B784-B783)),B784))</f>
        <v/>
      </c>
      <c r="D784" s="18" t="str">
        <f>IF(Dati!C784="","",IF(Dati!C784&gt;1,Dati!C784/100,Dati!C784))</f>
        <v/>
      </c>
      <c r="E784" s="18" t="str">
        <f>IF(Dati!D784="","",IF(Dati!D784&gt;1,Dati!D784/100,Dati!D784))</f>
        <v/>
      </c>
      <c r="F784" s="18" t="str">
        <f>IF(OR(D784="",E784=""),"",IF(OR(D784&gt;1,E784&gt;1),(E784-D784)/100,E784-D784))</f>
        <v/>
      </c>
      <c r="G784" s="17" t="str">
        <f>IF(F784="","",IF(64*F784=0,"",64*F784))</f>
        <v/>
      </c>
      <c r="H784" s="19" t="str">
        <f>IF(Dati!E784="","",Dati!E784)</f>
        <v/>
      </c>
      <c r="I784" s="19" t="str">
        <f>IFERROR(IF(OR(C784="",C784=0),"",H784/C784*100),"")</f>
        <v/>
      </c>
      <c r="J784" s="20" t="str">
        <f>IF(Dati!F784="","",Dati!F784)</f>
        <v/>
      </c>
      <c r="K784" s="19" t="str">
        <f>IF(OR(H784="",J784=""),"",IF(H784*J784=0,"",H784*J784))</f>
        <v/>
      </c>
      <c r="L784" s="19" t="str">
        <f>IF(A784="","",IFERROR(IF(SUMPRODUCT((ISNUMBER(A$2:A784))*(A$2:A784&gt;1000)*(MONTH(IF(ISNUMBER(A$2:A784),A$2:A784,1))=MONTH(A784))*(YEAR(IF(ISNUMBER(A$2:A784),A$2:A784,1))=YEAR(A784))*IF(ISNUMBER(K$2:K784),K$2:K784,0))=0,"",SUMPRODUCT((ISNUMBER(A$2:A784))*(A$2:A784&gt;1000)*(MONTH(IF(ISNUMBER(A$2:A784),A$2:A784,1))=MONTH(A784))*(YEAR(IF(ISNUMBER(A$2:A784),A$2:A784,1))=YEAR(A784))*IF(ISNUMBER(K$2:K784),K$2:K784,0))),""))</f>
        <v/>
      </c>
      <c r="M784" s="21" t="str">
        <f>IF(A784="","",IFERROR(IF(SUMIF(N$2:N784,"CASA",K$2:K784)=0,"",SUMIF(N$2:N784,"CASA",K$2:K784)),""))</f>
        <v/>
      </c>
      <c r="N784" s="17" t="str">
        <f>IF(J784="","",IF(J784=0.2,"CASA",IF(Dati!G784="","",Dati!G784)))</f>
        <v/>
      </c>
    </row>
    <row r="785" spans="1:14" ht="15" customHeight="1" x14ac:dyDescent="0.2">
      <c r="A785" s="23" t="str">
        <f>IF(Dati!A785="","",Dati!A785)</f>
        <v/>
      </c>
      <c r="B785" s="17" t="str">
        <f>IF(Dati!B785="","",Dati!B785)</f>
        <v/>
      </c>
      <c r="C785" s="17" t="str">
        <f>IF(B785="","",IF(ISNUMBER(B784),IF(B785-B784&lt;0,B785,IF(B785-B784=0,"",B785-B784)),B785))</f>
        <v/>
      </c>
      <c r="D785" s="18" t="str">
        <f>IF(Dati!C785="","",IF(Dati!C785&gt;1,Dati!C785/100,Dati!C785))</f>
        <v/>
      </c>
      <c r="E785" s="18" t="str">
        <f>IF(Dati!D785="","",IF(Dati!D785&gt;1,Dati!D785/100,Dati!D785))</f>
        <v/>
      </c>
      <c r="F785" s="18" t="str">
        <f>IF(OR(D785="",E785=""),"",IF(OR(D785&gt;1,E785&gt;1),(E785-D785)/100,E785-D785))</f>
        <v/>
      </c>
      <c r="G785" s="17" t="str">
        <f>IF(F785="","",IF(64*F785=0,"",64*F785))</f>
        <v/>
      </c>
      <c r="H785" s="19" t="str">
        <f>IF(Dati!E785="","",Dati!E785)</f>
        <v/>
      </c>
      <c r="I785" s="19" t="str">
        <f>IFERROR(IF(OR(C785="",C785=0),"",H785/C785*100),"")</f>
        <v/>
      </c>
      <c r="J785" s="20" t="str">
        <f>IF(Dati!F785="","",Dati!F785)</f>
        <v/>
      </c>
      <c r="K785" s="19" t="str">
        <f>IF(OR(H785="",J785=""),"",IF(H785*J785=0,"",H785*J785))</f>
        <v/>
      </c>
      <c r="L785" s="19" t="str">
        <f>IF(A785="","",IFERROR(IF(SUMPRODUCT((ISNUMBER(A$2:A785))*(A$2:A785&gt;1000)*(MONTH(IF(ISNUMBER(A$2:A785),A$2:A785,1))=MONTH(A785))*(YEAR(IF(ISNUMBER(A$2:A785),A$2:A785,1))=YEAR(A785))*IF(ISNUMBER(K$2:K785),K$2:K785,0))=0,"",SUMPRODUCT((ISNUMBER(A$2:A785))*(A$2:A785&gt;1000)*(MONTH(IF(ISNUMBER(A$2:A785),A$2:A785,1))=MONTH(A785))*(YEAR(IF(ISNUMBER(A$2:A785),A$2:A785,1))=YEAR(A785))*IF(ISNUMBER(K$2:K785),K$2:K785,0))),""))</f>
        <v/>
      </c>
      <c r="M785" s="21" t="str">
        <f>IF(A785="","",IFERROR(IF(SUMIF(N$2:N785,"CASA",K$2:K785)=0,"",SUMIF(N$2:N785,"CASA",K$2:K785)),""))</f>
        <v/>
      </c>
      <c r="N785" s="17" t="str">
        <f>IF(J785="","",IF(J785=0.2,"CASA",IF(Dati!G785="","",Dati!G785)))</f>
        <v/>
      </c>
    </row>
    <row r="786" spans="1:14" ht="15" customHeight="1" x14ac:dyDescent="0.2">
      <c r="A786" s="23" t="str">
        <f>IF(Dati!A786="","",Dati!A786)</f>
        <v/>
      </c>
      <c r="B786" s="17" t="str">
        <f>IF(Dati!B786="","",Dati!B786)</f>
        <v/>
      </c>
      <c r="C786" s="17" t="str">
        <f>IF(B786="","",IF(ISNUMBER(B785),IF(B786-B785&lt;0,B786,IF(B786-B785=0,"",B786-B785)),B786))</f>
        <v/>
      </c>
      <c r="D786" s="18" t="str">
        <f>IF(Dati!C786="","",IF(Dati!C786&gt;1,Dati!C786/100,Dati!C786))</f>
        <v/>
      </c>
      <c r="E786" s="18" t="str">
        <f>IF(Dati!D786="","",IF(Dati!D786&gt;1,Dati!D786/100,Dati!D786))</f>
        <v/>
      </c>
      <c r="F786" s="18" t="str">
        <f>IF(OR(D786="",E786=""),"",IF(OR(D786&gt;1,E786&gt;1),(E786-D786)/100,E786-D786))</f>
        <v/>
      </c>
      <c r="G786" s="17" t="str">
        <f>IF(F786="","",IF(64*F786=0,"",64*F786))</f>
        <v/>
      </c>
      <c r="H786" s="19" t="str">
        <f>IF(Dati!E786="","",Dati!E786)</f>
        <v/>
      </c>
      <c r="I786" s="19" t="str">
        <f>IFERROR(IF(OR(C786="",C786=0),"",H786/C786*100),"")</f>
        <v/>
      </c>
      <c r="J786" s="20" t="str">
        <f>IF(Dati!F786="","",Dati!F786)</f>
        <v/>
      </c>
      <c r="K786" s="19" t="str">
        <f>IF(OR(H786="",J786=""),"",IF(H786*J786=0,"",H786*J786))</f>
        <v/>
      </c>
      <c r="L786" s="19" t="str">
        <f>IF(A786="","",IFERROR(IF(SUMPRODUCT((ISNUMBER(A$2:A786))*(A$2:A786&gt;1000)*(MONTH(IF(ISNUMBER(A$2:A786),A$2:A786,1))=MONTH(A786))*(YEAR(IF(ISNUMBER(A$2:A786),A$2:A786,1))=YEAR(A786))*IF(ISNUMBER(K$2:K786),K$2:K786,0))=0,"",SUMPRODUCT((ISNUMBER(A$2:A786))*(A$2:A786&gt;1000)*(MONTH(IF(ISNUMBER(A$2:A786),A$2:A786,1))=MONTH(A786))*(YEAR(IF(ISNUMBER(A$2:A786),A$2:A786,1))=YEAR(A786))*IF(ISNUMBER(K$2:K786),K$2:K786,0))),""))</f>
        <v/>
      </c>
      <c r="M786" s="21" t="str">
        <f>IF(A786="","",IFERROR(IF(SUMIF(N$2:N786,"CASA",K$2:K786)=0,"",SUMIF(N$2:N786,"CASA",K$2:K786)),""))</f>
        <v/>
      </c>
      <c r="N786" s="17" t="str">
        <f>IF(J786="","",IF(J786=0.2,"CASA",IF(Dati!G786="","",Dati!G786)))</f>
        <v/>
      </c>
    </row>
    <row r="787" spans="1:14" ht="15" customHeight="1" x14ac:dyDescent="0.2">
      <c r="A787" s="23" t="str">
        <f>IF(Dati!A787="","",Dati!A787)</f>
        <v/>
      </c>
      <c r="B787" s="17" t="str">
        <f>IF(Dati!B787="","",Dati!B787)</f>
        <v/>
      </c>
      <c r="C787" s="17" t="str">
        <f>IF(B787="","",IF(ISNUMBER(B786),IF(B787-B786&lt;0,B787,IF(B787-B786=0,"",B787-B786)),B787))</f>
        <v/>
      </c>
      <c r="D787" s="18" t="str">
        <f>IF(Dati!C787="","",IF(Dati!C787&gt;1,Dati!C787/100,Dati!C787))</f>
        <v/>
      </c>
      <c r="E787" s="18" t="str">
        <f>IF(Dati!D787="","",IF(Dati!D787&gt;1,Dati!D787/100,Dati!D787))</f>
        <v/>
      </c>
      <c r="F787" s="18" t="str">
        <f>IF(OR(D787="",E787=""),"",IF(OR(D787&gt;1,E787&gt;1),(E787-D787)/100,E787-D787))</f>
        <v/>
      </c>
      <c r="G787" s="17" t="str">
        <f>IF(F787="","",IF(64*F787=0,"",64*F787))</f>
        <v/>
      </c>
      <c r="H787" s="19" t="str">
        <f>IF(Dati!E787="","",Dati!E787)</f>
        <v/>
      </c>
      <c r="I787" s="19" t="str">
        <f>IFERROR(IF(OR(C787="",C787=0),"",H787/C787*100),"")</f>
        <v/>
      </c>
      <c r="J787" s="20" t="str">
        <f>IF(Dati!F787="","",Dati!F787)</f>
        <v/>
      </c>
      <c r="K787" s="19" t="str">
        <f>IF(OR(H787="",J787=""),"",IF(H787*J787=0,"",H787*J787))</f>
        <v/>
      </c>
      <c r="L787" s="19" t="str">
        <f>IF(A787="","",IFERROR(IF(SUMPRODUCT((ISNUMBER(A$2:A787))*(A$2:A787&gt;1000)*(MONTH(IF(ISNUMBER(A$2:A787),A$2:A787,1))=MONTH(A787))*(YEAR(IF(ISNUMBER(A$2:A787),A$2:A787,1))=YEAR(A787))*IF(ISNUMBER(K$2:K787),K$2:K787,0))=0,"",SUMPRODUCT((ISNUMBER(A$2:A787))*(A$2:A787&gt;1000)*(MONTH(IF(ISNUMBER(A$2:A787),A$2:A787,1))=MONTH(A787))*(YEAR(IF(ISNUMBER(A$2:A787),A$2:A787,1))=YEAR(A787))*IF(ISNUMBER(K$2:K787),K$2:K787,0))),""))</f>
        <v/>
      </c>
      <c r="M787" s="21" t="str">
        <f>IF(A787="","",IFERROR(IF(SUMIF(N$2:N787,"CASA",K$2:K787)=0,"",SUMIF(N$2:N787,"CASA",K$2:K787)),""))</f>
        <v/>
      </c>
      <c r="N787" s="17" t="str">
        <f>IF(J787="","",IF(J787=0.2,"CASA",IF(Dati!G787="","",Dati!G787)))</f>
        <v/>
      </c>
    </row>
    <row r="788" spans="1:14" ht="15" customHeight="1" x14ac:dyDescent="0.2">
      <c r="A788" s="23" t="str">
        <f>IF(Dati!A788="","",Dati!A788)</f>
        <v/>
      </c>
      <c r="B788" s="17" t="str">
        <f>IF(Dati!B788="","",Dati!B788)</f>
        <v/>
      </c>
      <c r="C788" s="17" t="str">
        <f>IF(B788="","",IF(ISNUMBER(B787),IF(B788-B787&lt;0,B788,IF(B788-B787=0,"",B788-B787)),B788))</f>
        <v/>
      </c>
      <c r="D788" s="18" t="str">
        <f>IF(Dati!C788="","",IF(Dati!C788&gt;1,Dati!C788/100,Dati!C788))</f>
        <v/>
      </c>
      <c r="E788" s="18" t="str">
        <f>IF(Dati!D788="","",IF(Dati!D788&gt;1,Dati!D788/100,Dati!D788))</f>
        <v/>
      </c>
      <c r="F788" s="18" t="str">
        <f>IF(OR(D788="",E788=""),"",IF(OR(D788&gt;1,E788&gt;1),(E788-D788)/100,E788-D788))</f>
        <v/>
      </c>
      <c r="G788" s="17" t="str">
        <f>IF(F788="","",IF(64*F788=0,"",64*F788))</f>
        <v/>
      </c>
      <c r="H788" s="19" t="str">
        <f>IF(Dati!E788="","",Dati!E788)</f>
        <v/>
      </c>
      <c r="I788" s="19" t="str">
        <f>IFERROR(IF(OR(C788="",C788=0),"",H788/C788*100),"")</f>
        <v/>
      </c>
      <c r="J788" s="20" t="str">
        <f>IF(Dati!F788="","",Dati!F788)</f>
        <v/>
      </c>
      <c r="K788" s="19" t="str">
        <f>IF(OR(H788="",J788=""),"",IF(H788*J788=0,"",H788*J788))</f>
        <v/>
      </c>
      <c r="L788" s="19" t="str">
        <f>IF(A788="","",IFERROR(IF(SUMPRODUCT((ISNUMBER(A$2:A788))*(A$2:A788&gt;1000)*(MONTH(IF(ISNUMBER(A$2:A788),A$2:A788,1))=MONTH(A788))*(YEAR(IF(ISNUMBER(A$2:A788),A$2:A788,1))=YEAR(A788))*IF(ISNUMBER(K$2:K788),K$2:K788,0))=0,"",SUMPRODUCT((ISNUMBER(A$2:A788))*(A$2:A788&gt;1000)*(MONTH(IF(ISNUMBER(A$2:A788),A$2:A788,1))=MONTH(A788))*(YEAR(IF(ISNUMBER(A$2:A788),A$2:A788,1))=YEAR(A788))*IF(ISNUMBER(K$2:K788),K$2:K788,0))),""))</f>
        <v/>
      </c>
      <c r="M788" s="21" t="str">
        <f>IF(A788="","",IFERROR(IF(SUMIF(N$2:N788,"CASA",K$2:K788)=0,"",SUMIF(N$2:N788,"CASA",K$2:K788)),""))</f>
        <v/>
      </c>
      <c r="N788" s="17" t="str">
        <f>IF(J788="","",IF(J788=0.2,"CASA",IF(Dati!G788="","",Dati!G788)))</f>
        <v/>
      </c>
    </row>
    <row r="789" spans="1:14" ht="15" customHeight="1" x14ac:dyDescent="0.2">
      <c r="A789" s="23" t="str">
        <f>IF(Dati!A789="","",Dati!A789)</f>
        <v/>
      </c>
      <c r="B789" s="17" t="str">
        <f>IF(Dati!B789="","",Dati!B789)</f>
        <v/>
      </c>
      <c r="C789" s="17" t="str">
        <f>IF(B789="","",IF(ISNUMBER(B788),IF(B789-B788&lt;0,B789,IF(B789-B788=0,"",B789-B788)),B789))</f>
        <v/>
      </c>
      <c r="D789" s="18" t="str">
        <f>IF(Dati!C789="","",IF(Dati!C789&gt;1,Dati!C789/100,Dati!C789))</f>
        <v/>
      </c>
      <c r="E789" s="18" t="str">
        <f>IF(Dati!D789="","",IF(Dati!D789&gt;1,Dati!D789/100,Dati!D789))</f>
        <v/>
      </c>
      <c r="F789" s="18" t="str">
        <f>IF(OR(D789="",E789=""),"",IF(OR(D789&gt;1,E789&gt;1),(E789-D789)/100,E789-D789))</f>
        <v/>
      </c>
      <c r="G789" s="17" t="str">
        <f>IF(F789="","",IF(64*F789=0,"",64*F789))</f>
        <v/>
      </c>
      <c r="H789" s="19" t="str">
        <f>IF(Dati!E789="","",Dati!E789)</f>
        <v/>
      </c>
      <c r="I789" s="19" t="str">
        <f>IFERROR(IF(OR(C789="",C789=0),"",H789/C789*100),"")</f>
        <v/>
      </c>
      <c r="J789" s="20" t="str">
        <f>IF(Dati!F789="","",Dati!F789)</f>
        <v/>
      </c>
      <c r="K789" s="19" t="str">
        <f>IF(OR(H789="",J789=""),"",IF(H789*J789=0,"",H789*J789))</f>
        <v/>
      </c>
      <c r="L789" s="19" t="str">
        <f>IF(A789="","",IFERROR(IF(SUMPRODUCT((ISNUMBER(A$2:A789))*(A$2:A789&gt;1000)*(MONTH(IF(ISNUMBER(A$2:A789),A$2:A789,1))=MONTH(A789))*(YEAR(IF(ISNUMBER(A$2:A789),A$2:A789,1))=YEAR(A789))*IF(ISNUMBER(K$2:K789),K$2:K789,0))=0,"",SUMPRODUCT((ISNUMBER(A$2:A789))*(A$2:A789&gt;1000)*(MONTH(IF(ISNUMBER(A$2:A789),A$2:A789,1))=MONTH(A789))*(YEAR(IF(ISNUMBER(A$2:A789),A$2:A789,1))=YEAR(A789))*IF(ISNUMBER(K$2:K789),K$2:K789,0))),""))</f>
        <v/>
      </c>
      <c r="M789" s="21" t="str">
        <f>IF(A789="","",IFERROR(IF(SUMIF(N$2:N789,"CASA",K$2:K789)=0,"",SUMIF(N$2:N789,"CASA",K$2:K789)),""))</f>
        <v/>
      </c>
      <c r="N789" s="17" t="str">
        <f>IF(J789="","",IF(J789=0.2,"CASA",IF(Dati!G789="","",Dati!G789)))</f>
        <v/>
      </c>
    </row>
    <row r="790" spans="1:14" ht="15" customHeight="1" x14ac:dyDescent="0.2">
      <c r="A790" s="23" t="str">
        <f>IF(Dati!A790="","",Dati!A790)</f>
        <v/>
      </c>
      <c r="B790" s="17" t="str">
        <f>IF(Dati!B790="","",Dati!B790)</f>
        <v/>
      </c>
      <c r="C790" s="17" t="str">
        <f>IF(B790="","",IF(ISNUMBER(B789),IF(B790-B789&lt;0,B790,IF(B790-B789=0,"",B790-B789)),B790))</f>
        <v/>
      </c>
      <c r="D790" s="18" t="str">
        <f>IF(Dati!C790="","",IF(Dati!C790&gt;1,Dati!C790/100,Dati!C790))</f>
        <v/>
      </c>
      <c r="E790" s="18" t="str">
        <f>IF(Dati!D790="","",IF(Dati!D790&gt;1,Dati!D790/100,Dati!D790))</f>
        <v/>
      </c>
      <c r="F790" s="18" t="str">
        <f>IF(OR(D790="",E790=""),"",IF(OR(D790&gt;1,E790&gt;1),(E790-D790)/100,E790-D790))</f>
        <v/>
      </c>
      <c r="G790" s="17" t="str">
        <f>IF(F790="","",IF(64*F790=0,"",64*F790))</f>
        <v/>
      </c>
      <c r="H790" s="19" t="str">
        <f>IF(Dati!E790="","",Dati!E790)</f>
        <v/>
      </c>
      <c r="I790" s="19" t="str">
        <f>IFERROR(IF(OR(C790="",C790=0),"",H790/C790*100),"")</f>
        <v/>
      </c>
      <c r="J790" s="20" t="str">
        <f>IF(Dati!F790="","",Dati!F790)</f>
        <v/>
      </c>
      <c r="K790" s="19" t="str">
        <f>IF(OR(H790="",J790=""),"",IF(H790*J790=0,"",H790*J790))</f>
        <v/>
      </c>
      <c r="L790" s="19" t="str">
        <f>IF(A790="","",IFERROR(IF(SUMPRODUCT((ISNUMBER(A$2:A790))*(A$2:A790&gt;1000)*(MONTH(IF(ISNUMBER(A$2:A790),A$2:A790,1))=MONTH(A790))*(YEAR(IF(ISNUMBER(A$2:A790),A$2:A790,1))=YEAR(A790))*IF(ISNUMBER(K$2:K790),K$2:K790,0))=0,"",SUMPRODUCT((ISNUMBER(A$2:A790))*(A$2:A790&gt;1000)*(MONTH(IF(ISNUMBER(A$2:A790),A$2:A790,1))=MONTH(A790))*(YEAR(IF(ISNUMBER(A$2:A790),A$2:A790,1))=YEAR(A790))*IF(ISNUMBER(K$2:K790),K$2:K790,0))),""))</f>
        <v/>
      </c>
      <c r="M790" s="21" t="str">
        <f>IF(A790="","",IFERROR(IF(SUMIF(N$2:N790,"CASA",K$2:K790)=0,"",SUMIF(N$2:N790,"CASA",K$2:K790)),""))</f>
        <v/>
      </c>
      <c r="N790" s="17" t="str">
        <f>IF(J790="","",IF(J790=0.2,"CASA",IF(Dati!G790="","",Dati!G790)))</f>
        <v/>
      </c>
    </row>
    <row r="791" spans="1:14" ht="15" customHeight="1" x14ac:dyDescent="0.2">
      <c r="A791" s="23" t="str">
        <f>IF(Dati!A791="","",Dati!A791)</f>
        <v/>
      </c>
      <c r="B791" s="17" t="str">
        <f>IF(Dati!B791="","",Dati!B791)</f>
        <v/>
      </c>
      <c r="C791" s="17" t="str">
        <f>IF(B791="","",IF(ISNUMBER(B790),IF(B791-B790&lt;0,B791,IF(B791-B790=0,"",B791-B790)),B791))</f>
        <v/>
      </c>
      <c r="D791" s="18" t="str">
        <f>IF(Dati!C791="","",IF(Dati!C791&gt;1,Dati!C791/100,Dati!C791))</f>
        <v/>
      </c>
      <c r="E791" s="18" t="str">
        <f>IF(Dati!D791="","",IF(Dati!D791&gt;1,Dati!D791/100,Dati!D791))</f>
        <v/>
      </c>
      <c r="F791" s="18" t="str">
        <f>IF(OR(D791="",E791=""),"",IF(OR(D791&gt;1,E791&gt;1),(E791-D791)/100,E791-D791))</f>
        <v/>
      </c>
      <c r="G791" s="17" t="str">
        <f>IF(F791="","",IF(64*F791=0,"",64*F791))</f>
        <v/>
      </c>
      <c r="H791" s="19" t="str">
        <f>IF(Dati!E791="","",Dati!E791)</f>
        <v/>
      </c>
      <c r="I791" s="19" t="str">
        <f>IFERROR(IF(OR(C791="",C791=0),"",H791/C791*100),"")</f>
        <v/>
      </c>
      <c r="J791" s="20" t="str">
        <f>IF(Dati!F791="","",Dati!F791)</f>
        <v/>
      </c>
      <c r="K791" s="19" t="str">
        <f>IF(OR(H791="",J791=""),"",IF(H791*J791=0,"",H791*J791))</f>
        <v/>
      </c>
      <c r="L791" s="19" t="str">
        <f>IF(A791="","",IFERROR(IF(SUMPRODUCT((ISNUMBER(A$2:A791))*(A$2:A791&gt;1000)*(MONTH(IF(ISNUMBER(A$2:A791),A$2:A791,1))=MONTH(A791))*(YEAR(IF(ISNUMBER(A$2:A791),A$2:A791,1))=YEAR(A791))*IF(ISNUMBER(K$2:K791),K$2:K791,0))=0,"",SUMPRODUCT((ISNUMBER(A$2:A791))*(A$2:A791&gt;1000)*(MONTH(IF(ISNUMBER(A$2:A791),A$2:A791,1))=MONTH(A791))*(YEAR(IF(ISNUMBER(A$2:A791),A$2:A791,1))=YEAR(A791))*IF(ISNUMBER(K$2:K791),K$2:K791,0))),""))</f>
        <v/>
      </c>
      <c r="M791" s="21" t="str">
        <f>IF(A791="","",IFERROR(IF(SUMIF(N$2:N791,"CASA",K$2:K791)=0,"",SUMIF(N$2:N791,"CASA",K$2:K791)),""))</f>
        <v/>
      </c>
      <c r="N791" s="17" t="str">
        <f>IF(J791="","",IF(J791=0.2,"CASA",IF(Dati!G791="","",Dati!G791)))</f>
        <v/>
      </c>
    </row>
    <row r="792" spans="1:14" ht="15" customHeight="1" x14ac:dyDescent="0.2">
      <c r="A792" s="23" t="str">
        <f>IF(Dati!A792="","",Dati!A792)</f>
        <v/>
      </c>
      <c r="B792" s="17" t="str">
        <f>IF(Dati!B792="","",Dati!B792)</f>
        <v/>
      </c>
      <c r="C792" s="17" t="str">
        <f>IF(B792="","",IF(ISNUMBER(B791),IF(B792-B791&lt;0,B792,IF(B792-B791=0,"",B792-B791)),B792))</f>
        <v/>
      </c>
      <c r="D792" s="18" t="str">
        <f>IF(Dati!C792="","",IF(Dati!C792&gt;1,Dati!C792/100,Dati!C792))</f>
        <v/>
      </c>
      <c r="E792" s="18" t="str">
        <f>IF(Dati!D792="","",IF(Dati!D792&gt;1,Dati!D792/100,Dati!D792))</f>
        <v/>
      </c>
      <c r="F792" s="18" t="str">
        <f>IF(OR(D792="",E792=""),"",IF(OR(D792&gt;1,E792&gt;1),(E792-D792)/100,E792-D792))</f>
        <v/>
      </c>
      <c r="G792" s="17" t="str">
        <f>IF(F792="","",IF(64*F792=0,"",64*F792))</f>
        <v/>
      </c>
      <c r="H792" s="19" t="str">
        <f>IF(Dati!E792="","",Dati!E792)</f>
        <v/>
      </c>
      <c r="I792" s="19" t="str">
        <f>IFERROR(IF(OR(C792="",C792=0),"",H792/C792*100),"")</f>
        <v/>
      </c>
      <c r="J792" s="20" t="str">
        <f>IF(Dati!F792="","",Dati!F792)</f>
        <v/>
      </c>
      <c r="K792" s="19" t="str">
        <f>IF(OR(H792="",J792=""),"",IF(H792*J792=0,"",H792*J792))</f>
        <v/>
      </c>
      <c r="L792" s="19" t="str">
        <f>IF(A792="","",IFERROR(IF(SUMPRODUCT((ISNUMBER(A$2:A792))*(A$2:A792&gt;1000)*(MONTH(IF(ISNUMBER(A$2:A792),A$2:A792,1))=MONTH(A792))*(YEAR(IF(ISNUMBER(A$2:A792),A$2:A792,1))=YEAR(A792))*IF(ISNUMBER(K$2:K792),K$2:K792,0))=0,"",SUMPRODUCT((ISNUMBER(A$2:A792))*(A$2:A792&gt;1000)*(MONTH(IF(ISNUMBER(A$2:A792),A$2:A792,1))=MONTH(A792))*(YEAR(IF(ISNUMBER(A$2:A792),A$2:A792,1))=YEAR(A792))*IF(ISNUMBER(K$2:K792),K$2:K792,0))),""))</f>
        <v/>
      </c>
      <c r="M792" s="21" t="str">
        <f>IF(A792="","",IFERROR(IF(SUMIF(N$2:N792,"CASA",K$2:K792)=0,"",SUMIF(N$2:N792,"CASA",K$2:K792)),""))</f>
        <v/>
      </c>
      <c r="N792" s="17" t="str">
        <f>IF(J792="","",IF(J792=0.2,"CASA",IF(Dati!G792="","",Dati!G792)))</f>
        <v/>
      </c>
    </row>
    <row r="793" spans="1:14" ht="15" customHeight="1" x14ac:dyDescent="0.2">
      <c r="A793" s="23" t="str">
        <f>IF(Dati!A793="","",Dati!A793)</f>
        <v/>
      </c>
      <c r="B793" s="17" t="str">
        <f>IF(Dati!B793="","",Dati!B793)</f>
        <v/>
      </c>
      <c r="C793" s="17" t="str">
        <f>IF(B793="","",IF(ISNUMBER(B792),IF(B793-B792&lt;0,B793,IF(B793-B792=0,"",B793-B792)),B793))</f>
        <v/>
      </c>
      <c r="D793" s="18" t="str">
        <f>IF(Dati!C793="","",IF(Dati!C793&gt;1,Dati!C793/100,Dati!C793))</f>
        <v/>
      </c>
      <c r="E793" s="18" t="str">
        <f>IF(Dati!D793="","",IF(Dati!D793&gt;1,Dati!D793/100,Dati!D793))</f>
        <v/>
      </c>
      <c r="F793" s="18" t="str">
        <f>IF(OR(D793="",E793=""),"",IF(OR(D793&gt;1,E793&gt;1),(E793-D793)/100,E793-D793))</f>
        <v/>
      </c>
      <c r="G793" s="17" t="str">
        <f>IF(F793="","",IF(64*F793=0,"",64*F793))</f>
        <v/>
      </c>
      <c r="H793" s="19" t="str">
        <f>IF(Dati!E793="","",Dati!E793)</f>
        <v/>
      </c>
      <c r="I793" s="19" t="str">
        <f>IFERROR(IF(OR(C793="",C793=0),"",H793/C793*100),"")</f>
        <v/>
      </c>
      <c r="J793" s="20" t="str">
        <f>IF(Dati!F793="","",Dati!F793)</f>
        <v/>
      </c>
      <c r="K793" s="19" t="str">
        <f>IF(OR(H793="",J793=""),"",IF(H793*J793=0,"",H793*J793))</f>
        <v/>
      </c>
      <c r="L793" s="19" t="str">
        <f>IF(A793="","",IFERROR(IF(SUMPRODUCT((ISNUMBER(A$2:A793))*(A$2:A793&gt;1000)*(MONTH(IF(ISNUMBER(A$2:A793),A$2:A793,1))=MONTH(A793))*(YEAR(IF(ISNUMBER(A$2:A793),A$2:A793,1))=YEAR(A793))*IF(ISNUMBER(K$2:K793),K$2:K793,0))=0,"",SUMPRODUCT((ISNUMBER(A$2:A793))*(A$2:A793&gt;1000)*(MONTH(IF(ISNUMBER(A$2:A793),A$2:A793,1))=MONTH(A793))*(YEAR(IF(ISNUMBER(A$2:A793),A$2:A793,1))=YEAR(A793))*IF(ISNUMBER(K$2:K793),K$2:K793,0))),""))</f>
        <v/>
      </c>
      <c r="M793" s="21" t="str">
        <f>IF(A793="","",IFERROR(IF(SUMIF(N$2:N793,"CASA",K$2:K793)=0,"",SUMIF(N$2:N793,"CASA",K$2:K793)),""))</f>
        <v/>
      </c>
      <c r="N793" s="17" t="str">
        <f>IF(J793="","",IF(J793=0.2,"CASA",IF(Dati!G793="","",Dati!G793)))</f>
        <v/>
      </c>
    </row>
    <row r="794" spans="1:14" ht="15" customHeight="1" x14ac:dyDescent="0.2">
      <c r="A794" s="23" t="str">
        <f>IF(Dati!A794="","",Dati!A794)</f>
        <v/>
      </c>
      <c r="B794" s="17" t="str">
        <f>IF(Dati!B794="","",Dati!B794)</f>
        <v/>
      </c>
      <c r="C794" s="17" t="str">
        <f>IF(B794="","",IF(ISNUMBER(B793),IF(B794-B793&lt;0,B794,IF(B794-B793=0,"",B794-B793)),B794))</f>
        <v/>
      </c>
      <c r="D794" s="18" t="str">
        <f>IF(Dati!C794="","",IF(Dati!C794&gt;1,Dati!C794/100,Dati!C794))</f>
        <v/>
      </c>
      <c r="E794" s="18" t="str">
        <f>IF(Dati!D794="","",IF(Dati!D794&gt;1,Dati!D794/100,Dati!D794))</f>
        <v/>
      </c>
      <c r="F794" s="18" t="str">
        <f>IF(OR(D794="",E794=""),"",IF(OR(D794&gt;1,E794&gt;1),(E794-D794)/100,E794-D794))</f>
        <v/>
      </c>
      <c r="G794" s="17" t="str">
        <f>IF(F794="","",IF(64*F794=0,"",64*F794))</f>
        <v/>
      </c>
      <c r="H794" s="19" t="str">
        <f>IF(Dati!E794="","",Dati!E794)</f>
        <v/>
      </c>
      <c r="I794" s="19" t="str">
        <f>IFERROR(IF(OR(C794="",C794=0),"",H794/C794*100),"")</f>
        <v/>
      </c>
      <c r="J794" s="20" t="str">
        <f>IF(Dati!F794="","",Dati!F794)</f>
        <v/>
      </c>
      <c r="K794" s="19" t="str">
        <f>IF(OR(H794="",J794=""),"",IF(H794*J794=0,"",H794*J794))</f>
        <v/>
      </c>
      <c r="L794" s="19" t="str">
        <f>IF(A794="","",IFERROR(IF(SUMPRODUCT((ISNUMBER(A$2:A794))*(A$2:A794&gt;1000)*(MONTH(IF(ISNUMBER(A$2:A794),A$2:A794,1))=MONTH(A794))*(YEAR(IF(ISNUMBER(A$2:A794),A$2:A794,1))=YEAR(A794))*IF(ISNUMBER(K$2:K794),K$2:K794,0))=0,"",SUMPRODUCT((ISNUMBER(A$2:A794))*(A$2:A794&gt;1000)*(MONTH(IF(ISNUMBER(A$2:A794),A$2:A794,1))=MONTH(A794))*(YEAR(IF(ISNUMBER(A$2:A794),A$2:A794,1))=YEAR(A794))*IF(ISNUMBER(K$2:K794),K$2:K794,0))),""))</f>
        <v/>
      </c>
      <c r="M794" s="21" t="str">
        <f>IF(A794="","",IFERROR(IF(SUMIF(N$2:N794,"CASA",K$2:K794)=0,"",SUMIF(N$2:N794,"CASA",K$2:K794)),""))</f>
        <v/>
      </c>
      <c r="N794" s="17" t="str">
        <f>IF(J794="","",IF(J794=0.2,"CASA",IF(Dati!G794="","",Dati!G794)))</f>
        <v/>
      </c>
    </row>
    <row r="795" spans="1:14" ht="15" customHeight="1" x14ac:dyDescent="0.2">
      <c r="A795" s="23" t="str">
        <f>IF(Dati!A795="","",Dati!A795)</f>
        <v/>
      </c>
      <c r="B795" s="17" t="str">
        <f>IF(Dati!B795="","",Dati!B795)</f>
        <v/>
      </c>
      <c r="C795" s="17" t="str">
        <f>IF(B795="","",IF(ISNUMBER(B794),IF(B795-B794&lt;0,B795,IF(B795-B794=0,"",B795-B794)),B795))</f>
        <v/>
      </c>
      <c r="D795" s="18" t="str">
        <f>IF(Dati!C795="","",IF(Dati!C795&gt;1,Dati!C795/100,Dati!C795))</f>
        <v/>
      </c>
      <c r="E795" s="18" t="str">
        <f>IF(Dati!D795="","",IF(Dati!D795&gt;1,Dati!D795/100,Dati!D795))</f>
        <v/>
      </c>
      <c r="F795" s="18" t="str">
        <f>IF(OR(D795="",E795=""),"",IF(OR(D795&gt;1,E795&gt;1),(E795-D795)/100,E795-D795))</f>
        <v/>
      </c>
      <c r="G795" s="17" t="str">
        <f>IF(F795="","",IF(64*F795=0,"",64*F795))</f>
        <v/>
      </c>
      <c r="H795" s="19" t="str">
        <f>IF(Dati!E795="","",Dati!E795)</f>
        <v/>
      </c>
      <c r="I795" s="19" t="str">
        <f>IFERROR(IF(OR(C795="",C795=0),"",H795/C795*100),"")</f>
        <v/>
      </c>
      <c r="J795" s="20" t="str">
        <f>IF(Dati!F795="","",Dati!F795)</f>
        <v/>
      </c>
      <c r="K795" s="19" t="str">
        <f>IF(OR(H795="",J795=""),"",IF(H795*J795=0,"",H795*J795))</f>
        <v/>
      </c>
      <c r="L795" s="19" t="str">
        <f>IF(A795="","",IFERROR(IF(SUMPRODUCT((ISNUMBER(A$2:A795))*(A$2:A795&gt;1000)*(MONTH(IF(ISNUMBER(A$2:A795),A$2:A795,1))=MONTH(A795))*(YEAR(IF(ISNUMBER(A$2:A795),A$2:A795,1))=YEAR(A795))*IF(ISNUMBER(K$2:K795),K$2:K795,0))=0,"",SUMPRODUCT((ISNUMBER(A$2:A795))*(A$2:A795&gt;1000)*(MONTH(IF(ISNUMBER(A$2:A795),A$2:A795,1))=MONTH(A795))*(YEAR(IF(ISNUMBER(A$2:A795),A$2:A795,1))=YEAR(A795))*IF(ISNUMBER(K$2:K795),K$2:K795,0))),""))</f>
        <v/>
      </c>
      <c r="M795" s="21" t="str">
        <f>IF(A795="","",IFERROR(IF(SUMIF(N$2:N795,"CASA",K$2:K795)=0,"",SUMIF(N$2:N795,"CASA",K$2:K795)),""))</f>
        <v/>
      </c>
      <c r="N795" s="17" t="str">
        <f>IF(J795="","",IF(J795=0.2,"CASA",IF(Dati!G795="","",Dati!G795)))</f>
        <v/>
      </c>
    </row>
    <row r="796" spans="1:14" ht="15" customHeight="1" x14ac:dyDescent="0.2">
      <c r="A796" s="23" t="str">
        <f>IF(Dati!A796="","",Dati!A796)</f>
        <v/>
      </c>
      <c r="B796" s="17" t="str">
        <f>IF(Dati!B796="","",Dati!B796)</f>
        <v/>
      </c>
      <c r="C796" s="17" t="str">
        <f>IF(B796="","",IF(ISNUMBER(B795),IF(B796-B795&lt;0,B796,IF(B796-B795=0,"",B796-B795)),B796))</f>
        <v/>
      </c>
      <c r="D796" s="18" t="str">
        <f>IF(Dati!C796="","",IF(Dati!C796&gt;1,Dati!C796/100,Dati!C796))</f>
        <v/>
      </c>
      <c r="E796" s="18" t="str">
        <f>IF(Dati!D796="","",IF(Dati!D796&gt;1,Dati!D796/100,Dati!D796))</f>
        <v/>
      </c>
      <c r="F796" s="18" t="str">
        <f>IF(OR(D796="",E796=""),"",IF(OR(D796&gt;1,E796&gt;1),(E796-D796)/100,E796-D796))</f>
        <v/>
      </c>
      <c r="G796" s="17" t="str">
        <f>IF(F796="","",IF(64*F796=0,"",64*F796))</f>
        <v/>
      </c>
      <c r="H796" s="19" t="str">
        <f>IF(Dati!E796="","",Dati!E796)</f>
        <v/>
      </c>
      <c r="I796" s="19" t="str">
        <f>IFERROR(IF(OR(C796="",C796=0),"",H796/C796*100),"")</f>
        <v/>
      </c>
      <c r="J796" s="20" t="str">
        <f>IF(Dati!F796="","",Dati!F796)</f>
        <v/>
      </c>
      <c r="K796" s="19" t="str">
        <f>IF(OR(H796="",J796=""),"",IF(H796*J796=0,"",H796*J796))</f>
        <v/>
      </c>
      <c r="L796" s="19" t="str">
        <f>IF(A796="","",IFERROR(IF(SUMPRODUCT((ISNUMBER(A$2:A796))*(A$2:A796&gt;1000)*(MONTH(IF(ISNUMBER(A$2:A796),A$2:A796,1))=MONTH(A796))*(YEAR(IF(ISNUMBER(A$2:A796),A$2:A796,1))=YEAR(A796))*IF(ISNUMBER(K$2:K796),K$2:K796,0))=0,"",SUMPRODUCT((ISNUMBER(A$2:A796))*(A$2:A796&gt;1000)*(MONTH(IF(ISNUMBER(A$2:A796),A$2:A796,1))=MONTH(A796))*(YEAR(IF(ISNUMBER(A$2:A796),A$2:A796,1))=YEAR(A796))*IF(ISNUMBER(K$2:K796),K$2:K796,0))),""))</f>
        <v/>
      </c>
      <c r="M796" s="21" t="str">
        <f>IF(A796="","",IFERROR(IF(SUMIF(N$2:N796,"CASA",K$2:K796)=0,"",SUMIF(N$2:N796,"CASA",K$2:K796)),""))</f>
        <v/>
      </c>
      <c r="N796" s="17" t="str">
        <f>IF(J796="","",IF(J796=0.2,"CASA",IF(Dati!G796="","",Dati!G796)))</f>
        <v/>
      </c>
    </row>
    <row r="797" spans="1:14" ht="15" customHeight="1" x14ac:dyDescent="0.2">
      <c r="A797" s="23" t="str">
        <f>IF(Dati!A797="","",Dati!A797)</f>
        <v/>
      </c>
      <c r="B797" s="17" t="str">
        <f>IF(Dati!B797="","",Dati!B797)</f>
        <v/>
      </c>
      <c r="C797" s="17" t="str">
        <f>IF(B797="","",IF(ISNUMBER(B796),IF(B797-B796&lt;0,B797,IF(B797-B796=0,"",B797-B796)),B797))</f>
        <v/>
      </c>
      <c r="D797" s="18" t="str">
        <f>IF(Dati!C797="","",IF(Dati!C797&gt;1,Dati!C797/100,Dati!C797))</f>
        <v/>
      </c>
      <c r="E797" s="18" t="str">
        <f>IF(Dati!D797="","",IF(Dati!D797&gt;1,Dati!D797/100,Dati!D797))</f>
        <v/>
      </c>
      <c r="F797" s="18" t="str">
        <f>IF(OR(D797="",E797=""),"",IF(OR(D797&gt;1,E797&gt;1),(E797-D797)/100,E797-D797))</f>
        <v/>
      </c>
      <c r="G797" s="17" t="str">
        <f>IF(F797="","",IF(64*F797=0,"",64*F797))</f>
        <v/>
      </c>
      <c r="H797" s="19" t="str">
        <f>IF(Dati!E797="","",Dati!E797)</f>
        <v/>
      </c>
      <c r="I797" s="19" t="str">
        <f>IFERROR(IF(OR(C797="",C797=0),"",H797/C797*100),"")</f>
        <v/>
      </c>
      <c r="J797" s="20" t="str">
        <f>IF(Dati!F797="","",Dati!F797)</f>
        <v/>
      </c>
      <c r="K797" s="19" t="str">
        <f>IF(OR(H797="",J797=""),"",IF(H797*J797=0,"",H797*J797))</f>
        <v/>
      </c>
      <c r="L797" s="19" t="str">
        <f>IF(A797="","",IFERROR(IF(SUMPRODUCT((ISNUMBER(A$2:A797))*(A$2:A797&gt;1000)*(MONTH(IF(ISNUMBER(A$2:A797),A$2:A797,1))=MONTH(A797))*(YEAR(IF(ISNUMBER(A$2:A797),A$2:A797,1))=YEAR(A797))*IF(ISNUMBER(K$2:K797),K$2:K797,0))=0,"",SUMPRODUCT((ISNUMBER(A$2:A797))*(A$2:A797&gt;1000)*(MONTH(IF(ISNUMBER(A$2:A797),A$2:A797,1))=MONTH(A797))*(YEAR(IF(ISNUMBER(A$2:A797),A$2:A797,1))=YEAR(A797))*IF(ISNUMBER(K$2:K797),K$2:K797,0))),""))</f>
        <v/>
      </c>
      <c r="M797" s="21" t="str">
        <f>IF(A797="","",IFERROR(IF(SUMIF(N$2:N797,"CASA",K$2:K797)=0,"",SUMIF(N$2:N797,"CASA",K$2:K797)),""))</f>
        <v/>
      </c>
      <c r="N797" s="17" t="str">
        <f>IF(J797="","",IF(J797=0.2,"CASA",IF(Dati!G797="","",Dati!G797)))</f>
        <v/>
      </c>
    </row>
    <row r="798" spans="1:14" ht="15" customHeight="1" x14ac:dyDescent="0.2">
      <c r="A798" s="23" t="str">
        <f>IF(Dati!A798="","",Dati!A798)</f>
        <v/>
      </c>
      <c r="B798" s="17" t="str">
        <f>IF(Dati!B798="","",Dati!B798)</f>
        <v/>
      </c>
      <c r="C798" s="17" t="str">
        <f>IF(B798="","",IF(ISNUMBER(B797),IF(B798-B797&lt;0,B798,IF(B798-B797=0,"",B798-B797)),B798))</f>
        <v/>
      </c>
      <c r="D798" s="18" t="str">
        <f>IF(Dati!C798="","",IF(Dati!C798&gt;1,Dati!C798/100,Dati!C798))</f>
        <v/>
      </c>
      <c r="E798" s="18" t="str">
        <f>IF(Dati!D798="","",IF(Dati!D798&gt;1,Dati!D798/100,Dati!D798))</f>
        <v/>
      </c>
      <c r="F798" s="18" t="str">
        <f>IF(OR(D798="",E798=""),"",IF(OR(D798&gt;1,E798&gt;1),(E798-D798)/100,E798-D798))</f>
        <v/>
      </c>
      <c r="G798" s="17" t="str">
        <f>IF(F798="","",IF(64*F798=0,"",64*F798))</f>
        <v/>
      </c>
      <c r="H798" s="19" t="str">
        <f>IF(Dati!E798="","",Dati!E798)</f>
        <v/>
      </c>
      <c r="I798" s="19" t="str">
        <f>IFERROR(IF(OR(C798="",C798=0),"",H798/C798*100),"")</f>
        <v/>
      </c>
      <c r="J798" s="20" t="str">
        <f>IF(Dati!F798="","",Dati!F798)</f>
        <v/>
      </c>
      <c r="K798" s="19" t="str">
        <f>IF(OR(H798="",J798=""),"",IF(H798*J798=0,"",H798*J798))</f>
        <v/>
      </c>
      <c r="L798" s="19" t="str">
        <f>IF(A798="","",IFERROR(IF(SUMPRODUCT((ISNUMBER(A$2:A798))*(A$2:A798&gt;1000)*(MONTH(IF(ISNUMBER(A$2:A798),A$2:A798,1))=MONTH(A798))*(YEAR(IF(ISNUMBER(A$2:A798),A$2:A798,1))=YEAR(A798))*IF(ISNUMBER(K$2:K798),K$2:K798,0))=0,"",SUMPRODUCT((ISNUMBER(A$2:A798))*(A$2:A798&gt;1000)*(MONTH(IF(ISNUMBER(A$2:A798),A$2:A798,1))=MONTH(A798))*(YEAR(IF(ISNUMBER(A$2:A798),A$2:A798,1))=YEAR(A798))*IF(ISNUMBER(K$2:K798),K$2:K798,0))),""))</f>
        <v/>
      </c>
      <c r="M798" s="21" t="str">
        <f>IF(A798="","",IFERROR(IF(SUMIF(N$2:N798,"CASA",K$2:K798)=0,"",SUMIF(N$2:N798,"CASA",K$2:K798)),""))</f>
        <v/>
      </c>
      <c r="N798" s="17" t="str">
        <f>IF(J798="","",IF(J798=0.2,"CASA",IF(Dati!G798="","",Dati!G798)))</f>
        <v/>
      </c>
    </row>
    <row r="799" spans="1:14" ht="15" customHeight="1" x14ac:dyDescent="0.2">
      <c r="A799" s="23" t="str">
        <f>IF(Dati!A799="","",Dati!A799)</f>
        <v/>
      </c>
      <c r="B799" s="17" t="str">
        <f>IF(Dati!B799="","",Dati!B799)</f>
        <v/>
      </c>
      <c r="C799" s="17" t="str">
        <f>IF(B799="","",IF(ISNUMBER(B798),IF(B799-B798&lt;0,B799,IF(B799-B798=0,"",B799-B798)),B799))</f>
        <v/>
      </c>
      <c r="D799" s="18" t="str">
        <f>IF(Dati!C799="","",IF(Dati!C799&gt;1,Dati!C799/100,Dati!C799))</f>
        <v/>
      </c>
      <c r="E799" s="18" t="str">
        <f>IF(Dati!D799="","",IF(Dati!D799&gt;1,Dati!D799/100,Dati!D799))</f>
        <v/>
      </c>
      <c r="F799" s="18" t="str">
        <f>IF(OR(D799="",E799=""),"",IF(OR(D799&gt;1,E799&gt;1),(E799-D799)/100,E799-D799))</f>
        <v/>
      </c>
      <c r="G799" s="17" t="str">
        <f>IF(F799="","",IF(64*F799=0,"",64*F799))</f>
        <v/>
      </c>
      <c r="H799" s="19" t="str">
        <f>IF(Dati!E799="","",Dati!E799)</f>
        <v/>
      </c>
      <c r="I799" s="19" t="str">
        <f>IFERROR(IF(OR(C799="",C799=0),"",H799/C799*100),"")</f>
        <v/>
      </c>
      <c r="J799" s="20" t="str">
        <f>IF(Dati!F799="","",Dati!F799)</f>
        <v/>
      </c>
      <c r="K799" s="19" t="str">
        <f>IF(OR(H799="",J799=""),"",IF(H799*J799=0,"",H799*J799))</f>
        <v/>
      </c>
      <c r="L799" s="19" t="str">
        <f>IF(A799="","",IFERROR(IF(SUMPRODUCT((ISNUMBER(A$2:A799))*(A$2:A799&gt;1000)*(MONTH(IF(ISNUMBER(A$2:A799),A$2:A799,1))=MONTH(A799))*(YEAR(IF(ISNUMBER(A$2:A799),A$2:A799,1))=YEAR(A799))*IF(ISNUMBER(K$2:K799),K$2:K799,0))=0,"",SUMPRODUCT((ISNUMBER(A$2:A799))*(A$2:A799&gt;1000)*(MONTH(IF(ISNUMBER(A$2:A799),A$2:A799,1))=MONTH(A799))*(YEAR(IF(ISNUMBER(A$2:A799),A$2:A799,1))=YEAR(A799))*IF(ISNUMBER(K$2:K799),K$2:K799,0))),""))</f>
        <v/>
      </c>
      <c r="M799" s="21" t="str">
        <f>IF(A799="","",IFERROR(IF(SUMIF(N$2:N799,"CASA",K$2:K799)=0,"",SUMIF(N$2:N799,"CASA",K$2:K799)),""))</f>
        <v/>
      </c>
      <c r="N799" s="17" t="str">
        <f>IF(J799="","",IF(J799=0.2,"CASA",IF(Dati!G799="","",Dati!G799)))</f>
        <v/>
      </c>
    </row>
    <row r="800" spans="1:14" ht="15" customHeight="1" x14ac:dyDescent="0.2">
      <c r="A800" s="23" t="str">
        <f>IF(Dati!A800="","",Dati!A800)</f>
        <v/>
      </c>
      <c r="B800" s="17" t="str">
        <f>IF(Dati!B800="","",Dati!B800)</f>
        <v/>
      </c>
      <c r="C800" s="17" t="str">
        <f>IF(B800="","",IF(ISNUMBER(B799),IF(B800-B799&lt;0,B800,IF(B800-B799=0,"",B800-B799)),B800))</f>
        <v/>
      </c>
      <c r="D800" s="18" t="str">
        <f>IF(Dati!C800="","",IF(Dati!C800&gt;1,Dati!C800/100,Dati!C800))</f>
        <v/>
      </c>
      <c r="E800" s="18" t="str">
        <f>IF(Dati!D800="","",IF(Dati!D800&gt;1,Dati!D800/100,Dati!D800))</f>
        <v/>
      </c>
      <c r="F800" s="18" t="str">
        <f>IF(OR(D800="",E800=""),"",IF(OR(D800&gt;1,E800&gt;1),(E800-D800)/100,E800-D800))</f>
        <v/>
      </c>
      <c r="G800" s="17" t="str">
        <f>IF(F800="","",IF(64*F800=0,"",64*F800))</f>
        <v/>
      </c>
      <c r="H800" s="19" t="str">
        <f>IF(Dati!E800="","",Dati!E800)</f>
        <v/>
      </c>
      <c r="I800" s="19" t="str">
        <f>IFERROR(IF(OR(C800="",C800=0),"",H800/C800*100),"")</f>
        <v/>
      </c>
      <c r="J800" s="20" t="str">
        <f>IF(Dati!F800="","",Dati!F800)</f>
        <v/>
      </c>
      <c r="K800" s="19" t="str">
        <f>IF(OR(H800="",J800=""),"",IF(H800*J800=0,"",H800*J800))</f>
        <v/>
      </c>
      <c r="L800" s="19" t="str">
        <f>IF(A800="","",IFERROR(IF(SUMPRODUCT((ISNUMBER(A$2:A800))*(A$2:A800&gt;1000)*(MONTH(IF(ISNUMBER(A$2:A800),A$2:A800,1))=MONTH(A800))*(YEAR(IF(ISNUMBER(A$2:A800),A$2:A800,1))=YEAR(A800))*IF(ISNUMBER(K$2:K800),K$2:K800,0))=0,"",SUMPRODUCT((ISNUMBER(A$2:A800))*(A$2:A800&gt;1000)*(MONTH(IF(ISNUMBER(A$2:A800),A$2:A800,1))=MONTH(A800))*(YEAR(IF(ISNUMBER(A$2:A800),A$2:A800,1))=YEAR(A800))*IF(ISNUMBER(K$2:K800),K$2:K800,0))),""))</f>
        <v/>
      </c>
      <c r="M800" s="21" t="str">
        <f>IF(A800="","",IFERROR(IF(SUMIF(N$2:N800,"CASA",K$2:K800)=0,"",SUMIF(N$2:N800,"CASA",K$2:K800)),""))</f>
        <v/>
      </c>
      <c r="N800" s="17" t="str">
        <f>IF(J800="","",IF(J800=0.2,"CASA",IF(Dati!G800="","",Dati!G800)))</f>
        <v/>
      </c>
    </row>
    <row r="801" spans="1:14" ht="15" customHeight="1" x14ac:dyDescent="0.2">
      <c r="A801" s="23" t="str">
        <f>IF(Dati!A801="","",Dati!A801)</f>
        <v/>
      </c>
      <c r="B801" s="17" t="str">
        <f>IF(Dati!B801="","",Dati!B801)</f>
        <v/>
      </c>
      <c r="C801" s="17" t="str">
        <f>IF(B801="","",IF(ISNUMBER(B800),IF(B801-B800&lt;0,B801,IF(B801-B800=0,"",B801-B800)),B801))</f>
        <v/>
      </c>
      <c r="D801" s="18" t="str">
        <f>IF(Dati!C801="","",IF(Dati!C801&gt;1,Dati!C801/100,Dati!C801))</f>
        <v/>
      </c>
      <c r="E801" s="18" t="str">
        <f>IF(Dati!D801="","",IF(Dati!D801&gt;1,Dati!D801/100,Dati!D801))</f>
        <v/>
      </c>
      <c r="F801" s="18" t="str">
        <f>IF(OR(D801="",E801=""),"",IF(OR(D801&gt;1,E801&gt;1),(E801-D801)/100,E801-D801))</f>
        <v/>
      </c>
      <c r="G801" s="17" t="str">
        <f>IF(F801="","",IF(64*F801=0,"",64*F801))</f>
        <v/>
      </c>
      <c r="H801" s="19" t="str">
        <f>IF(Dati!E801="","",Dati!E801)</f>
        <v/>
      </c>
      <c r="I801" s="19" t="str">
        <f>IFERROR(IF(OR(C801="",C801=0),"",H801/C801*100),"")</f>
        <v/>
      </c>
      <c r="J801" s="20" t="str">
        <f>IF(Dati!F801="","",Dati!F801)</f>
        <v/>
      </c>
      <c r="K801" s="19" t="str">
        <f>IF(OR(H801="",J801=""),"",IF(H801*J801=0,"",H801*J801))</f>
        <v/>
      </c>
      <c r="L801" s="19" t="str">
        <f>IF(A801="","",IFERROR(IF(SUMPRODUCT((ISNUMBER(A$2:A801))*(A$2:A801&gt;1000)*(MONTH(IF(ISNUMBER(A$2:A801),A$2:A801,1))=MONTH(A801))*(YEAR(IF(ISNUMBER(A$2:A801),A$2:A801,1))=YEAR(A801))*IF(ISNUMBER(K$2:K801),K$2:K801,0))=0,"",SUMPRODUCT((ISNUMBER(A$2:A801))*(A$2:A801&gt;1000)*(MONTH(IF(ISNUMBER(A$2:A801),A$2:A801,1))=MONTH(A801))*(YEAR(IF(ISNUMBER(A$2:A801),A$2:A801,1))=YEAR(A801))*IF(ISNUMBER(K$2:K801),K$2:K801,0))),""))</f>
        <v/>
      </c>
      <c r="M801" s="21" t="str">
        <f>IF(A801="","",IFERROR(IF(SUMIF(N$2:N801,"CASA",K$2:K801)=0,"",SUMIF(N$2:N801,"CASA",K$2:K801)),""))</f>
        <v/>
      </c>
      <c r="N801" s="17" t="str">
        <f>IF(J801="","",IF(J801=0.2,"CASA",IF(Dati!G801="","",Dati!G801)))</f>
        <v/>
      </c>
    </row>
    <row r="802" spans="1:14" ht="15" customHeight="1" x14ac:dyDescent="0.2">
      <c r="A802" s="23" t="str">
        <f>IF(Dati!A802="","",Dati!A802)</f>
        <v/>
      </c>
      <c r="B802" s="17" t="str">
        <f>IF(Dati!B802="","",Dati!B802)</f>
        <v/>
      </c>
      <c r="C802" s="17" t="str">
        <f>IF(B802="","",IF(ISNUMBER(B801),IF(B802-B801&lt;0,B802,IF(B802-B801=0,"",B802-B801)),B802))</f>
        <v/>
      </c>
      <c r="D802" s="18" t="str">
        <f>IF(Dati!C802="","",IF(Dati!C802&gt;1,Dati!C802/100,Dati!C802))</f>
        <v/>
      </c>
      <c r="E802" s="18" t="str">
        <f>IF(Dati!D802="","",IF(Dati!D802&gt;1,Dati!D802/100,Dati!D802))</f>
        <v/>
      </c>
      <c r="F802" s="18" t="str">
        <f>IF(OR(D802="",E802=""),"",IF(OR(D802&gt;1,E802&gt;1),(E802-D802)/100,E802-D802))</f>
        <v/>
      </c>
      <c r="G802" s="17" t="str">
        <f>IF(F802="","",IF(64*F802=0,"",64*F802))</f>
        <v/>
      </c>
      <c r="H802" s="19" t="str">
        <f>IF(Dati!E802="","",Dati!E802)</f>
        <v/>
      </c>
      <c r="I802" s="19" t="str">
        <f>IFERROR(IF(OR(C802="",C802=0),"",H802/C802*100),"")</f>
        <v/>
      </c>
      <c r="J802" s="20" t="str">
        <f>IF(Dati!F802="","",Dati!F802)</f>
        <v/>
      </c>
      <c r="K802" s="19" t="str">
        <f>IF(OR(H802="",J802=""),"",IF(H802*J802=0,"",H802*J802))</f>
        <v/>
      </c>
      <c r="L802" s="19" t="str">
        <f>IF(A802="","",IFERROR(IF(SUMPRODUCT((ISNUMBER(A$2:A802))*(A$2:A802&gt;1000)*(MONTH(IF(ISNUMBER(A$2:A802),A$2:A802,1))=MONTH(A802))*(YEAR(IF(ISNUMBER(A$2:A802),A$2:A802,1))=YEAR(A802))*IF(ISNUMBER(K$2:K802),K$2:K802,0))=0,"",SUMPRODUCT((ISNUMBER(A$2:A802))*(A$2:A802&gt;1000)*(MONTH(IF(ISNUMBER(A$2:A802),A$2:A802,1))=MONTH(A802))*(YEAR(IF(ISNUMBER(A$2:A802),A$2:A802,1))=YEAR(A802))*IF(ISNUMBER(K$2:K802),K$2:K802,0))),""))</f>
        <v/>
      </c>
      <c r="M802" s="21" t="str">
        <f>IF(A802="","",IFERROR(IF(SUMIF(N$2:N802,"CASA",K$2:K802)=0,"",SUMIF(N$2:N802,"CASA",K$2:K802)),""))</f>
        <v/>
      </c>
      <c r="N802" s="17" t="str">
        <f>IF(J802="","",IF(J802=0.2,"CASA",IF(Dati!G802="","",Dati!G802)))</f>
        <v/>
      </c>
    </row>
    <row r="803" spans="1:14" ht="15" customHeight="1" x14ac:dyDescent="0.2">
      <c r="A803" s="23" t="str">
        <f>IF(Dati!A803="","",Dati!A803)</f>
        <v/>
      </c>
      <c r="B803" s="17" t="str">
        <f>IF(Dati!B803="","",Dati!B803)</f>
        <v/>
      </c>
      <c r="C803" s="17" t="str">
        <f>IF(B803="","",IF(ISNUMBER(B802),IF(B803-B802&lt;0,B803,IF(B803-B802=0,"",B803-B802)),B803))</f>
        <v/>
      </c>
      <c r="D803" s="18" t="str">
        <f>IF(Dati!C803="","",IF(Dati!C803&gt;1,Dati!C803/100,Dati!C803))</f>
        <v/>
      </c>
      <c r="E803" s="18" t="str">
        <f>IF(Dati!D803="","",IF(Dati!D803&gt;1,Dati!D803/100,Dati!D803))</f>
        <v/>
      </c>
      <c r="F803" s="18" t="str">
        <f>IF(OR(D803="",E803=""),"",IF(OR(D803&gt;1,E803&gt;1),(E803-D803)/100,E803-D803))</f>
        <v/>
      </c>
      <c r="G803" s="17" t="str">
        <f>IF(F803="","",IF(64*F803=0,"",64*F803))</f>
        <v/>
      </c>
      <c r="H803" s="19" t="str">
        <f>IF(Dati!E803="","",Dati!E803)</f>
        <v/>
      </c>
      <c r="I803" s="19" t="str">
        <f>IFERROR(IF(OR(C803="",C803=0),"",H803/C803*100),"")</f>
        <v/>
      </c>
      <c r="J803" s="20" t="str">
        <f>IF(Dati!F803="","",Dati!F803)</f>
        <v/>
      </c>
      <c r="K803" s="19" t="str">
        <f>IF(OR(H803="",J803=""),"",IF(H803*J803=0,"",H803*J803))</f>
        <v/>
      </c>
      <c r="L803" s="19" t="str">
        <f>IF(A803="","",IFERROR(IF(SUMPRODUCT((ISNUMBER(A$2:A803))*(A$2:A803&gt;1000)*(MONTH(IF(ISNUMBER(A$2:A803),A$2:A803,1))=MONTH(A803))*(YEAR(IF(ISNUMBER(A$2:A803),A$2:A803,1))=YEAR(A803))*IF(ISNUMBER(K$2:K803),K$2:K803,0))=0,"",SUMPRODUCT((ISNUMBER(A$2:A803))*(A$2:A803&gt;1000)*(MONTH(IF(ISNUMBER(A$2:A803),A$2:A803,1))=MONTH(A803))*(YEAR(IF(ISNUMBER(A$2:A803),A$2:A803,1))=YEAR(A803))*IF(ISNUMBER(K$2:K803),K$2:K803,0))),""))</f>
        <v/>
      </c>
      <c r="M803" s="21" t="str">
        <f>IF(A803="","",IFERROR(IF(SUMIF(N$2:N803,"CASA",K$2:K803)=0,"",SUMIF(N$2:N803,"CASA",K$2:K803)),""))</f>
        <v/>
      </c>
      <c r="N803" s="17" t="str">
        <f>IF(J803="","",IF(J803=0.2,"CASA",IF(Dati!G803="","",Dati!G803)))</f>
        <v/>
      </c>
    </row>
    <row r="804" spans="1:14" ht="15" customHeight="1" x14ac:dyDescent="0.2">
      <c r="A804" s="23" t="str">
        <f>IF(Dati!A804="","",Dati!A804)</f>
        <v/>
      </c>
      <c r="B804" s="17" t="str">
        <f>IF(Dati!B804="","",Dati!B804)</f>
        <v/>
      </c>
      <c r="C804" s="17" t="str">
        <f>IF(B804="","",IF(ISNUMBER(B803),IF(B804-B803&lt;0,B804,IF(B804-B803=0,"",B804-B803)),B804))</f>
        <v/>
      </c>
      <c r="D804" s="18" t="str">
        <f>IF(Dati!C804="","",IF(Dati!C804&gt;1,Dati!C804/100,Dati!C804))</f>
        <v/>
      </c>
      <c r="E804" s="18" t="str">
        <f>IF(Dati!D804="","",IF(Dati!D804&gt;1,Dati!D804/100,Dati!D804))</f>
        <v/>
      </c>
      <c r="F804" s="18" t="str">
        <f>IF(OR(D804="",E804=""),"",IF(OR(D804&gt;1,E804&gt;1),(E804-D804)/100,E804-D804))</f>
        <v/>
      </c>
      <c r="G804" s="17" t="str">
        <f>IF(F804="","",IF(64*F804=0,"",64*F804))</f>
        <v/>
      </c>
      <c r="H804" s="19" t="str">
        <f>IF(Dati!E804="","",Dati!E804)</f>
        <v/>
      </c>
      <c r="I804" s="19" t="str">
        <f>IFERROR(IF(OR(C804="",C804=0),"",H804/C804*100),"")</f>
        <v/>
      </c>
      <c r="J804" s="20" t="str">
        <f>IF(Dati!F804="","",Dati!F804)</f>
        <v/>
      </c>
      <c r="K804" s="19" t="str">
        <f>IF(OR(H804="",J804=""),"",IF(H804*J804=0,"",H804*J804))</f>
        <v/>
      </c>
      <c r="L804" s="19" t="str">
        <f>IF(A804="","",IFERROR(IF(SUMPRODUCT((ISNUMBER(A$2:A804))*(A$2:A804&gt;1000)*(MONTH(IF(ISNUMBER(A$2:A804),A$2:A804,1))=MONTH(A804))*(YEAR(IF(ISNUMBER(A$2:A804),A$2:A804,1))=YEAR(A804))*IF(ISNUMBER(K$2:K804),K$2:K804,0))=0,"",SUMPRODUCT((ISNUMBER(A$2:A804))*(A$2:A804&gt;1000)*(MONTH(IF(ISNUMBER(A$2:A804),A$2:A804,1))=MONTH(A804))*(YEAR(IF(ISNUMBER(A$2:A804),A$2:A804,1))=YEAR(A804))*IF(ISNUMBER(K$2:K804),K$2:K804,0))),""))</f>
        <v/>
      </c>
      <c r="M804" s="21" t="str">
        <f>IF(A804="","",IFERROR(IF(SUMIF(N$2:N804,"CASA",K$2:K804)=0,"",SUMIF(N$2:N804,"CASA",K$2:K804)),""))</f>
        <v/>
      </c>
      <c r="N804" s="17" t="str">
        <f>IF(J804="","",IF(J804=0.2,"CASA",IF(Dati!G804="","",Dati!G804)))</f>
        <v/>
      </c>
    </row>
    <row r="805" spans="1:14" ht="15" customHeight="1" x14ac:dyDescent="0.2">
      <c r="A805" s="23" t="str">
        <f>IF(Dati!A805="","",Dati!A805)</f>
        <v/>
      </c>
      <c r="B805" s="17" t="str">
        <f>IF(Dati!B805="","",Dati!B805)</f>
        <v/>
      </c>
      <c r="C805" s="17" t="str">
        <f>IF(B805="","",IF(ISNUMBER(B804),IF(B805-B804&lt;0,B805,IF(B805-B804=0,"",B805-B804)),B805))</f>
        <v/>
      </c>
      <c r="D805" s="18" t="str">
        <f>IF(Dati!C805="","",IF(Dati!C805&gt;1,Dati!C805/100,Dati!C805))</f>
        <v/>
      </c>
      <c r="E805" s="18" t="str">
        <f>IF(Dati!D805="","",IF(Dati!D805&gt;1,Dati!D805/100,Dati!D805))</f>
        <v/>
      </c>
      <c r="F805" s="18" t="str">
        <f>IF(OR(D805="",E805=""),"",IF(OR(D805&gt;1,E805&gt;1),(E805-D805)/100,E805-D805))</f>
        <v/>
      </c>
      <c r="G805" s="17" t="str">
        <f>IF(F805="","",IF(64*F805=0,"",64*F805))</f>
        <v/>
      </c>
      <c r="H805" s="19" t="str">
        <f>IF(Dati!E805="","",Dati!E805)</f>
        <v/>
      </c>
      <c r="I805" s="19" t="str">
        <f>IFERROR(IF(OR(C805="",C805=0),"",H805/C805*100),"")</f>
        <v/>
      </c>
      <c r="J805" s="20" t="str">
        <f>IF(Dati!F805="","",Dati!F805)</f>
        <v/>
      </c>
      <c r="K805" s="19" t="str">
        <f>IF(OR(H805="",J805=""),"",IF(H805*J805=0,"",H805*J805))</f>
        <v/>
      </c>
      <c r="L805" s="19" t="str">
        <f>IF(A805="","",IFERROR(IF(SUMPRODUCT((ISNUMBER(A$2:A805))*(A$2:A805&gt;1000)*(MONTH(IF(ISNUMBER(A$2:A805),A$2:A805,1))=MONTH(A805))*(YEAR(IF(ISNUMBER(A$2:A805),A$2:A805,1))=YEAR(A805))*IF(ISNUMBER(K$2:K805),K$2:K805,0))=0,"",SUMPRODUCT((ISNUMBER(A$2:A805))*(A$2:A805&gt;1000)*(MONTH(IF(ISNUMBER(A$2:A805),A$2:A805,1))=MONTH(A805))*(YEAR(IF(ISNUMBER(A$2:A805),A$2:A805,1))=YEAR(A805))*IF(ISNUMBER(K$2:K805),K$2:K805,0))),""))</f>
        <v/>
      </c>
      <c r="M805" s="21" t="str">
        <f>IF(A805="","",IFERROR(IF(SUMIF(N$2:N805,"CASA",K$2:K805)=0,"",SUMIF(N$2:N805,"CASA",K$2:K805)),""))</f>
        <v/>
      </c>
      <c r="N805" s="17" t="str">
        <f>IF(J805="","",IF(J805=0.2,"CASA",IF(Dati!G805="","",Dati!G805)))</f>
        <v/>
      </c>
    </row>
    <row r="806" spans="1:14" ht="15" customHeight="1" x14ac:dyDescent="0.2">
      <c r="A806" s="23" t="str">
        <f>IF(Dati!A806="","",Dati!A806)</f>
        <v/>
      </c>
      <c r="B806" s="17" t="str">
        <f>IF(Dati!B806="","",Dati!B806)</f>
        <v/>
      </c>
      <c r="C806" s="17" t="str">
        <f>IF(B806="","",IF(ISNUMBER(B805),IF(B806-B805&lt;0,B806,IF(B806-B805=0,"",B806-B805)),B806))</f>
        <v/>
      </c>
      <c r="D806" s="18" t="str">
        <f>IF(Dati!C806="","",IF(Dati!C806&gt;1,Dati!C806/100,Dati!C806))</f>
        <v/>
      </c>
      <c r="E806" s="18" t="str">
        <f>IF(Dati!D806="","",IF(Dati!D806&gt;1,Dati!D806/100,Dati!D806))</f>
        <v/>
      </c>
      <c r="F806" s="18" t="str">
        <f>IF(OR(D806="",E806=""),"",IF(OR(D806&gt;1,E806&gt;1),(E806-D806)/100,E806-D806))</f>
        <v/>
      </c>
      <c r="G806" s="17" t="str">
        <f>IF(F806="","",IF(64*F806=0,"",64*F806))</f>
        <v/>
      </c>
      <c r="H806" s="19" t="str">
        <f>IF(Dati!E806="","",Dati!E806)</f>
        <v/>
      </c>
      <c r="I806" s="19" t="str">
        <f>IFERROR(IF(OR(C806="",C806=0),"",H806/C806*100),"")</f>
        <v/>
      </c>
      <c r="J806" s="20" t="str">
        <f>IF(Dati!F806="","",Dati!F806)</f>
        <v/>
      </c>
      <c r="K806" s="19" t="str">
        <f>IF(OR(H806="",J806=""),"",IF(H806*J806=0,"",H806*J806))</f>
        <v/>
      </c>
      <c r="L806" s="19" t="str">
        <f>IF(A806="","",IFERROR(IF(SUMPRODUCT((ISNUMBER(A$2:A806))*(A$2:A806&gt;1000)*(MONTH(IF(ISNUMBER(A$2:A806),A$2:A806,1))=MONTH(A806))*(YEAR(IF(ISNUMBER(A$2:A806),A$2:A806,1))=YEAR(A806))*IF(ISNUMBER(K$2:K806),K$2:K806,0))=0,"",SUMPRODUCT((ISNUMBER(A$2:A806))*(A$2:A806&gt;1000)*(MONTH(IF(ISNUMBER(A$2:A806),A$2:A806,1))=MONTH(A806))*(YEAR(IF(ISNUMBER(A$2:A806),A$2:A806,1))=YEAR(A806))*IF(ISNUMBER(K$2:K806),K$2:K806,0))),""))</f>
        <v/>
      </c>
      <c r="M806" s="21" t="str">
        <f>IF(A806="","",IFERROR(IF(SUMIF(N$2:N806,"CASA",K$2:K806)=0,"",SUMIF(N$2:N806,"CASA",K$2:K806)),""))</f>
        <v/>
      </c>
      <c r="N806" s="17" t="str">
        <f>IF(J806="","",IF(J806=0.2,"CASA",IF(Dati!G806="","",Dati!G806)))</f>
        <v/>
      </c>
    </row>
    <row r="807" spans="1:14" ht="15" customHeight="1" x14ac:dyDescent="0.2">
      <c r="A807" s="23" t="str">
        <f>IF(Dati!A807="","",Dati!A807)</f>
        <v/>
      </c>
      <c r="B807" s="17" t="str">
        <f>IF(Dati!B807="","",Dati!B807)</f>
        <v/>
      </c>
      <c r="C807" s="17" t="str">
        <f>IF(B807="","",IF(ISNUMBER(B806),IF(B807-B806&lt;0,B807,IF(B807-B806=0,"",B807-B806)),B807))</f>
        <v/>
      </c>
      <c r="D807" s="18" t="str">
        <f>IF(Dati!C807="","",IF(Dati!C807&gt;1,Dati!C807/100,Dati!C807))</f>
        <v/>
      </c>
      <c r="E807" s="18" t="str">
        <f>IF(Dati!D807="","",IF(Dati!D807&gt;1,Dati!D807/100,Dati!D807))</f>
        <v/>
      </c>
      <c r="F807" s="18" t="str">
        <f>IF(OR(D807="",E807=""),"",IF(OR(D807&gt;1,E807&gt;1),(E807-D807)/100,E807-D807))</f>
        <v/>
      </c>
      <c r="G807" s="17" t="str">
        <f>IF(F807="","",IF(64*F807=0,"",64*F807))</f>
        <v/>
      </c>
      <c r="H807" s="19" t="str">
        <f>IF(Dati!E807="","",Dati!E807)</f>
        <v/>
      </c>
      <c r="I807" s="19" t="str">
        <f>IFERROR(IF(OR(C807="",C807=0),"",H807/C807*100),"")</f>
        <v/>
      </c>
      <c r="J807" s="20" t="str">
        <f>IF(Dati!F807="","",Dati!F807)</f>
        <v/>
      </c>
      <c r="K807" s="19" t="str">
        <f>IF(OR(H807="",J807=""),"",IF(H807*J807=0,"",H807*J807))</f>
        <v/>
      </c>
      <c r="L807" s="19" t="str">
        <f>IF(A807="","",IFERROR(IF(SUMPRODUCT((ISNUMBER(A$2:A807))*(A$2:A807&gt;1000)*(MONTH(IF(ISNUMBER(A$2:A807),A$2:A807,1))=MONTH(A807))*(YEAR(IF(ISNUMBER(A$2:A807),A$2:A807,1))=YEAR(A807))*IF(ISNUMBER(K$2:K807),K$2:K807,0))=0,"",SUMPRODUCT((ISNUMBER(A$2:A807))*(A$2:A807&gt;1000)*(MONTH(IF(ISNUMBER(A$2:A807),A$2:A807,1))=MONTH(A807))*(YEAR(IF(ISNUMBER(A$2:A807),A$2:A807,1))=YEAR(A807))*IF(ISNUMBER(K$2:K807),K$2:K807,0))),""))</f>
        <v/>
      </c>
      <c r="M807" s="21" t="str">
        <f>IF(A807="","",IFERROR(IF(SUMIF(N$2:N807,"CASA",K$2:K807)=0,"",SUMIF(N$2:N807,"CASA",K$2:K807)),""))</f>
        <v/>
      </c>
      <c r="N807" s="17" t="str">
        <f>IF(J807="","",IF(J807=0.2,"CASA",IF(Dati!G807="","",Dati!G807)))</f>
        <v/>
      </c>
    </row>
    <row r="808" spans="1:14" ht="15" customHeight="1" x14ac:dyDescent="0.2">
      <c r="A808" s="23" t="str">
        <f>IF(Dati!A808="","",Dati!A808)</f>
        <v/>
      </c>
      <c r="B808" s="17" t="str">
        <f>IF(Dati!B808="","",Dati!B808)</f>
        <v/>
      </c>
      <c r="C808" s="17" t="str">
        <f>IF(B808="","",IF(ISNUMBER(B807),IF(B808-B807&lt;0,B808,IF(B808-B807=0,"",B808-B807)),B808))</f>
        <v/>
      </c>
      <c r="D808" s="18" t="str">
        <f>IF(Dati!C808="","",IF(Dati!C808&gt;1,Dati!C808/100,Dati!C808))</f>
        <v/>
      </c>
      <c r="E808" s="18" t="str">
        <f>IF(Dati!D808="","",IF(Dati!D808&gt;1,Dati!D808/100,Dati!D808))</f>
        <v/>
      </c>
      <c r="F808" s="18" t="str">
        <f>IF(OR(D808="",E808=""),"",IF(OR(D808&gt;1,E808&gt;1),(E808-D808)/100,E808-D808))</f>
        <v/>
      </c>
      <c r="G808" s="17" t="str">
        <f>IF(F808="","",IF(64*F808=0,"",64*F808))</f>
        <v/>
      </c>
      <c r="H808" s="19" t="str">
        <f>IF(Dati!E808="","",Dati!E808)</f>
        <v/>
      </c>
      <c r="I808" s="19" t="str">
        <f>IFERROR(IF(OR(C808="",C808=0),"",H808/C808*100),"")</f>
        <v/>
      </c>
      <c r="J808" s="20" t="str">
        <f>IF(Dati!F808="","",Dati!F808)</f>
        <v/>
      </c>
      <c r="K808" s="19" t="str">
        <f>IF(OR(H808="",J808=""),"",IF(H808*J808=0,"",H808*J808))</f>
        <v/>
      </c>
      <c r="L808" s="19" t="str">
        <f>IF(A808="","",IFERROR(IF(SUMPRODUCT((ISNUMBER(A$2:A808))*(A$2:A808&gt;1000)*(MONTH(IF(ISNUMBER(A$2:A808),A$2:A808,1))=MONTH(A808))*(YEAR(IF(ISNUMBER(A$2:A808),A$2:A808,1))=YEAR(A808))*IF(ISNUMBER(K$2:K808),K$2:K808,0))=0,"",SUMPRODUCT((ISNUMBER(A$2:A808))*(A$2:A808&gt;1000)*(MONTH(IF(ISNUMBER(A$2:A808),A$2:A808,1))=MONTH(A808))*(YEAR(IF(ISNUMBER(A$2:A808),A$2:A808,1))=YEAR(A808))*IF(ISNUMBER(K$2:K808),K$2:K808,0))),""))</f>
        <v/>
      </c>
      <c r="M808" s="21" t="str">
        <f>IF(A808="","",IFERROR(IF(SUMIF(N$2:N808,"CASA",K$2:K808)=0,"",SUMIF(N$2:N808,"CASA",K$2:K808)),""))</f>
        <v/>
      </c>
      <c r="N808" s="17" t="str">
        <f>IF(J808="","",IF(J808=0.2,"CASA",IF(Dati!G808="","",Dati!G808)))</f>
        <v/>
      </c>
    </row>
    <row r="809" spans="1:14" ht="15" customHeight="1" x14ac:dyDescent="0.2">
      <c r="A809" s="23" t="str">
        <f>IF(Dati!A809="","",Dati!A809)</f>
        <v/>
      </c>
      <c r="B809" s="17" t="str">
        <f>IF(Dati!B809="","",Dati!B809)</f>
        <v/>
      </c>
      <c r="C809" s="17" t="str">
        <f>IF(B809="","",IF(ISNUMBER(B808),IF(B809-B808&lt;0,B809,IF(B809-B808=0,"",B809-B808)),B809))</f>
        <v/>
      </c>
      <c r="D809" s="18" t="str">
        <f>IF(Dati!C809="","",IF(Dati!C809&gt;1,Dati!C809/100,Dati!C809))</f>
        <v/>
      </c>
      <c r="E809" s="18" t="str">
        <f>IF(Dati!D809="","",IF(Dati!D809&gt;1,Dati!D809/100,Dati!D809))</f>
        <v/>
      </c>
      <c r="F809" s="18" t="str">
        <f>IF(OR(D809="",E809=""),"",IF(OR(D809&gt;1,E809&gt;1),(E809-D809)/100,E809-D809))</f>
        <v/>
      </c>
      <c r="G809" s="17" t="str">
        <f>IF(F809="","",IF(64*F809=0,"",64*F809))</f>
        <v/>
      </c>
      <c r="H809" s="19" t="str">
        <f>IF(Dati!E809="","",Dati!E809)</f>
        <v/>
      </c>
      <c r="I809" s="19" t="str">
        <f>IFERROR(IF(OR(C809="",C809=0),"",H809/C809*100),"")</f>
        <v/>
      </c>
      <c r="J809" s="20" t="str">
        <f>IF(Dati!F809="","",Dati!F809)</f>
        <v/>
      </c>
      <c r="K809" s="19" t="str">
        <f>IF(OR(H809="",J809=""),"",IF(H809*J809=0,"",H809*J809))</f>
        <v/>
      </c>
      <c r="L809" s="19" t="str">
        <f>IF(A809="","",IFERROR(IF(SUMPRODUCT((ISNUMBER(A$2:A809))*(A$2:A809&gt;1000)*(MONTH(IF(ISNUMBER(A$2:A809),A$2:A809,1))=MONTH(A809))*(YEAR(IF(ISNUMBER(A$2:A809),A$2:A809,1))=YEAR(A809))*IF(ISNUMBER(K$2:K809),K$2:K809,0))=0,"",SUMPRODUCT((ISNUMBER(A$2:A809))*(A$2:A809&gt;1000)*(MONTH(IF(ISNUMBER(A$2:A809),A$2:A809,1))=MONTH(A809))*(YEAR(IF(ISNUMBER(A$2:A809),A$2:A809,1))=YEAR(A809))*IF(ISNUMBER(K$2:K809),K$2:K809,0))),""))</f>
        <v/>
      </c>
      <c r="M809" s="21" t="str">
        <f>IF(A809="","",IFERROR(IF(SUMIF(N$2:N809,"CASA",K$2:K809)=0,"",SUMIF(N$2:N809,"CASA",K$2:K809)),""))</f>
        <v/>
      </c>
      <c r="N809" s="17" t="str">
        <f>IF(J809="","",IF(J809=0.2,"CASA",IF(Dati!G809="","",Dati!G809)))</f>
        <v/>
      </c>
    </row>
    <row r="810" spans="1:14" ht="15" customHeight="1" x14ac:dyDescent="0.2">
      <c r="A810" s="23" t="str">
        <f>IF(Dati!A810="","",Dati!A810)</f>
        <v/>
      </c>
      <c r="B810" s="17" t="str">
        <f>IF(Dati!B810="","",Dati!B810)</f>
        <v/>
      </c>
      <c r="C810" s="17" t="str">
        <f>IF(B810="","",IF(ISNUMBER(B809),IF(B810-B809&lt;0,B810,IF(B810-B809=0,"",B810-B809)),B810))</f>
        <v/>
      </c>
      <c r="D810" s="18" t="str">
        <f>IF(Dati!C810="","",IF(Dati!C810&gt;1,Dati!C810/100,Dati!C810))</f>
        <v/>
      </c>
      <c r="E810" s="18" t="str">
        <f>IF(Dati!D810="","",IF(Dati!D810&gt;1,Dati!D810/100,Dati!D810))</f>
        <v/>
      </c>
      <c r="F810" s="18" t="str">
        <f>IF(OR(D810="",E810=""),"",IF(OR(D810&gt;1,E810&gt;1),(E810-D810)/100,E810-D810))</f>
        <v/>
      </c>
      <c r="G810" s="17" t="str">
        <f>IF(F810="","",IF(64*F810=0,"",64*F810))</f>
        <v/>
      </c>
      <c r="H810" s="19" t="str">
        <f>IF(Dati!E810="","",Dati!E810)</f>
        <v/>
      </c>
      <c r="I810" s="19" t="str">
        <f>IFERROR(IF(OR(C810="",C810=0),"",H810/C810*100),"")</f>
        <v/>
      </c>
      <c r="J810" s="20" t="str">
        <f>IF(Dati!F810="","",Dati!F810)</f>
        <v/>
      </c>
      <c r="K810" s="19" t="str">
        <f>IF(OR(H810="",J810=""),"",IF(H810*J810=0,"",H810*J810))</f>
        <v/>
      </c>
      <c r="L810" s="19" t="str">
        <f>IF(A810="","",IFERROR(IF(SUMPRODUCT((ISNUMBER(A$2:A810))*(A$2:A810&gt;1000)*(MONTH(IF(ISNUMBER(A$2:A810),A$2:A810,1))=MONTH(A810))*(YEAR(IF(ISNUMBER(A$2:A810),A$2:A810,1))=YEAR(A810))*IF(ISNUMBER(K$2:K810),K$2:K810,0))=0,"",SUMPRODUCT((ISNUMBER(A$2:A810))*(A$2:A810&gt;1000)*(MONTH(IF(ISNUMBER(A$2:A810),A$2:A810,1))=MONTH(A810))*(YEAR(IF(ISNUMBER(A$2:A810),A$2:A810,1))=YEAR(A810))*IF(ISNUMBER(K$2:K810),K$2:K810,0))),""))</f>
        <v/>
      </c>
      <c r="M810" s="21" t="str">
        <f>IF(A810="","",IFERROR(IF(SUMIF(N$2:N810,"CASA",K$2:K810)=0,"",SUMIF(N$2:N810,"CASA",K$2:K810)),""))</f>
        <v/>
      </c>
      <c r="N810" s="17" t="str">
        <f>IF(J810="","",IF(J810=0.2,"CASA",IF(Dati!G810="","",Dati!G810)))</f>
        <v/>
      </c>
    </row>
    <row r="811" spans="1:14" ht="15" customHeight="1" x14ac:dyDescent="0.2">
      <c r="A811" s="23" t="str">
        <f>IF(Dati!A811="","",Dati!A811)</f>
        <v/>
      </c>
      <c r="B811" s="17" t="str">
        <f>IF(Dati!B811="","",Dati!B811)</f>
        <v/>
      </c>
      <c r="C811" s="17" t="str">
        <f>IF(B811="","",IF(ISNUMBER(B810),IF(B811-B810&lt;0,B811,IF(B811-B810=0,"",B811-B810)),B811))</f>
        <v/>
      </c>
      <c r="D811" s="18" t="str">
        <f>IF(Dati!C811="","",IF(Dati!C811&gt;1,Dati!C811/100,Dati!C811))</f>
        <v/>
      </c>
      <c r="E811" s="18" t="str">
        <f>IF(Dati!D811="","",IF(Dati!D811&gt;1,Dati!D811/100,Dati!D811))</f>
        <v/>
      </c>
      <c r="F811" s="18" t="str">
        <f>IF(OR(D811="",E811=""),"",IF(OR(D811&gt;1,E811&gt;1),(E811-D811)/100,E811-D811))</f>
        <v/>
      </c>
      <c r="G811" s="17" t="str">
        <f>IF(F811="","",IF(64*F811=0,"",64*F811))</f>
        <v/>
      </c>
      <c r="H811" s="19" t="str">
        <f>IF(Dati!E811="","",Dati!E811)</f>
        <v/>
      </c>
      <c r="I811" s="19" t="str">
        <f>IFERROR(IF(OR(C811="",C811=0),"",H811/C811*100),"")</f>
        <v/>
      </c>
      <c r="J811" s="20" t="str">
        <f>IF(Dati!F811="","",Dati!F811)</f>
        <v/>
      </c>
      <c r="K811" s="19" t="str">
        <f>IF(OR(H811="",J811=""),"",IF(H811*J811=0,"",H811*J811))</f>
        <v/>
      </c>
      <c r="L811" s="19" t="str">
        <f>IF(A811="","",IFERROR(IF(SUMPRODUCT((ISNUMBER(A$2:A811))*(A$2:A811&gt;1000)*(MONTH(IF(ISNUMBER(A$2:A811),A$2:A811,1))=MONTH(A811))*(YEAR(IF(ISNUMBER(A$2:A811),A$2:A811,1))=YEAR(A811))*IF(ISNUMBER(K$2:K811),K$2:K811,0))=0,"",SUMPRODUCT((ISNUMBER(A$2:A811))*(A$2:A811&gt;1000)*(MONTH(IF(ISNUMBER(A$2:A811),A$2:A811,1))=MONTH(A811))*(YEAR(IF(ISNUMBER(A$2:A811),A$2:A811,1))=YEAR(A811))*IF(ISNUMBER(K$2:K811),K$2:K811,0))),""))</f>
        <v/>
      </c>
      <c r="M811" s="21" t="str">
        <f>IF(A811="","",IFERROR(IF(SUMIF(N$2:N811,"CASA",K$2:K811)=0,"",SUMIF(N$2:N811,"CASA",K$2:K811)),""))</f>
        <v/>
      </c>
      <c r="N811" s="17" t="str">
        <f>IF(J811="","",IF(J811=0.2,"CASA",IF(Dati!G811="","",Dati!G811)))</f>
        <v/>
      </c>
    </row>
    <row r="812" spans="1:14" ht="15" customHeight="1" x14ac:dyDescent="0.2">
      <c r="A812" s="23" t="str">
        <f>IF(Dati!A812="","",Dati!A812)</f>
        <v/>
      </c>
      <c r="B812" s="17" t="str">
        <f>IF(Dati!B812="","",Dati!B812)</f>
        <v/>
      </c>
      <c r="C812" s="17" t="str">
        <f>IF(B812="","",IF(ISNUMBER(B811),IF(B812-B811&lt;0,B812,IF(B812-B811=0,"",B812-B811)),B812))</f>
        <v/>
      </c>
      <c r="D812" s="18" t="str">
        <f>IF(Dati!C812="","",IF(Dati!C812&gt;1,Dati!C812/100,Dati!C812))</f>
        <v/>
      </c>
      <c r="E812" s="18" t="str">
        <f>IF(Dati!D812="","",IF(Dati!D812&gt;1,Dati!D812/100,Dati!D812))</f>
        <v/>
      </c>
      <c r="F812" s="18" t="str">
        <f>IF(OR(D812="",E812=""),"",IF(OR(D812&gt;1,E812&gt;1),(E812-D812)/100,E812-D812))</f>
        <v/>
      </c>
      <c r="G812" s="17" t="str">
        <f>IF(F812="","",IF(64*F812=0,"",64*F812))</f>
        <v/>
      </c>
      <c r="H812" s="19" t="str">
        <f>IF(Dati!E812="","",Dati!E812)</f>
        <v/>
      </c>
      <c r="I812" s="19" t="str">
        <f>IFERROR(IF(OR(C812="",C812=0),"",H812/C812*100),"")</f>
        <v/>
      </c>
      <c r="J812" s="20" t="str">
        <f>IF(Dati!F812="","",Dati!F812)</f>
        <v/>
      </c>
      <c r="K812" s="19" t="str">
        <f>IF(OR(H812="",J812=""),"",IF(H812*J812=0,"",H812*J812))</f>
        <v/>
      </c>
      <c r="L812" s="19" t="str">
        <f>IF(A812="","",IFERROR(IF(SUMPRODUCT((ISNUMBER(A$2:A812))*(A$2:A812&gt;1000)*(MONTH(IF(ISNUMBER(A$2:A812),A$2:A812,1))=MONTH(A812))*(YEAR(IF(ISNUMBER(A$2:A812),A$2:A812,1))=YEAR(A812))*IF(ISNUMBER(K$2:K812),K$2:K812,0))=0,"",SUMPRODUCT((ISNUMBER(A$2:A812))*(A$2:A812&gt;1000)*(MONTH(IF(ISNUMBER(A$2:A812),A$2:A812,1))=MONTH(A812))*(YEAR(IF(ISNUMBER(A$2:A812),A$2:A812,1))=YEAR(A812))*IF(ISNUMBER(K$2:K812),K$2:K812,0))),""))</f>
        <v/>
      </c>
      <c r="M812" s="21" t="str">
        <f>IF(A812="","",IFERROR(IF(SUMIF(N$2:N812,"CASA",K$2:K812)=0,"",SUMIF(N$2:N812,"CASA",K$2:K812)),""))</f>
        <v/>
      </c>
      <c r="N812" s="17" t="str">
        <f>IF(J812="","",IF(J812=0.2,"CASA",IF(Dati!G812="","",Dati!G812)))</f>
        <v/>
      </c>
    </row>
    <row r="813" spans="1:14" ht="15" customHeight="1" x14ac:dyDescent="0.2">
      <c r="A813" s="23" t="str">
        <f>IF(Dati!A813="","",Dati!A813)</f>
        <v/>
      </c>
      <c r="B813" s="17" t="str">
        <f>IF(Dati!B813="","",Dati!B813)</f>
        <v/>
      </c>
      <c r="C813" s="17" t="str">
        <f>IF(B813="","",IF(ISNUMBER(B812),IF(B813-B812&lt;0,B813,IF(B813-B812=0,"",B813-B812)),B813))</f>
        <v/>
      </c>
      <c r="D813" s="18" t="str">
        <f>IF(Dati!C813="","",IF(Dati!C813&gt;1,Dati!C813/100,Dati!C813))</f>
        <v/>
      </c>
      <c r="E813" s="18" t="str">
        <f>IF(Dati!D813="","",IF(Dati!D813&gt;1,Dati!D813/100,Dati!D813))</f>
        <v/>
      </c>
      <c r="F813" s="18" t="str">
        <f>IF(OR(D813="",E813=""),"",IF(OR(D813&gt;1,E813&gt;1),(E813-D813)/100,E813-D813))</f>
        <v/>
      </c>
      <c r="G813" s="17" t="str">
        <f>IF(F813="","",IF(64*F813=0,"",64*F813))</f>
        <v/>
      </c>
      <c r="H813" s="19" t="str">
        <f>IF(Dati!E813="","",Dati!E813)</f>
        <v/>
      </c>
      <c r="I813" s="19" t="str">
        <f>IFERROR(IF(OR(C813="",C813=0),"",H813/C813*100),"")</f>
        <v/>
      </c>
      <c r="J813" s="20" t="str">
        <f>IF(Dati!F813="","",Dati!F813)</f>
        <v/>
      </c>
      <c r="K813" s="19" t="str">
        <f>IF(OR(H813="",J813=""),"",IF(H813*J813=0,"",H813*J813))</f>
        <v/>
      </c>
      <c r="L813" s="19" t="str">
        <f>IF(A813="","",IFERROR(IF(SUMPRODUCT((ISNUMBER(A$2:A813))*(A$2:A813&gt;1000)*(MONTH(IF(ISNUMBER(A$2:A813),A$2:A813,1))=MONTH(A813))*(YEAR(IF(ISNUMBER(A$2:A813),A$2:A813,1))=YEAR(A813))*IF(ISNUMBER(K$2:K813),K$2:K813,0))=0,"",SUMPRODUCT((ISNUMBER(A$2:A813))*(A$2:A813&gt;1000)*(MONTH(IF(ISNUMBER(A$2:A813),A$2:A813,1))=MONTH(A813))*(YEAR(IF(ISNUMBER(A$2:A813),A$2:A813,1))=YEAR(A813))*IF(ISNUMBER(K$2:K813),K$2:K813,0))),""))</f>
        <v/>
      </c>
      <c r="M813" s="21" t="str">
        <f>IF(A813="","",IFERROR(IF(SUMIF(N$2:N813,"CASA",K$2:K813)=0,"",SUMIF(N$2:N813,"CASA",K$2:K813)),""))</f>
        <v/>
      </c>
      <c r="N813" s="17" t="str">
        <f>IF(J813="","",IF(J813=0.2,"CASA",IF(Dati!G813="","",Dati!G813)))</f>
        <v/>
      </c>
    </row>
    <row r="814" spans="1:14" ht="15" customHeight="1" x14ac:dyDescent="0.2">
      <c r="A814" s="23" t="str">
        <f>IF(Dati!A814="","",Dati!A814)</f>
        <v/>
      </c>
      <c r="B814" s="17" t="str">
        <f>IF(Dati!B814="","",Dati!B814)</f>
        <v/>
      </c>
      <c r="C814" s="17" t="str">
        <f>IF(B814="","",IF(ISNUMBER(B813),IF(B814-B813&lt;0,B814,IF(B814-B813=0,"",B814-B813)),B814))</f>
        <v/>
      </c>
      <c r="D814" s="18" t="str">
        <f>IF(Dati!C814="","",IF(Dati!C814&gt;1,Dati!C814/100,Dati!C814))</f>
        <v/>
      </c>
      <c r="E814" s="18" t="str">
        <f>IF(Dati!D814="","",IF(Dati!D814&gt;1,Dati!D814/100,Dati!D814))</f>
        <v/>
      </c>
      <c r="F814" s="18" t="str">
        <f>IF(OR(D814="",E814=""),"",IF(OR(D814&gt;1,E814&gt;1),(E814-D814)/100,E814-D814))</f>
        <v/>
      </c>
      <c r="G814" s="17" t="str">
        <f>IF(F814="","",IF(64*F814=0,"",64*F814))</f>
        <v/>
      </c>
      <c r="H814" s="19" t="str">
        <f>IF(Dati!E814="","",Dati!E814)</f>
        <v/>
      </c>
      <c r="I814" s="19" t="str">
        <f>IFERROR(IF(OR(C814="",C814=0),"",H814/C814*100),"")</f>
        <v/>
      </c>
      <c r="J814" s="20" t="str">
        <f>IF(Dati!F814="","",Dati!F814)</f>
        <v/>
      </c>
      <c r="K814" s="19" t="str">
        <f>IF(OR(H814="",J814=""),"",IF(H814*J814=0,"",H814*J814))</f>
        <v/>
      </c>
      <c r="L814" s="19" t="str">
        <f>IF(A814="","",IFERROR(IF(SUMPRODUCT((ISNUMBER(A$2:A814))*(A$2:A814&gt;1000)*(MONTH(IF(ISNUMBER(A$2:A814),A$2:A814,1))=MONTH(A814))*(YEAR(IF(ISNUMBER(A$2:A814),A$2:A814,1))=YEAR(A814))*IF(ISNUMBER(K$2:K814),K$2:K814,0))=0,"",SUMPRODUCT((ISNUMBER(A$2:A814))*(A$2:A814&gt;1000)*(MONTH(IF(ISNUMBER(A$2:A814),A$2:A814,1))=MONTH(A814))*(YEAR(IF(ISNUMBER(A$2:A814),A$2:A814,1))=YEAR(A814))*IF(ISNUMBER(K$2:K814),K$2:K814,0))),""))</f>
        <v/>
      </c>
      <c r="M814" s="21" t="str">
        <f>IF(A814="","",IFERROR(IF(SUMIF(N$2:N814,"CASA",K$2:K814)=0,"",SUMIF(N$2:N814,"CASA",K$2:K814)),""))</f>
        <v/>
      </c>
      <c r="N814" s="17" t="str">
        <f>IF(J814="","",IF(J814=0.2,"CASA",IF(Dati!G814="","",Dati!G814)))</f>
        <v/>
      </c>
    </row>
    <row r="815" spans="1:14" ht="15" customHeight="1" x14ac:dyDescent="0.2">
      <c r="A815" s="23" t="str">
        <f>IF(Dati!A815="","",Dati!A815)</f>
        <v/>
      </c>
      <c r="B815" s="17" t="str">
        <f>IF(Dati!B815="","",Dati!B815)</f>
        <v/>
      </c>
      <c r="C815" s="17" t="str">
        <f>IF(B815="","",IF(ISNUMBER(B814),IF(B815-B814&lt;0,B815,IF(B815-B814=0,"",B815-B814)),B815))</f>
        <v/>
      </c>
      <c r="D815" s="18" t="str">
        <f>IF(Dati!C815="","",IF(Dati!C815&gt;1,Dati!C815/100,Dati!C815))</f>
        <v/>
      </c>
      <c r="E815" s="18" t="str">
        <f>IF(Dati!D815="","",IF(Dati!D815&gt;1,Dati!D815/100,Dati!D815))</f>
        <v/>
      </c>
      <c r="F815" s="18" t="str">
        <f>IF(OR(D815="",E815=""),"",IF(OR(D815&gt;1,E815&gt;1),(E815-D815)/100,E815-D815))</f>
        <v/>
      </c>
      <c r="G815" s="17" t="str">
        <f>IF(F815="","",IF(64*F815=0,"",64*F815))</f>
        <v/>
      </c>
      <c r="H815" s="19" t="str">
        <f>IF(Dati!E815="","",Dati!E815)</f>
        <v/>
      </c>
      <c r="I815" s="19" t="str">
        <f>IFERROR(IF(OR(C815="",C815=0),"",H815/C815*100),"")</f>
        <v/>
      </c>
      <c r="J815" s="20" t="str">
        <f>IF(Dati!F815="","",Dati!F815)</f>
        <v/>
      </c>
      <c r="K815" s="19" t="str">
        <f>IF(OR(H815="",J815=""),"",IF(H815*J815=0,"",H815*J815))</f>
        <v/>
      </c>
      <c r="L815" s="19" t="str">
        <f>IF(A815="","",IFERROR(IF(SUMPRODUCT((ISNUMBER(A$2:A815))*(A$2:A815&gt;1000)*(MONTH(IF(ISNUMBER(A$2:A815),A$2:A815,1))=MONTH(A815))*(YEAR(IF(ISNUMBER(A$2:A815),A$2:A815,1))=YEAR(A815))*IF(ISNUMBER(K$2:K815),K$2:K815,0))=0,"",SUMPRODUCT((ISNUMBER(A$2:A815))*(A$2:A815&gt;1000)*(MONTH(IF(ISNUMBER(A$2:A815),A$2:A815,1))=MONTH(A815))*(YEAR(IF(ISNUMBER(A$2:A815),A$2:A815,1))=YEAR(A815))*IF(ISNUMBER(K$2:K815),K$2:K815,0))),""))</f>
        <v/>
      </c>
      <c r="M815" s="21" t="str">
        <f>IF(A815="","",IFERROR(IF(SUMIF(N$2:N815,"CASA",K$2:K815)=0,"",SUMIF(N$2:N815,"CASA",K$2:K815)),""))</f>
        <v/>
      </c>
      <c r="N815" s="17" t="str">
        <f>IF(J815="","",IF(J815=0.2,"CASA",IF(Dati!G815="","",Dati!G815)))</f>
        <v/>
      </c>
    </row>
    <row r="816" spans="1:14" ht="15" customHeight="1" x14ac:dyDescent="0.2">
      <c r="A816" s="23" t="str">
        <f>IF(Dati!A816="","",Dati!A816)</f>
        <v/>
      </c>
      <c r="B816" s="17" t="str">
        <f>IF(Dati!B816="","",Dati!B816)</f>
        <v/>
      </c>
      <c r="C816" s="17" t="str">
        <f>IF(B816="","",IF(ISNUMBER(B815),IF(B816-B815&lt;0,B816,IF(B816-B815=0,"",B816-B815)),B816))</f>
        <v/>
      </c>
      <c r="D816" s="18" t="str">
        <f>IF(Dati!C816="","",IF(Dati!C816&gt;1,Dati!C816/100,Dati!C816))</f>
        <v/>
      </c>
      <c r="E816" s="18" t="str">
        <f>IF(Dati!D816="","",IF(Dati!D816&gt;1,Dati!D816/100,Dati!D816))</f>
        <v/>
      </c>
      <c r="F816" s="18" t="str">
        <f>IF(OR(D816="",E816=""),"",IF(OR(D816&gt;1,E816&gt;1),(E816-D816)/100,E816-D816))</f>
        <v/>
      </c>
      <c r="G816" s="17" t="str">
        <f>IF(F816="","",IF(64*F816=0,"",64*F816))</f>
        <v/>
      </c>
      <c r="H816" s="19" t="str">
        <f>IF(Dati!E816="","",Dati!E816)</f>
        <v/>
      </c>
      <c r="I816" s="19" t="str">
        <f>IFERROR(IF(OR(C816="",C816=0),"",H816/C816*100),"")</f>
        <v/>
      </c>
      <c r="J816" s="20" t="str">
        <f>IF(Dati!F816="","",Dati!F816)</f>
        <v/>
      </c>
      <c r="K816" s="19" t="str">
        <f>IF(OR(H816="",J816=""),"",IF(H816*J816=0,"",H816*J816))</f>
        <v/>
      </c>
      <c r="L816" s="19" t="str">
        <f>IF(A816="","",IFERROR(IF(SUMPRODUCT((ISNUMBER(A$2:A816))*(A$2:A816&gt;1000)*(MONTH(IF(ISNUMBER(A$2:A816),A$2:A816,1))=MONTH(A816))*(YEAR(IF(ISNUMBER(A$2:A816),A$2:A816,1))=YEAR(A816))*IF(ISNUMBER(K$2:K816),K$2:K816,0))=0,"",SUMPRODUCT((ISNUMBER(A$2:A816))*(A$2:A816&gt;1000)*(MONTH(IF(ISNUMBER(A$2:A816),A$2:A816,1))=MONTH(A816))*(YEAR(IF(ISNUMBER(A$2:A816),A$2:A816,1))=YEAR(A816))*IF(ISNUMBER(K$2:K816),K$2:K816,0))),""))</f>
        <v/>
      </c>
      <c r="M816" s="21" t="str">
        <f>IF(A816="","",IFERROR(IF(SUMIF(N$2:N816,"CASA",K$2:K816)=0,"",SUMIF(N$2:N816,"CASA",K$2:K816)),""))</f>
        <v/>
      </c>
      <c r="N816" s="17" t="str">
        <f>IF(J816="","",IF(J816=0.2,"CASA",IF(Dati!G816="","",Dati!G816)))</f>
        <v/>
      </c>
    </row>
    <row r="817" spans="1:14" ht="15" customHeight="1" x14ac:dyDescent="0.2">
      <c r="A817" s="23" t="str">
        <f>IF(Dati!A817="","",Dati!A817)</f>
        <v/>
      </c>
      <c r="B817" s="17" t="str">
        <f>IF(Dati!B817="","",Dati!B817)</f>
        <v/>
      </c>
      <c r="C817" s="17" t="str">
        <f>IF(B817="","",IF(ISNUMBER(B816),IF(B817-B816&lt;0,B817,IF(B817-B816=0,"",B817-B816)),B817))</f>
        <v/>
      </c>
      <c r="D817" s="18" t="str">
        <f>IF(Dati!C817="","",IF(Dati!C817&gt;1,Dati!C817/100,Dati!C817))</f>
        <v/>
      </c>
      <c r="E817" s="18" t="str">
        <f>IF(Dati!D817="","",IF(Dati!D817&gt;1,Dati!D817/100,Dati!D817))</f>
        <v/>
      </c>
      <c r="F817" s="18" t="str">
        <f>IF(OR(D817="",E817=""),"",IF(OR(D817&gt;1,E817&gt;1),(E817-D817)/100,E817-D817))</f>
        <v/>
      </c>
      <c r="G817" s="17" t="str">
        <f>IF(F817="","",IF(64*F817=0,"",64*F817))</f>
        <v/>
      </c>
      <c r="H817" s="19" t="str">
        <f>IF(Dati!E817="","",Dati!E817)</f>
        <v/>
      </c>
      <c r="I817" s="19" t="str">
        <f>IFERROR(IF(OR(C817="",C817=0),"",H817/C817*100),"")</f>
        <v/>
      </c>
      <c r="J817" s="20" t="str">
        <f>IF(Dati!F817="","",Dati!F817)</f>
        <v/>
      </c>
      <c r="K817" s="19" t="str">
        <f>IF(OR(H817="",J817=""),"",IF(H817*J817=0,"",H817*J817))</f>
        <v/>
      </c>
      <c r="L817" s="19" t="str">
        <f>IF(A817="","",IFERROR(IF(SUMPRODUCT((ISNUMBER(A$2:A817))*(A$2:A817&gt;1000)*(MONTH(IF(ISNUMBER(A$2:A817),A$2:A817,1))=MONTH(A817))*(YEAR(IF(ISNUMBER(A$2:A817),A$2:A817,1))=YEAR(A817))*IF(ISNUMBER(K$2:K817),K$2:K817,0))=0,"",SUMPRODUCT((ISNUMBER(A$2:A817))*(A$2:A817&gt;1000)*(MONTH(IF(ISNUMBER(A$2:A817),A$2:A817,1))=MONTH(A817))*(YEAR(IF(ISNUMBER(A$2:A817),A$2:A817,1))=YEAR(A817))*IF(ISNUMBER(K$2:K817),K$2:K817,0))),""))</f>
        <v/>
      </c>
      <c r="M817" s="21" t="str">
        <f>IF(A817="","",IFERROR(IF(SUMIF(N$2:N817,"CASA",K$2:K817)=0,"",SUMIF(N$2:N817,"CASA",K$2:K817)),""))</f>
        <v/>
      </c>
      <c r="N817" s="17" t="str">
        <f>IF(J817="","",IF(J817=0.2,"CASA",IF(Dati!G817="","",Dati!G817)))</f>
        <v/>
      </c>
    </row>
    <row r="818" spans="1:14" ht="15" customHeight="1" x14ac:dyDescent="0.2">
      <c r="A818" s="23" t="str">
        <f>IF(Dati!A818="","",Dati!A818)</f>
        <v/>
      </c>
      <c r="B818" s="17" t="str">
        <f>IF(Dati!B818="","",Dati!B818)</f>
        <v/>
      </c>
      <c r="C818" s="17" t="str">
        <f>IF(B818="","",IF(ISNUMBER(B817),IF(B818-B817&lt;0,B818,IF(B818-B817=0,"",B818-B817)),B818))</f>
        <v/>
      </c>
      <c r="D818" s="18" t="str">
        <f>IF(Dati!C818="","",IF(Dati!C818&gt;1,Dati!C818/100,Dati!C818))</f>
        <v/>
      </c>
      <c r="E818" s="18" t="str">
        <f>IF(Dati!D818="","",IF(Dati!D818&gt;1,Dati!D818/100,Dati!D818))</f>
        <v/>
      </c>
      <c r="F818" s="18" t="str">
        <f>IF(OR(D818="",E818=""),"",IF(OR(D818&gt;1,E818&gt;1),(E818-D818)/100,E818-D818))</f>
        <v/>
      </c>
      <c r="G818" s="17" t="str">
        <f>IF(F818="","",IF(64*F818=0,"",64*F818))</f>
        <v/>
      </c>
      <c r="H818" s="19" t="str">
        <f>IF(Dati!E818="","",Dati!E818)</f>
        <v/>
      </c>
      <c r="I818" s="19" t="str">
        <f>IFERROR(IF(OR(C818="",C818=0),"",H818/C818*100),"")</f>
        <v/>
      </c>
      <c r="J818" s="20" t="str">
        <f>IF(Dati!F818="","",Dati!F818)</f>
        <v/>
      </c>
      <c r="K818" s="19" t="str">
        <f>IF(OR(H818="",J818=""),"",IF(H818*J818=0,"",H818*J818))</f>
        <v/>
      </c>
      <c r="L818" s="19" t="str">
        <f>IF(A818="","",IFERROR(IF(SUMPRODUCT((ISNUMBER(A$2:A818))*(A$2:A818&gt;1000)*(MONTH(IF(ISNUMBER(A$2:A818),A$2:A818,1))=MONTH(A818))*(YEAR(IF(ISNUMBER(A$2:A818),A$2:A818,1))=YEAR(A818))*IF(ISNUMBER(K$2:K818),K$2:K818,0))=0,"",SUMPRODUCT((ISNUMBER(A$2:A818))*(A$2:A818&gt;1000)*(MONTH(IF(ISNUMBER(A$2:A818),A$2:A818,1))=MONTH(A818))*(YEAR(IF(ISNUMBER(A$2:A818),A$2:A818,1))=YEAR(A818))*IF(ISNUMBER(K$2:K818),K$2:K818,0))),""))</f>
        <v/>
      </c>
      <c r="M818" s="21" t="str">
        <f>IF(A818="","",IFERROR(IF(SUMIF(N$2:N818,"CASA",K$2:K818)=0,"",SUMIF(N$2:N818,"CASA",K$2:K818)),""))</f>
        <v/>
      </c>
      <c r="N818" s="17" t="str">
        <f>IF(J818="","",IF(J818=0.2,"CASA",IF(Dati!G818="","",Dati!G818)))</f>
        <v/>
      </c>
    </row>
    <row r="819" spans="1:14" ht="15" customHeight="1" x14ac:dyDescent="0.2">
      <c r="A819" s="23" t="str">
        <f>IF(Dati!A819="","",Dati!A819)</f>
        <v/>
      </c>
      <c r="B819" s="17" t="str">
        <f>IF(Dati!B819="","",Dati!B819)</f>
        <v/>
      </c>
      <c r="C819" s="17" t="str">
        <f>IF(B819="","",IF(ISNUMBER(B818),IF(B819-B818&lt;0,B819,IF(B819-B818=0,"",B819-B818)),B819))</f>
        <v/>
      </c>
      <c r="D819" s="18" t="str">
        <f>IF(Dati!C819="","",IF(Dati!C819&gt;1,Dati!C819/100,Dati!C819))</f>
        <v/>
      </c>
      <c r="E819" s="18" t="str">
        <f>IF(Dati!D819="","",IF(Dati!D819&gt;1,Dati!D819/100,Dati!D819))</f>
        <v/>
      </c>
      <c r="F819" s="18" t="str">
        <f>IF(OR(D819="",E819=""),"",IF(OR(D819&gt;1,E819&gt;1),(E819-D819)/100,E819-D819))</f>
        <v/>
      </c>
      <c r="G819" s="17" t="str">
        <f>IF(F819="","",IF(64*F819=0,"",64*F819))</f>
        <v/>
      </c>
      <c r="H819" s="19" t="str">
        <f>IF(Dati!E819="","",Dati!E819)</f>
        <v/>
      </c>
      <c r="I819" s="19" t="str">
        <f>IFERROR(IF(OR(C819="",C819=0),"",H819/C819*100),"")</f>
        <v/>
      </c>
      <c r="J819" s="20" t="str">
        <f>IF(Dati!F819="","",Dati!F819)</f>
        <v/>
      </c>
      <c r="K819" s="19" t="str">
        <f>IF(OR(H819="",J819=""),"",IF(H819*J819=0,"",H819*J819))</f>
        <v/>
      </c>
      <c r="L819" s="19" t="str">
        <f>IF(A819="","",IFERROR(IF(SUMPRODUCT((ISNUMBER(A$2:A819))*(A$2:A819&gt;1000)*(MONTH(IF(ISNUMBER(A$2:A819),A$2:A819,1))=MONTH(A819))*(YEAR(IF(ISNUMBER(A$2:A819),A$2:A819,1))=YEAR(A819))*IF(ISNUMBER(K$2:K819),K$2:K819,0))=0,"",SUMPRODUCT((ISNUMBER(A$2:A819))*(A$2:A819&gt;1000)*(MONTH(IF(ISNUMBER(A$2:A819),A$2:A819,1))=MONTH(A819))*(YEAR(IF(ISNUMBER(A$2:A819),A$2:A819,1))=YEAR(A819))*IF(ISNUMBER(K$2:K819),K$2:K819,0))),""))</f>
        <v/>
      </c>
      <c r="M819" s="21" t="str">
        <f>IF(A819="","",IFERROR(IF(SUMIF(N$2:N819,"CASA",K$2:K819)=0,"",SUMIF(N$2:N819,"CASA",K$2:K819)),""))</f>
        <v/>
      </c>
      <c r="N819" s="17" t="str">
        <f>IF(J819="","",IF(J819=0.2,"CASA",IF(Dati!G819="","",Dati!G819)))</f>
        <v/>
      </c>
    </row>
    <row r="820" spans="1:14" ht="15" customHeight="1" x14ac:dyDescent="0.2">
      <c r="A820" s="23" t="str">
        <f>IF(Dati!A820="","",Dati!A820)</f>
        <v/>
      </c>
      <c r="B820" s="17" t="str">
        <f>IF(Dati!B820="","",Dati!B820)</f>
        <v/>
      </c>
      <c r="C820" s="17" t="str">
        <f>IF(B820="","",IF(ISNUMBER(B819),IF(B820-B819&lt;0,B820,IF(B820-B819=0,"",B820-B819)),B820))</f>
        <v/>
      </c>
      <c r="D820" s="18" t="str">
        <f>IF(Dati!C820="","",IF(Dati!C820&gt;1,Dati!C820/100,Dati!C820))</f>
        <v/>
      </c>
      <c r="E820" s="18" t="str">
        <f>IF(Dati!D820="","",IF(Dati!D820&gt;1,Dati!D820/100,Dati!D820))</f>
        <v/>
      </c>
      <c r="F820" s="18" t="str">
        <f>IF(OR(D820="",E820=""),"",IF(OR(D820&gt;1,E820&gt;1),(E820-D820)/100,E820-D820))</f>
        <v/>
      </c>
      <c r="G820" s="17" t="str">
        <f>IF(F820="","",IF(64*F820=0,"",64*F820))</f>
        <v/>
      </c>
      <c r="H820" s="19" t="str">
        <f>IF(Dati!E820="","",Dati!E820)</f>
        <v/>
      </c>
      <c r="I820" s="19" t="str">
        <f>IFERROR(IF(OR(C820="",C820=0),"",H820/C820*100),"")</f>
        <v/>
      </c>
      <c r="J820" s="20" t="str">
        <f>IF(Dati!F820="","",Dati!F820)</f>
        <v/>
      </c>
      <c r="K820" s="19" t="str">
        <f>IF(OR(H820="",J820=""),"",IF(H820*J820=0,"",H820*J820))</f>
        <v/>
      </c>
      <c r="L820" s="19" t="str">
        <f>IF(A820="","",IFERROR(IF(SUMPRODUCT((ISNUMBER(A$2:A820))*(A$2:A820&gt;1000)*(MONTH(IF(ISNUMBER(A$2:A820),A$2:A820,1))=MONTH(A820))*(YEAR(IF(ISNUMBER(A$2:A820),A$2:A820,1))=YEAR(A820))*IF(ISNUMBER(K$2:K820),K$2:K820,0))=0,"",SUMPRODUCT((ISNUMBER(A$2:A820))*(A$2:A820&gt;1000)*(MONTH(IF(ISNUMBER(A$2:A820),A$2:A820,1))=MONTH(A820))*(YEAR(IF(ISNUMBER(A$2:A820),A$2:A820,1))=YEAR(A820))*IF(ISNUMBER(K$2:K820),K$2:K820,0))),""))</f>
        <v/>
      </c>
      <c r="M820" s="21" t="str">
        <f>IF(A820="","",IFERROR(IF(SUMIF(N$2:N820,"CASA",K$2:K820)=0,"",SUMIF(N$2:N820,"CASA",K$2:K820)),""))</f>
        <v/>
      </c>
      <c r="N820" s="17" t="str">
        <f>IF(J820="","",IF(J820=0.2,"CASA",IF(Dati!G820="","",Dati!G820)))</f>
        <v/>
      </c>
    </row>
    <row r="821" spans="1:14" ht="15" customHeight="1" x14ac:dyDescent="0.2">
      <c r="A821" s="23" t="str">
        <f>IF(Dati!A821="","",Dati!A821)</f>
        <v/>
      </c>
      <c r="B821" s="17" t="str">
        <f>IF(Dati!B821="","",Dati!B821)</f>
        <v/>
      </c>
      <c r="C821" s="17" t="str">
        <f>IF(B821="","",IF(ISNUMBER(B820),IF(B821-B820&lt;0,B821,IF(B821-B820=0,"",B821-B820)),B821))</f>
        <v/>
      </c>
      <c r="D821" s="18" t="str">
        <f>IF(Dati!C821="","",IF(Dati!C821&gt;1,Dati!C821/100,Dati!C821))</f>
        <v/>
      </c>
      <c r="E821" s="18" t="str">
        <f>IF(Dati!D821="","",IF(Dati!D821&gt;1,Dati!D821/100,Dati!D821))</f>
        <v/>
      </c>
      <c r="F821" s="18" t="str">
        <f>IF(OR(D821="",E821=""),"",IF(OR(D821&gt;1,E821&gt;1),(E821-D821)/100,E821-D821))</f>
        <v/>
      </c>
      <c r="G821" s="17" t="str">
        <f>IF(F821="","",IF(64*F821=0,"",64*F821))</f>
        <v/>
      </c>
      <c r="H821" s="19" t="str">
        <f>IF(Dati!E821="","",Dati!E821)</f>
        <v/>
      </c>
      <c r="I821" s="19" t="str">
        <f>IFERROR(IF(OR(C821="",C821=0),"",H821/C821*100),"")</f>
        <v/>
      </c>
      <c r="J821" s="20" t="str">
        <f>IF(Dati!F821="","",Dati!F821)</f>
        <v/>
      </c>
      <c r="K821" s="19" t="str">
        <f>IF(OR(H821="",J821=""),"",IF(H821*J821=0,"",H821*J821))</f>
        <v/>
      </c>
      <c r="L821" s="19" t="str">
        <f>IF(A821="","",IFERROR(IF(SUMPRODUCT((ISNUMBER(A$2:A821))*(A$2:A821&gt;1000)*(MONTH(IF(ISNUMBER(A$2:A821),A$2:A821,1))=MONTH(A821))*(YEAR(IF(ISNUMBER(A$2:A821),A$2:A821,1))=YEAR(A821))*IF(ISNUMBER(K$2:K821),K$2:K821,0))=0,"",SUMPRODUCT((ISNUMBER(A$2:A821))*(A$2:A821&gt;1000)*(MONTH(IF(ISNUMBER(A$2:A821),A$2:A821,1))=MONTH(A821))*(YEAR(IF(ISNUMBER(A$2:A821),A$2:A821,1))=YEAR(A821))*IF(ISNUMBER(K$2:K821),K$2:K821,0))),""))</f>
        <v/>
      </c>
      <c r="M821" s="21" t="str">
        <f>IF(A821="","",IFERROR(IF(SUMIF(N$2:N821,"CASA",K$2:K821)=0,"",SUMIF(N$2:N821,"CASA",K$2:K821)),""))</f>
        <v/>
      </c>
      <c r="N821" s="17" t="str">
        <f>IF(J821="","",IF(J821=0.2,"CASA",IF(Dati!G821="","",Dati!G821)))</f>
        <v/>
      </c>
    </row>
    <row r="822" spans="1:14" ht="15" customHeight="1" x14ac:dyDescent="0.2">
      <c r="A822" s="23" t="str">
        <f>IF(Dati!A822="","",Dati!A822)</f>
        <v/>
      </c>
      <c r="B822" s="17" t="str">
        <f>IF(Dati!B822="","",Dati!B822)</f>
        <v/>
      </c>
      <c r="C822" s="17" t="str">
        <f>IF(B822="","",IF(ISNUMBER(B821),IF(B822-B821&lt;0,B822,IF(B822-B821=0,"",B822-B821)),B822))</f>
        <v/>
      </c>
      <c r="D822" s="18" t="str">
        <f>IF(Dati!C822="","",IF(Dati!C822&gt;1,Dati!C822/100,Dati!C822))</f>
        <v/>
      </c>
      <c r="E822" s="18" t="str">
        <f>IF(Dati!D822="","",IF(Dati!D822&gt;1,Dati!D822/100,Dati!D822))</f>
        <v/>
      </c>
      <c r="F822" s="18" t="str">
        <f>IF(OR(D822="",E822=""),"",IF(OR(D822&gt;1,E822&gt;1),(E822-D822)/100,E822-D822))</f>
        <v/>
      </c>
      <c r="G822" s="17" t="str">
        <f>IF(F822="","",IF(64*F822=0,"",64*F822))</f>
        <v/>
      </c>
      <c r="H822" s="19" t="str">
        <f>IF(Dati!E822="","",Dati!E822)</f>
        <v/>
      </c>
      <c r="I822" s="19" t="str">
        <f>IFERROR(IF(OR(C822="",C822=0),"",H822/C822*100),"")</f>
        <v/>
      </c>
      <c r="J822" s="20" t="str">
        <f>IF(Dati!F822="","",Dati!F822)</f>
        <v/>
      </c>
      <c r="K822" s="19" t="str">
        <f>IF(OR(H822="",J822=""),"",IF(H822*J822=0,"",H822*J822))</f>
        <v/>
      </c>
      <c r="L822" s="19" t="str">
        <f>IF(A822="","",IFERROR(IF(SUMPRODUCT((ISNUMBER(A$2:A822))*(A$2:A822&gt;1000)*(MONTH(IF(ISNUMBER(A$2:A822),A$2:A822,1))=MONTH(A822))*(YEAR(IF(ISNUMBER(A$2:A822),A$2:A822,1))=YEAR(A822))*IF(ISNUMBER(K$2:K822),K$2:K822,0))=0,"",SUMPRODUCT((ISNUMBER(A$2:A822))*(A$2:A822&gt;1000)*(MONTH(IF(ISNUMBER(A$2:A822),A$2:A822,1))=MONTH(A822))*(YEAR(IF(ISNUMBER(A$2:A822),A$2:A822,1))=YEAR(A822))*IF(ISNUMBER(K$2:K822),K$2:K822,0))),""))</f>
        <v/>
      </c>
      <c r="M822" s="21" t="str">
        <f>IF(A822="","",IFERROR(IF(SUMIF(N$2:N822,"CASA",K$2:K822)=0,"",SUMIF(N$2:N822,"CASA",K$2:K822)),""))</f>
        <v/>
      </c>
      <c r="N822" s="17" t="str">
        <f>IF(J822="","",IF(J822=0.2,"CASA",IF(Dati!G822="","",Dati!G822)))</f>
        <v/>
      </c>
    </row>
    <row r="823" spans="1:14" ht="15" customHeight="1" x14ac:dyDescent="0.2">
      <c r="A823" s="23" t="str">
        <f>IF(Dati!A823="","",Dati!A823)</f>
        <v/>
      </c>
      <c r="B823" s="17" t="str">
        <f>IF(Dati!B823="","",Dati!B823)</f>
        <v/>
      </c>
      <c r="C823" s="17" t="str">
        <f>IF(B823="","",IF(ISNUMBER(B822),IF(B823-B822&lt;0,B823,IF(B823-B822=0,"",B823-B822)),B823))</f>
        <v/>
      </c>
      <c r="D823" s="18" t="str">
        <f>IF(Dati!C823="","",IF(Dati!C823&gt;1,Dati!C823/100,Dati!C823))</f>
        <v/>
      </c>
      <c r="E823" s="18" t="str">
        <f>IF(Dati!D823="","",IF(Dati!D823&gt;1,Dati!D823/100,Dati!D823))</f>
        <v/>
      </c>
      <c r="F823" s="18" t="str">
        <f>IF(OR(D823="",E823=""),"",IF(OR(D823&gt;1,E823&gt;1),(E823-D823)/100,E823-D823))</f>
        <v/>
      </c>
      <c r="G823" s="17" t="str">
        <f>IF(F823="","",IF(64*F823=0,"",64*F823))</f>
        <v/>
      </c>
      <c r="H823" s="19" t="str">
        <f>IF(Dati!E823="","",Dati!E823)</f>
        <v/>
      </c>
      <c r="I823" s="19" t="str">
        <f>IFERROR(IF(OR(C823="",C823=0),"",H823/C823*100),"")</f>
        <v/>
      </c>
      <c r="J823" s="20" t="str">
        <f>IF(Dati!F823="","",Dati!F823)</f>
        <v/>
      </c>
      <c r="K823" s="19" t="str">
        <f>IF(OR(H823="",J823=""),"",IF(H823*J823=0,"",H823*J823))</f>
        <v/>
      </c>
      <c r="L823" s="19" t="str">
        <f>IF(A823="","",IFERROR(IF(SUMPRODUCT((ISNUMBER(A$2:A823))*(A$2:A823&gt;1000)*(MONTH(IF(ISNUMBER(A$2:A823),A$2:A823,1))=MONTH(A823))*(YEAR(IF(ISNUMBER(A$2:A823),A$2:A823,1))=YEAR(A823))*IF(ISNUMBER(K$2:K823),K$2:K823,0))=0,"",SUMPRODUCT((ISNUMBER(A$2:A823))*(A$2:A823&gt;1000)*(MONTH(IF(ISNUMBER(A$2:A823),A$2:A823,1))=MONTH(A823))*(YEAR(IF(ISNUMBER(A$2:A823),A$2:A823,1))=YEAR(A823))*IF(ISNUMBER(K$2:K823),K$2:K823,0))),""))</f>
        <v/>
      </c>
      <c r="M823" s="21" t="str">
        <f>IF(A823="","",IFERROR(IF(SUMIF(N$2:N823,"CASA",K$2:K823)=0,"",SUMIF(N$2:N823,"CASA",K$2:K823)),""))</f>
        <v/>
      </c>
      <c r="N823" s="17" t="str">
        <f>IF(J823="","",IF(J823=0.2,"CASA",IF(Dati!G823="","",Dati!G823)))</f>
        <v/>
      </c>
    </row>
    <row r="824" spans="1:14" ht="15" customHeight="1" x14ac:dyDescent="0.2">
      <c r="A824" s="23" t="str">
        <f>IF(Dati!A824="","",Dati!A824)</f>
        <v/>
      </c>
      <c r="B824" s="17" t="str">
        <f>IF(Dati!B824="","",Dati!B824)</f>
        <v/>
      </c>
      <c r="C824" s="17" t="str">
        <f>IF(B824="","",IF(ISNUMBER(B823),IF(B824-B823&lt;0,B824,IF(B824-B823=0,"",B824-B823)),B824))</f>
        <v/>
      </c>
      <c r="D824" s="18" t="str">
        <f>IF(Dati!C824="","",IF(Dati!C824&gt;1,Dati!C824/100,Dati!C824))</f>
        <v/>
      </c>
      <c r="E824" s="18" t="str">
        <f>IF(Dati!D824="","",IF(Dati!D824&gt;1,Dati!D824/100,Dati!D824))</f>
        <v/>
      </c>
      <c r="F824" s="18" t="str">
        <f>IF(OR(D824="",E824=""),"",IF(OR(D824&gt;1,E824&gt;1),(E824-D824)/100,E824-D824))</f>
        <v/>
      </c>
      <c r="G824" s="17" t="str">
        <f>IF(F824="","",IF(64*F824=0,"",64*F824))</f>
        <v/>
      </c>
      <c r="H824" s="19" t="str">
        <f>IF(Dati!E824="","",Dati!E824)</f>
        <v/>
      </c>
      <c r="I824" s="19" t="str">
        <f>IFERROR(IF(OR(C824="",C824=0),"",H824/C824*100),"")</f>
        <v/>
      </c>
      <c r="J824" s="20" t="str">
        <f>IF(Dati!F824="","",Dati!F824)</f>
        <v/>
      </c>
      <c r="K824" s="19" t="str">
        <f>IF(OR(H824="",J824=""),"",IF(H824*J824=0,"",H824*J824))</f>
        <v/>
      </c>
      <c r="L824" s="19" t="str">
        <f>IF(A824="","",IFERROR(IF(SUMPRODUCT((ISNUMBER(A$2:A824))*(A$2:A824&gt;1000)*(MONTH(IF(ISNUMBER(A$2:A824),A$2:A824,1))=MONTH(A824))*(YEAR(IF(ISNUMBER(A$2:A824),A$2:A824,1))=YEAR(A824))*IF(ISNUMBER(K$2:K824),K$2:K824,0))=0,"",SUMPRODUCT((ISNUMBER(A$2:A824))*(A$2:A824&gt;1000)*(MONTH(IF(ISNUMBER(A$2:A824),A$2:A824,1))=MONTH(A824))*(YEAR(IF(ISNUMBER(A$2:A824),A$2:A824,1))=YEAR(A824))*IF(ISNUMBER(K$2:K824),K$2:K824,0))),""))</f>
        <v/>
      </c>
      <c r="M824" s="21" t="str">
        <f>IF(A824="","",IFERROR(IF(SUMIF(N$2:N824,"CASA",K$2:K824)=0,"",SUMIF(N$2:N824,"CASA",K$2:K824)),""))</f>
        <v/>
      </c>
      <c r="N824" s="17" t="str">
        <f>IF(J824="","",IF(J824=0.2,"CASA",IF(Dati!G824="","",Dati!G824)))</f>
        <v/>
      </c>
    </row>
    <row r="825" spans="1:14" ht="15" customHeight="1" x14ac:dyDescent="0.2">
      <c r="A825" s="23" t="str">
        <f>IF(Dati!A825="","",Dati!A825)</f>
        <v/>
      </c>
      <c r="B825" s="17" t="str">
        <f>IF(Dati!B825="","",Dati!B825)</f>
        <v/>
      </c>
      <c r="C825" s="17" t="str">
        <f>IF(B825="","",IF(ISNUMBER(B824),IF(B825-B824&lt;0,B825,IF(B825-B824=0,"",B825-B824)),B825))</f>
        <v/>
      </c>
      <c r="D825" s="18" t="str">
        <f>IF(Dati!C825="","",IF(Dati!C825&gt;1,Dati!C825/100,Dati!C825))</f>
        <v/>
      </c>
      <c r="E825" s="18" t="str">
        <f>IF(Dati!D825="","",IF(Dati!D825&gt;1,Dati!D825/100,Dati!D825))</f>
        <v/>
      </c>
      <c r="F825" s="18" t="str">
        <f>IF(OR(D825="",E825=""),"",IF(OR(D825&gt;1,E825&gt;1),(E825-D825)/100,E825-D825))</f>
        <v/>
      </c>
      <c r="G825" s="17" t="str">
        <f>IF(F825="","",IF(64*F825=0,"",64*F825))</f>
        <v/>
      </c>
      <c r="H825" s="19" t="str">
        <f>IF(Dati!E825="","",Dati!E825)</f>
        <v/>
      </c>
      <c r="I825" s="19" t="str">
        <f>IFERROR(IF(OR(C825="",C825=0),"",H825/C825*100),"")</f>
        <v/>
      </c>
      <c r="J825" s="20" t="str">
        <f>IF(Dati!F825="","",Dati!F825)</f>
        <v/>
      </c>
      <c r="K825" s="19" t="str">
        <f>IF(OR(H825="",J825=""),"",IF(H825*J825=0,"",H825*J825))</f>
        <v/>
      </c>
      <c r="L825" s="19" t="str">
        <f>IF(A825="","",IFERROR(IF(SUMPRODUCT((ISNUMBER(A$2:A825))*(A$2:A825&gt;1000)*(MONTH(IF(ISNUMBER(A$2:A825),A$2:A825,1))=MONTH(A825))*(YEAR(IF(ISNUMBER(A$2:A825),A$2:A825,1))=YEAR(A825))*IF(ISNUMBER(K$2:K825),K$2:K825,0))=0,"",SUMPRODUCT((ISNUMBER(A$2:A825))*(A$2:A825&gt;1000)*(MONTH(IF(ISNUMBER(A$2:A825),A$2:A825,1))=MONTH(A825))*(YEAR(IF(ISNUMBER(A$2:A825),A$2:A825,1))=YEAR(A825))*IF(ISNUMBER(K$2:K825),K$2:K825,0))),""))</f>
        <v/>
      </c>
      <c r="M825" s="21" t="str">
        <f>IF(A825="","",IFERROR(IF(SUMIF(N$2:N825,"CASA",K$2:K825)=0,"",SUMIF(N$2:N825,"CASA",K$2:K825)),""))</f>
        <v/>
      </c>
      <c r="N825" s="17" t="str">
        <f>IF(J825="","",IF(J825=0.2,"CASA",IF(Dati!G825="","",Dati!G825)))</f>
        <v/>
      </c>
    </row>
    <row r="826" spans="1:14" ht="15" customHeight="1" x14ac:dyDescent="0.2">
      <c r="A826" s="23" t="str">
        <f>IF(Dati!A826="","",Dati!A826)</f>
        <v/>
      </c>
      <c r="B826" s="17" t="str">
        <f>IF(Dati!B826="","",Dati!B826)</f>
        <v/>
      </c>
      <c r="C826" s="17" t="str">
        <f>IF(B826="","",IF(ISNUMBER(B825),IF(B826-B825&lt;0,B826,IF(B826-B825=0,"",B826-B825)),B826))</f>
        <v/>
      </c>
      <c r="D826" s="18" t="str">
        <f>IF(Dati!C826="","",IF(Dati!C826&gt;1,Dati!C826/100,Dati!C826))</f>
        <v/>
      </c>
      <c r="E826" s="18" t="str">
        <f>IF(Dati!D826="","",IF(Dati!D826&gt;1,Dati!D826/100,Dati!D826))</f>
        <v/>
      </c>
      <c r="F826" s="18" t="str">
        <f>IF(OR(D826="",E826=""),"",IF(OR(D826&gt;1,E826&gt;1),(E826-D826)/100,E826-D826))</f>
        <v/>
      </c>
      <c r="G826" s="17" t="str">
        <f>IF(F826="","",IF(64*F826=0,"",64*F826))</f>
        <v/>
      </c>
      <c r="H826" s="19" t="str">
        <f>IF(Dati!E826="","",Dati!E826)</f>
        <v/>
      </c>
      <c r="I826" s="19" t="str">
        <f>IFERROR(IF(OR(C826="",C826=0),"",H826/C826*100),"")</f>
        <v/>
      </c>
      <c r="J826" s="20" t="str">
        <f>IF(Dati!F826="","",Dati!F826)</f>
        <v/>
      </c>
      <c r="K826" s="19" t="str">
        <f>IF(OR(H826="",J826=""),"",IF(H826*J826=0,"",H826*J826))</f>
        <v/>
      </c>
      <c r="L826" s="19" t="str">
        <f>IF(A826="","",IFERROR(IF(SUMPRODUCT((ISNUMBER(A$2:A826))*(A$2:A826&gt;1000)*(MONTH(IF(ISNUMBER(A$2:A826),A$2:A826,1))=MONTH(A826))*(YEAR(IF(ISNUMBER(A$2:A826),A$2:A826,1))=YEAR(A826))*IF(ISNUMBER(K$2:K826),K$2:K826,0))=0,"",SUMPRODUCT((ISNUMBER(A$2:A826))*(A$2:A826&gt;1000)*(MONTH(IF(ISNUMBER(A$2:A826),A$2:A826,1))=MONTH(A826))*(YEAR(IF(ISNUMBER(A$2:A826),A$2:A826,1))=YEAR(A826))*IF(ISNUMBER(K$2:K826),K$2:K826,0))),""))</f>
        <v/>
      </c>
      <c r="M826" s="21" t="str">
        <f>IF(A826="","",IFERROR(IF(SUMIF(N$2:N826,"CASA",K$2:K826)=0,"",SUMIF(N$2:N826,"CASA",K$2:K826)),""))</f>
        <v/>
      </c>
      <c r="N826" s="17" t="str">
        <f>IF(J826="","",IF(J826=0.2,"CASA",IF(Dati!G826="","",Dati!G826)))</f>
        <v/>
      </c>
    </row>
    <row r="827" spans="1:14" ht="15" customHeight="1" x14ac:dyDescent="0.2">
      <c r="A827" s="23" t="str">
        <f>IF(Dati!A827="","",Dati!A827)</f>
        <v/>
      </c>
      <c r="B827" s="17" t="str">
        <f>IF(Dati!B827="","",Dati!B827)</f>
        <v/>
      </c>
      <c r="C827" s="17" t="str">
        <f>IF(B827="","",IF(ISNUMBER(B826),IF(B827-B826&lt;0,B827,IF(B827-B826=0,"",B827-B826)),B827))</f>
        <v/>
      </c>
      <c r="D827" s="18" t="str">
        <f>IF(Dati!C827="","",IF(Dati!C827&gt;1,Dati!C827/100,Dati!C827))</f>
        <v/>
      </c>
      <c r="E827" s="18" t="str">
        <f>IF(Dati!D827="","",IF(Dati!D827&gt;1,Dati!D827/100,Dati!D827))</f>
        <v/>
      </c>
      <c r="F827" s="18" t="str">
        <f>IF(OR(D827="",E827=""),"",IF(OR(D827&gt;1,E827&gt;1),(E827-D827)/100,E827-D827))</f>
        <v/>
      </c>
      <c r="G827" s="17" t="str">
        <f>IF(F827="","",IF(64*F827=0,"",64*F827))</f>
        <v/>
      </c>
      <c r="H827" s="19" t="str">
        <f>IF(Dati!E827="","",Dati!E827)</f>
        <v/>
      </c>
      <c r="I827" s="19" t="str">
        <f>IFERROR(IF(OR(C827="",C827=0),"",H827/C827*100),"")</f>
        <v/>
      </c>
      <c r="J827" s="20" t="str">
        <f>IF(Dati!F827="","",Dati!F827)</f>
        <v/>
      </c>
      <c r="K827" s="19" t="str">
        <f>IF(OR(H827="",J827=""),"",IF(H827*J827=0,"",H827*J827))</f>
        <v/>
      </c>
      <c r="L827" s="19" t="str">
        <f>IF(A827="","",IFERROR(IF(SUMPRODUCT((ISNUMBER(A$2:A827))*(A$2:A827&gt;1000)*(MONTH(IF(ISNUMBER(A$2:A827),A$2:A827,1))=MONTH(A827))*(YEAR(IF(ISNUMBER(A$2:A827),A$2:A827,1))=YEAR(A827))*IF(ISNUMBER(K$2:K827),K$2:K827,0))=0,"",SUMPRODUCT((ISNUMBER(A$2:A827))*(A$2:A827&gt;1000)*(MONTH(IF(ISNUMBER(A$2:A827),A$2:A827,1))=MONTH(A827))*(YEAR(IF(ISNUMBER(A$2:A827),A$2:A827,1))=YEAR(A827))*IF(ISNUMBER(K$2:K827),K$2:K827,0))),""))</f>
        <v/>
      </c>
      <c r="M827" s="21" t="str">
        <f>IF(A827="","",IFERROR(IF(SUMIF(N$2:N827,"CASA",K$2:K827)=0,"",SUMIF(N$2:N827,"CASA",K$2:K827)),""))</f>
        <v/>
      </c>
      <c r="N827" s="17" t="str">
        <f>IF(J827="","",IF(J827=0.2,"CASA",IF(Dati!G827="","",Dati!G827)))</f>
        <v/>
      </c>
    </row>
    <row r="828" spans="1:14" ht="15" customHeight="1" x14ac:dyDescent="0.2">
      <c r="A828" s="23" t="str">
        <f>IF(Dati!A828="","",Dati!A828)</f>
        <v/>
      </c>
      <c r="B828" s="17" t="str">
        <f>IF(Dati!B828="","",Dati!B828)</f>
        <v/>
      </c>
      <c r="C828" s="17" t="str">
        <f>IF(B828="","",IF(ISNUMBER(B827),IF(B828-B827&lt;0,B828,IF(B828-B827=0,"",B828-B827)),B828))</f>
        <v/>
      </c>
      <c r="D828" s="18" t="str">
        <f>IF(Dati!C828="","",IF(Dati!C828&gt;1,Dati!C828/100,Dati!C828))</f>
        <v/>
      </c>
      <c r="E828" s="18" t="str">
        <f>IF(Dati!D828="","",IF(Dati!D828&gt;1,Dati!D828/100,Dati!D828))</f>
        <v/>
      </c>
      <c r="F828" s="18" t="str">
        <f>IF(OR(D828="",E828=""),"",IF(OR(D828&gt;1,E828&gt;1),(E828-D828)/100,E828-D828))</f>
        <v/>
      </c>
      <c r="G828" s="17" t="str">
        <f>IF(F828="","",IF(64*F828=0,"",64*F828))</f>
        <v/>
      </c>
      <c r="H828" s="19" t="str">
        <f>IF(Dati!E828="","",Dati!E828)</f>
        <v/>
      </c>
      <c r="I828" s="19" t="str">
        <f>IFERROR(IF(OR(C828="",C828=0),"",H828/C828*100),"")</f>
        <v/>
      </c>
      <c r="J828" s="20" t="str">
        <f>IF(Dati!F828="","",Dati!F828)</f>
        <v/>
      </c>
      <c r="K828" s="19" t="str">
        <f>IF(OR(H828="",J828=""),"",IF(H828*J828=0,"",H828*J828))</f>
        <v/>
      </c>
      <c r="L828" s="19" t="str">
        <f>IF(A828="","",IFERROR(IF(SUMPRODUCT((ISNUMBER(A$2:A828))*(A$2:A828&gt;1000)*(MONTH(IF(ISNUMBER(A$2:A828),A$2:A828,1))=MONTH(A828))*(YEAR(IF(ISNUMBER(A$2:A828),A$2:A828,1))=YEAR(A828))*IF(ISNUMBER(K$2:K828),K$2:K828,0))=0,"",SUMPRODUCT((ISNUMBER(A$2:A828))*(A$2:A828&gt;1000)*(MONTH(IF(ISNUMBER(A$2:A828),A$2:A828,1))=MONTH(A828))*(YEAR(IF(ISNUMBER(A$2:A828),A$2:A828,1))=YEAR(A828))*IF(ISNUMBER(K$2:K828),K$2:K828,0))),""))</f>
        <v/>
      </c>
      <c r="M828" s="21" t="str">
        <f>IF(A828="","",IFERROR(IF(SUMIF(N$2:N828,"CASA",K$2:K828)=0,"",SUMIF(N$2:N828,"CASA",K$2:K828)),""))</f>
        <v/>
      </c>
      <c r="N828" s="17" t="str">
        <f>IF(J828="","",IF(J828=0.2,"CASA",IF(Dati!G828="","",Dati!G828)))</f>
        <v/>
      </c>
    </row>
    <row r="829" spans="1:14" ht="15" customHeight="1" x14ac:dyDescent="0.2">
      <c r="A829" s="23" t="str">
        <f>IF(Dati!A829="","",Dati!A829)</f>
        <v/>
      </c>
      <c r="B829" s="17" t="str">
        <f>IF(Dati!B829="","",Dati!B829)</f>
        <v/>
      </c>
      <c r="C829" s="17" t="str">
        <f>IF(B829="","",IF(ISNUMBER(B828),IF(B829-B828&lt;0,B829,IF(B829-B828=0,"",B829-B828)),B829))</f>
        <v/>
      </c>
      <c r="D829" s="18" t="str">
        <f>IF(Dati!C829="","",IF(Dati!C829&gt;1,Dati!C829/100,Dati!C829))</f>
        <v/>
      </c>
      <c r="E829" s="18" t="str">
        <f>IF(Dati!D829="","",IF(Dati!D829&gt;1,Dati!D829/100,Dati!D829))</f>
        <v/>
      </c>
      <c r="F829" s="18" t="str">
        <f>IF(OR(D829="",E829=""),"",IF(OR(D829&gt;1,E829&gt;1),(E829-D829)/100,E829-D829))</f>
        <v/>
      </c>
      <c r="G829" s="17" t="str">
        <f>IF(F829="","",IF(64*F829=0,"",64*F829))</f>
        <v/>
      </c>
      <c r="H829" s="19" t="str">
        <f>IF(Dati!E829="","",Dati!E829)</f>
        <v/>
      </c>
      <c r="I829" s="19" t="str">
        <f>IFERROR(IF(OR(C829="",C829=0),"",H829/C829*100),"")</f>
        <v/>
      </c>
      <c r="J829" s="20" t="str">
        <f>IF(Dati!F829="","",Dati!F829)</f>
        <v/>
      </c>
      <c r="K829" s="19" t="str">
        <f>IF(OR(H829="",J829=""),"",IF(H829*J829=0,"",H829*J829))</f>
        <v/>
      </c>
      <c r="L829" s="19" t="str">
        <f>IF(A829="","",IFERROR(IF(SUMPRODUCT((ISNUMBER(A$2:A829))*(A$2:A829&gt;1000)*(MONTH(IF(ISNUMBER(A$2:A829),A$2:A829,1))=MONTH(A829))*(YEAR(IF(ISNUMBER(A$2:A829),A$2:A829,1))=YEAR(A829))*IF(ISNUMBER(K$2:K829),K$2:K829,0))=0,"",SUMPRODUCT((ISNUMBER(A$2:A829))*(A$2:A829&gt;1000)*(MONTH(IF(ISNUMBER(A$2:A829),A$2:A829,1))=MONTH(A829))*(YEAR(IF(ISNUMBER(A$2:A829),A$2:A829,1))=YEAR(A829))*IF(ISNUMBER(K$2:K829),K$2:K829,0))),""))</f>
        <v/>
      </c>
      <c r="M829" s="21" t="str">
        <f>IF(A829="","",IFERROR(IF(SUMIF(N$2:N829,"CASA",K$2:K829)=0,"",SUMIF(N$2:N829,"CASA",K$2:K829)),""))</f>
        <v/>
      </c>
      <c r="N829" s="17" t="str">
        <f>IF(J829="","",IF(J829=0.2,"CASA",IF(Dati!G829="","",Dati!G829)))</f>
        <v/>
      </c>
    </row>
    <row r="830" spans="1:14" ht="15" customHeight="1" x14ac:dyDescent="0.2">
      <c r="A830" s="23" t="str">
        <f>IF(Dati!A830="","",Dati!A830)</f>
        <v/>
      </c>
      <c r="B830" s="17" t="str">
        <f>IF(Dati!B830="","",Dati!B830)</f>
        <v/>
      </c>
      <c r="C830" s="17" t="str">
        <f>IF(B830="","",IF(ISNUMBER(B829),IF(B830-B829&lt;0,B830,IF(B830-B829=0,"",B830-B829)),B830))</f>
        <v/>
      </c>
      <c r="D830" s="18" t="str">
        <f>IF(Dati!C830="","",IF(Dati!C830&gt;1,Dati!C830/100,Dati!C830))</f>
        <v/>
      </c>
      <c r="E830" s="18" t="str">
        <f>IF(Dati!D830="","",IF(Dati!D830&gt;1,Dati!D830/100,Dati!D830))</f>
        <v/>
      </c>
      <c r="F830" s="18" t="str">
        <f>IF(OR(D830="",E830=""),"",IF(OR(D830&gt;1,E830&gt;1),(E830-D830)/100,E830-D830))</f>
        <v/>
      </c>
      <c r="G830" s="17" t="str">
        <f>IF(F830="","",IF(64*F830=0,"",64*F830))</f>
        <v/>
      </c>
      <c r="H830" s="19" t="str">
        <f>IF(Dati!E830="","",Dati!E830)</f>
        <v/>
      </c>
      <c r="I830" s="19" t="str">
        <f>IFERROR(IF(OR(C830="",C830=0),"",H830/C830*100),"")</f>
        <v/>
      </c>
      <c r="J830" s="20" t="str">
        <f>IF(Dati!F830="","",Dati!F830)</f>
        <v/>
      </c>
      <c r="K830" s="19" t="str">
        <f>IF(OR(H830="",J830=""),"",IF(H830*J830=0,"",H830*J830))</f>
        <v/>
      </c>
      <c r="L830" s="19" t="str">
        <f>IF(A830="","",IFERROR(IF(SUMPRODUCT((ISNUMBER(A$2:A830))*(A$2:A830&gt;1000)*(MONTH(IF(ISNUMBER(A$2:A830),A$2:A830,1))=MONTH(A830))*(YEAR(IF(ISNUMBER(A$2:A830),A$2:A830,1))=YEAR(A830))*IF(ISNUMBER(K$2:K830),K$2:K830,0))=0,"",SUMPRODUCT((ISNUMBER(A$2:A830))*(A$2:A830&gt;1000)*(MONTH(IF(ISNUMBER(A$2:A830),A$2:A830,1))=MONTH(A830))*(YEAR(IF(ISNUMBER(A$2:A830),A$2:A830,1))=YEAR(A830))*IF(ISNUMBER(K$2:K830),K$2:K830,0))),""))</f>
        <v/>
      </c>
      <c r="M830" s="21" t="str">
        <f>IF(A830="","",IFERROR(IF(SUMIF(N$2:N830,"CASA",K$2:K830)=0,"",SUMIF(N$2:N830,"CASA",K$2:K830)),""))</f>
        <v/>
      </c>
      <c r="N830" s="17" t="str">
        <f>IF(J830="","",IF(J830=0.2,"CASA",IF(Dati!G830="","",Dati!G830)))</f>
        <v/>
      </c>
    </row>
    <row r="831" spans="1:14" ht="15" customHeight="1" x14ac:dyDescent="0.2">
      <c r="A831" s="23" t="str">
        <f>IF(Dati!A831="","",Dati!A831)</f>
        <v/>
      </c>
      <c r="B831" s="17" t="str">
        <f>IF(Dati!B831="","",Dati!B831)</f>
        <v/>
      </c>
      <c r="C831" s="17" t="str">
        <f>IF(B831="","",IF(ISNUMBER(B830),IF(B831-B830&lt;0,B831,IF(B831-B830=0,"",B831-B830)),B831))</f>
        <v/>
      </c>
      <c r="D831" s="18" t="str">
        <f>IF(Dati!C831="","",IF(Dati!C831&gt;1,Dati!C831/100,Dati!C831))</f>
        <v/>
      </c>
      <c r="E831" s="18" t="str">
        <f>IF(Dati!D831="","",IF(Dati!D831&gt;1,Dati!D831/100,Dati!D831))</f>
        <v/>
      </c>
      <c r="F831" s="18" t="str">
        <f>IF(OR(D831="",E831=""),"",IF(OR(D831&gt;1,E831&gt;1),(E831-D831)/100,E831-D831))</f>
        <v/>
      </c>
      <c r="G831" s="17" t="str">
        <f>IF(F831="","",IF(64*F831=0,"",64*F831))</f>
        <v/>
      </c>
      <c r="H831" s="19" t="str">
        <f>IF(Dati!E831="","",Dati!E831)</f>
        <v/>
      </c>
      <c r="I831" s="19" t="str">
        <f>IFERROR(IF(OR(C831="",C831=0),"",H831/C831*100),"")</f>
        <v/>
      </c>
      <c r="J831" s="20" t="str">
        <f>IF(Dati!F831="","",Dati!F831)</f>
        <v/>
      </c>
      <c r="K831" s="19" t="str">
        <f>IF(OR(H831="",J831=""),"",IF(H831*J831=0,"",H831*J831))</f>
        <v/>
      </c>
      <c r="L831" s="19" t="str">
        <f>IF(A831="","",IFERROR(IF(SUMPRODUCT((ISNUMBER(A$2:A831))*(A$2:A831&gt;1000)*(MONTH(IF(ISNUMBER(A$2:A831),A$2:A831,1))=MONTH(A831))*(YEAR(IF(ISNUMBER(A$2:A831),A$2:A831,1))=YEAR(A831))*IF(ISNUMBER(K$2:K831),K$2:K831,0))=0,"",SUMPRODUCT((ISNUMBER(A$2:A831))*(A$2:A831&gt;1000)*(MONTH(IF(ISNUMBER(A$2:A831),A$2:A831,1))=MONTH(A831))*(YEAR(IF(ISNUMBER(A$2:A831),A$2:A831,1))=YEAR(A831))*IF(ISNUMBER(K$2:K831),K$2:K831,0))),""))</f>
        <v/>
      </c>
      <c r="M831" s="21" t="str">
        <f>IF(A831="","",IFERROR(IF(SUMIF(N$2:N831,"CASA",K$2:K831)=0,"",SUMIF(N$2:N831,"CASA",K$2:K831)),""))</f>
        <v/>
      </c>
      <c r="N831" s="17" t="str">
        <f>IF(J831="","",IF(J831=0.2,"CASA",IF(Dati!G831="","",Dati!G831)))</f>
        <v/>
      </c>
    </row>
    <row r="832" spans="1:14" ht="15" customHeight="1" x14ac:dyDescent="0.2">
      <c r="A832" s="23" t="str">
        <f>IF(Dati!A832="","",Dati!A832)</f>
        <v/>
      </c>
      <c r="B832" s="17" t="str">
        <f>IF(Dati!B832="","",Dati!B832)</f>
        <v/>
      </c>
      <c r="C832" s="17" t="str">
        <f>IF(B832="","",IF(ISNUMBER(B831),IF(B832-B831&lt;0,B832,IF(B832-B831=0,"",B832-B831)),B832))</f>
        <v/>
      </c>
      <c r="D832" s="18" t="str">
        <f>IF(Dati!C832="","",IF(Dati!C832&gt;1,Dati!C832/100,Dati!C832))</f>
        <v/>
      </c>
      <c r="E832" s="18" t="str">
        <f>IF(Dati!D832="","",IF(Dati!D832&gt;1,Dati!D832/100,Dati!D832))</f>
        <v/>
      </c>
      <c r="F832" s="18" t="str">
        <f>IF(OR(D832="",E832=""),"",IF(OR(D832&gt;1,E832&gt;1),(E832-D832)/100,E832-D832))</f>
        <v/>
      </c>
      <c r="G832" s="17" t="str">
        <f>IF(F832="","",IF(64*F832=0,"",64*F832))</f>
        <v/>
      </c>
      <c r="H832" s="19" t="str">
        <f>IF(Dati!E832="","",Dati!E832)</f>
        <v/>
      </c>
      <c r="I832" s="19" t="str">
        <f>IFERROR(IF(OR(C832="",C832=0),"",H832/C832*100),"")</f>
        <v/>
      </c>
      <c r="J832" s="20" t="str">
        <f>IF(Dati!F832="","",Dati!F832)</f>
        <v/>
      </c>
      <c r="K832" s="19" t="str">
        <f>IF(OR(H832="",J832=""),"",IF(H832*J832=0,"",H832*J832))</f>
        <v/>
      </c>
      <c r="L832" s="19" t="str">
        <f>IF(A832="","",IFERROR(IF(SUMPRODUCT((ISNUMBER(A$2:A832))*(A$2:A832&gt;1000)*(MONTH(IF(ISNUMBER(A$2:A832),A$2:A832,1))=MONTH(A832))*(YEAR(IF(ISNUMBER(A$2:A832),A$2:A832,1))=YEAR(A832))*IF(ISNUMBER(K$2:K832),K$2:K832,0))=0,"",SUMPRODUCT((ISNUMBER(A$2:A832))*(A$2:A832&gt;1000)*(MONTH(IF(ISNUMBER(A$2:A832),A$2:A832,1))=MONTH(A832))*(YEAR(IF(ISNUMBER(A$2:A832),A$2:A832,1))=YEAR(A832))*IF(ISNUMBER(K$2:K832),K$2:K832,0))),""))</f>
        <v/>
      </c>
      <c r="M832" s="21" t="str">
        <f>IF(A832="","",IFERROR(IF(SUMIF(N$2:N832,"CASA",K$2:K832)=0,"",SUMIF(N$2:N832,"CASA",K$2:K832)),""))</f>
        <v/>
      </c>
      <c r="N832" s="17" t="str">
        <f>IF(J832="","",IF(J832=0.2,"CASA",IF(Dati!G832="","",Dati!G832)))</f>
        <v/>
      </c>
    </row>
    <row r="833" spans="1:14" ht="15" customHeight="1" x14ac:dyDescent="0.2">
      <c r="A833" s="23" t="str">
        <f>IF(Dati!A833="","",Dati!A833)</f>
        <v/>
      </c>
      <c r="B833" s="17" t="str">
        <f>IF(Dati!B833="","",Dati!B833)</f>
        <v/>
      </c>
      <c r="C833" s="17" t="str">
        <f>IF(B833="","",IF(ISNUMBER(B832),IF(B833-B832&lt;0,B833,IF(B833-B832=0,"",B833-B832)),B833))</f>
        <v/>
      </c>
      <c r="D833" s="18" t="str">
        <f>IF(Dati!C833="","",IF(Dati!C833&gt;1,Dati!C833/100,Dati!C833))</f>
        <v/>
      </c>
      <c r="E833" s="18" t="str">
        <f>IF(Dati!D833="","",IF(Dati!D833&gt;1,Dati!D833/100,Dati!D833))</f>
        <v/>
      </c>
      <c r="F833" s="18" t="str">
        <f>IF(OR(D833="",E833=""),"",IF(OR(D833&gt;1,E833&gt;1),(E833-D833)/100,E833-D833))</f>
        <v/>
      </c>
      <c r="G833" s="17" t="str">
        <f>IF(F833="","",IF(64*F833=0,"",64*F833))</f>
        <v/>
      </c>
      <c r="H833" s="19" t="str">
        <f>IF(Dati!E833="","",Dati!E833)</f>
        <v/>
      </c>
      <c r="I833" s="19" t="str">
        <f>IFERROR(IF(OR(C833="",C833=0),"",H833/C833*100),"")</f>
        <v/>
      </c>
      <c r="J833" s="20" t="str">
        <f>IF(Dati!F833="","",Dati!F833)</f>
        <v/>
      </c>
      <c r="K833" s="19" t="str">
        <f>IF(OR(H833="",J833=""),"",IF(H833*J833=0,"",H833*J833))</f>
        <v/>
      </c>
      <c r="L833" s="19" t="str">
        <f>IF(A833="","",IFERROR(IF(SUMPRODUCT((ISNUMBER(A$2:A833))*(A$2:A833&gt;1000)*(MONTH(IF(ISNUMBER(A$2:A833),A$2:A833,1))=MONTH(A833))*(YEAR(IF(ISNUMBER(A$2:A833),A$2:A833,1))=YEAR(A833))*IF(ISNUMBER(K$2:K833),K$2:K833,0))=0,"",SUMPRODUCT((ISNUMBER(A$2:A833))*(A$2:A833&gt;1000)*(MONTH(IF(ISNUMBER(A$2:A833),A$2:A833,1))=MONTH(A833))*(YEAR(IF(ISNUMBER(A$2:A833),A$2:A833,1))=YEAR(A833))*IF(ISNUMBER(K$2:K833),K$2:K833,0))),""))</f>
        <v/>
      </c>
      <c r="M833" s="21" t="str">
        <f>IF(A833="","",IFERROR(IF(SUMIF(N$2:N833,"CASA",K$2:K833)=0,"",SUMIF(N$2:N833,"CASA",K$2:K833)),""))</f>
        <v/>
      </c>
      <c r="N833" s="17" t="str">
        <f>IF(J833="","",IF(J833=0.2,"CASA",IF(Dati!G833="","",Dati!G833)))</f>
        <v/>
      </c>
    </row>
    <row r="834" spans="1:14" ht="15" customHeight="1" x14ac:dyDescent="0.2">
      <c r="A834" s="23" t="str">
        <f>IF(Dati!A834="","",Dati!A834)</f>
        <v/>
      </c>
      <c r="B834" s="17" t="str">
        <f>IF(Dati!B834="","",Dati!B834)</f>
        <v/>
      </c>
      <c r="C834" s="17" t="str">
        <f>IF(B834="","",IF(ISNUMBER(B833),IF(B834-B833&lt;0,B834,IF(B834-B833=0,"",B834-B833)),B834))</f>
        <v/>
      </c>
      <c r="D834" s="18" t="str">
        <f>IF(Dati!C834="","",IF(Dati!C834&gt;1,Dati!C834/100,Dati!C834))</f>
        <v/>
      </c>
      <c r="E834" s="18" t="str">
        <f>IF(Dati!D834="","",IF(Dati!D834&gt;1,Dati!D834/100,Dati!D834))</f>
        <v/>
      </c>
      <c r="F834" s="18" t="str">
        <f>IF(OR(D834="",E834=""),"",IF(OR(D834&gt;1,E834&gt;1),(E834-D834)/100,E834-D834))</f>
        <v/>
      </c>
      <c r="G834" s="17" t="str">
        <f>IF(F834="","",IF(64*F834=0,"",64*F834))</f>
        <v/>
      </c>
      <c r="H834" s="19" t="str">
        <f>IF(Dati!E834="","",Dati!E834)</f>
        <v/>
      </c>
      <c r="I834" s="19" t="str">
        <f>IFERROR(IF(OR(C834="",C834=0),"",H834/C834*100),"")</f>
        <v/>
      </c>
      <c r="J834" s="20" t="str">
        <f>IF(Dati!F834="","",Dati!F834)</f>
        <v/>
      </c>
      <c r="K834" s="19" t="str">
        <f>IF(OR(H834="",J834=""),"",IF(H834*J834=0,"",H834*J834))</f>
        <v/>
      </c>
      <c r="L834" s="19" t="str">
        <f>IF(A834="","",IFERROR(IF(SUMPRODUCT((ISNUMBER(A$2:A834))*(A$2:A834&gt;1000)*(MONTH(IF(ISNUMBER(A$2:A834),A$2:A834,1))=MONTH(A834))*(YEAR(IF(ISNUMBER(A$2:A834),A$2:A834,1))=YEAR(A834))*IF(ISNUMBER(K$2:K834),K$2:K834,0))=0,"",SUMPRODUCT((ISNUMBER(A$2:A834))*(A$2:A834&gt;1000)*(MONTH(IF(ISNUMBER(A$2:A834),A$2:A834,1))=MONTH(A834))*(YEAR(IF(ISNUMBER(A$2:A834),A$2:A834,1))=YEAR(A834))*IF(ISNUMBER(K$2:K834),K$2:K834,0))),""))</f>
        <v/>
      </c>
      <c r="M834" s="21" t="str">
        <f>IF(A834="","",IFERROR(IF(SUMIF(N$2:N834,"CASA",K$2:K834)=0,"",SUMIF(N$2:N834,"CASA",K$2:K834)),""))</f>
        <v/>
      </c>
      <c r="N834" s="17" t="str">
        <f>IF(J834="","",IF(J834=0.2,"CASA",IF(Dati!G834="","",Dati!G834)))</f>
        <v/>
      </c>
    </row>
    <row r="835" spans="1:14" ht="15" customHeight="1" x14ac:dyDescent="0.2">
      <c r="A835" s="23" t="str">
        <f>IF(Dati!A835="","",Dati!A835)</f>
        <v/>
      </c>
      <c r="B835" s="17" t="str">
        <f>IF(Dati!B835="","",Dati!B835)</f>
        <v/>
      </c>
      <c r="C835" s="17" t="str">
        <f>IF(B835="","",IF(ISNUMBER(B834),IF(B835-B834&lt;0,B835,IF(B835-B834=0,"",B835-B834)),B835))</f>
        <v/>
      </c>
      <c r="D835" s="18" t="str">
        <f>IF(Dati!C835="","",IF(Dati!C835&gt;1,Dati!C835/100,Dati!C835))</f>
        <v/>
      </c>
      <c r="E835" s="18" t="str">
        <f>IF(Dati!D835="","",IF(Dati!D835&gt;1,Dati!D835/100,Dati!D835))</f>
        <v/>
      </c>
      <c r="F835" s="18" t="str">
        <f>IF(OR(D835="",E835=""),"",IF(OR(D835&gt;1,E835&gt;1),(E835-D835)/100,E835-D835))</f>
        <v/>
      </c>
      <c r="G835" s="17" t="str">
        <f>IF(F835="","",IF(64*F835=0,"",64*F835))</f>
        <v/>
      </c>
      <c r="H835" s="19" t="str">
        <f>IF(Dati!E835="","",Dati!E835)</f>
        <v/>
      </c>
      <c r="I835" s="19" t="str">
        <f>IFERROR(IF(OR(C835="",C835=0),"",H835/C835*100),"")</f>
        <v/>
      </c>
      <c r="J835" s="20" t="str">
        <f>IF(Dati!F835="","",Dati!F835)</f>
        <v/>
      </c>
      <c r="K835" s="19" t="str">
        <f>IF(OR(H835="",J835=""),"",IF(H835*J835=0,"",H835*J835))</f>
        <v/>
      </c>
      <c r="L835" s="19" t="str">
        <f>IF(A835="","",IFERROR(IF(SUMPRODUCT((ISNUMBER(A$2:A835))*(A$2:A835&gt;1000)*(MONTH(IF(ISNUMBER(A$2:A835),A$2:A835,1))=MONTH(A835))*(YEAR(IF(ISNUMBER(A$2:A835),A$2:A835,1))=YEAR(A835))*IF(ISNUMBER(K$2:K835),K$2:K835,0))=0,"",SUMPRODUCT((ISNUMBER(A$2:A835))*(A$2:A835&gt;1000)*(MONTH(IF(ISNUMBER(A$2:A835),A$2:A835,1))=MONTH(A835))*(YEAR(IF(ISNUMBER(A$2:A835),A$2:A835,1))=YEAR(A835))*IF(ISNUMBER(K$2:K835),K$2:K835,0))),""))</f>
        <v/>
      </c>
      <c r="M835" s="21" t="str">
        <f>IF(A835="","",IFERROR(IF(SUMIF(N$2:N835,"CASA",K$2:K835)=0,"",SUMIF(N$2:N835,"CASA",K$2:K835)),""))</f>
        <v/>
      </c>
      <c r="N835" s="17" t="str">
        <f>IF(J835="","",IF(J835=0.2,"CASA",IF(Dati!G835="","",Dati!G835)))</f>
        <v/>
      </c>
    </row>
    <row r="836" spans="1:14" ht="15" customHeight="1" x14ac:dyDescent="0.2">
      <c r="A836" s="23" t="str">
        <f>IF(Dati!A836="","",Dati!A836)</f>
        <v/>
      </c>
      <c r="B836" s="17" t="str">
        <f>IF(Dati!B836="","",Dati!B836)</f>
        <v/>
      </c>
      <c r="C836" s="17" t="str">
        <f>IF(B836="","",IF(ISNUMBER(B835),IF(B836-B835&lt;0,B836,IF(B836-B835=0,"",B836-B835)),B836))</f>
        <v/>
      </c>
      <c r="D836" s="18" t="str">
        <f>IF(Dati!C836="","",IF(Dati!C836&gt;1,Dati!C836/100,Dati!C836))</f>
        <v/>
      </c>
      <c r="E836" s="18" t="str">
        <f>IF(Dati!D836="","",IF(Dati!D836&gt;1,Dati!D836/100,Dati!D836))</f>
        <v/>
      </c>
      <c r="F836" s="18" t="str">
        <f>IF(OR(D836="",E836=""),"",IF(OR(D836&gt;1,E836&gt;1),(E836-D836)/100,E836-D836))</f>
        <v/>
      </c>
      <c r="G836" s="17" t="str">
        <f>IF(F836="","",IF(64*F836=0,"",64*F836))</f>
        <v/>
      </c>
      <c r="H836" s="19" t="str">
        <f>IF(Dati!E836="","",Dati!E836)</f>
        <v/>
      </c>
      <c r="I836" s="19" t="str">
        <f>IFERROR(IF(OR(C836="",C836=0),"",H836/C836*100),"")</f>
        <v/>
      </c>
      <c r="J836" s="20" t="str">
        <f>IF(Dati!F836="","",Dati!F836)</f>
        <v/>
      </c>
      <c r="K836" s="19" t="str">
        <f>IF(OR(H836="",J836=""),"",IF(H836*J836=0,"",H836*J836))</f>
        <v/>
      </c>
      <c r="L836" s="19" t="str">
        <f>IF(A836="","",IFERROR(IF(SUMPRODUCT((ISNUMBER(A$2:A836))*(A$2:A836&gt;1000)*(MONTH(IF(ISNUMBER(A$2:A836),A$2:A836,1))=MONTH(A836))*(YEAR(IF(ISNUMBER(A$2:A836),A$2:A836,1))=YEAR(A836))*IF(ISNUMBER(K$2:K836),K$2:K836,0))=0,"",SUMPRODUCT((ISNUMBER(A$2:A836))*(A$2:A836&gt;1000)*(MONTH(IF(ISNUMBER(A$2:A836),A$2:A836,1))=MONTH(A836))*(YEAR(IF(ISNUMBER(A$2:A836),A$2:A836,1))=YEAR(A836))*IF(ISNUMBER(K$2:K836),K$2:K836,0))),""))</f>
        <v/>
      </c>
      <c r="M836" s="21" t="str">
        <f>IF(A836="","",IFERROR(IF(SUMIF(N$2:N836,"CASA",K$2:K836)=0,"",SUMIF(N$2:N836,"CASA",K$2:K836)),""))</f>
        <v/>
      </c>
      <c r="N836" s="17" t="str">
        <f>IF(J836="","",IF(J836=0.2,"CASA",IF(Dati!G836="","",Dati!G836)))</f>
        <v/>
      </c>
    </row>
    <row r="837" spans="1:14" ht="15" customHeight="1" x14ac:dyDescent="0.2">
      <c r="A837" s="23" t="str">
        <f>IF(Dati!A837="","",Dati!A837)</f>
        <v/>
      </c>
      <c r="B837" s="17" t="str">
        <f>IF(Dati!B837="","",Dati!B837)</f>
        <v/>
      </c>
      <c r="C837" s="17" t="str">
        <f>IF(B837="","",IF(ISNUMBER(B836),IF(B837-B836&lt;0,B837,IF(B837-B836=0,"",B837-B836)),B837))</f>
        <v/>
      </c>
      <c r="D837" s="18" t="str">
        <f>IF(Dati!C837="","",IF(Dati!C837&gt;1,Dati!C837/100,Dati!C837))</f>
        <v/>
      </c>
      <c r="E837" s="18" t="str">
        <f>IF(Dati!D837="","",IF(Dati!D837&gt;1,Dati!D837/100,Dati!D837))</f>
        <v/>
      </c>
      <c r="F837" s="18" t="str">
        <f>IF(OR(D837="",E837=""),"",IF(OR(D837&gt;1,E837&gt;1),(E837-D837)/100,E837-D837))</f>
        <v/>
      </c>
      <c r="G837" s="17" t="str">
        <f>IF(F837="","",IF(64*F837=0,"",64*F837))</f>
        <v/>
      </c>
      <c r="H837" s="19" t="str">
        <f>IF(Dati!E837="","",Dati!E837)</f>
        <v/>
      </c>
      <c r="I837" s="19" t="str">
        <f>IFERROR(IF(OR(C837="",C837=0),"",H837/C837*100),"")</f>
        <v/>
      </c>
      <c r="J837" s="20" t="str">
        <f>IF(Dati!F837="","",Dati!F837)</f>
        <v/>
      </c>
      <c r="K837" s="19" t="str">
        <f>IF(OR(H837="",J837=""),"",IF(H837*J837=0,"",H837*J837))</f>
        <v/>
      </c>
      <c r="L837" s="19" t="str">
        <f>IF(A837="","",IFERROR(IF(SUMPRODUCT((ISNUMBER(A$2:A837))*(A$2:A837&gt;1000)*(MONTH(IF(ISNUMBER(A$2:A837),A$2:A837,1))=MONTH(A837))*(YEAR(IF(ISNUMBER(A$2:A837),A$2:A837,1))=YEAR(A837))*IF(ISNUMBER(K$2:K837),K$2:K837,0))=0,"",SUMPRODUCT((ISNUMBER(A$2:A837))*(A$2:A837&gt;1000)*(MONTH(IF(ISNUMBER(A$2:A837),A$2:A837,1))=MONTH(A837))*(YEAR(IF(ISNUMBER(A$2:A837),A$2:A837,1))=YEAR(A837))*IF(ISNUMBER(K$2:K837),K$2:K837,0))),""))</f>
        <v/>
      </c>
      <c r="M837" s="21" t="str">
        <f>IF(A837="","",IFERROR(IF(SUMIF(N$2:N837,"CASA",K$2:K837)=0,"",SUMIF(N$2:N837,"CASA",K$2:K837)),""))</f>
        <v/>
      </c>
      <c r="N837" s="17" t="str">
        <f>IF(J837="","",IF(J837=0.2,"CASA",IF(Dati!G837="","",Dati!G837)))</f>
        <v/>
      </c>
    </row>
    <row r="838" spans="1:14" ht="15" customHeight="1" x14ac:dyDescent="0.2">
      <c r="A838" s="23" t="str">
        <f>IF(Dati!A838="","",Dati!A838)</f>
        <v/>
      </c>
      <c r="B838" s="17" t="str">
        <f>IF(Dati!B838="","",Dati!B838)</f>
        <v/>
      </c>
      <c r="C838" s="17" t="str">
        <f>IF(B838="","",IF(ISNUMBER(B837),IF(B838-B837&lt;0,B838,IF(B838-B837=0,"",B838-B837)),B838))</f>
        <v/>
      </c>
      <c r="D838" s="18" t="str">
        <f>IF(Dati!C838="","",IF(Dati!C838&gt;1,Dati!C838/100,Dati!C838))</f>
        <v/>
      </c>
      <c r="E838" s="18" t="str">
        <f>IF(Dati!D838="","",IF(Dati!D838&gt;1,Dati!D838/100,Dati!D838))</f>
        <v/>
      </c>
      <c r="F838" s="18" t="str">
        <f>IF(OR(D838="",E838=""),"",IF(OR(D838&gt;1,E838&gt;1),(E838-D838)/100,E838-D838))</f>
        <v/>
      </c>
      <c r="G838" s="17" t="str">
        <f>IF(F838="","",IF(64*F838=0,"",64*F838))</f>
        <v/>
      </c>
      <c r="H838" s="19" t="str">
        <f>IF(Dati!E838="","",Dati!E838)</f>
        <v/>
      </c>
      <c r="I838" s="19" t="str">
        <f>IFERROR(IF(OR(C838="",C838=0),"",H838/C838*100),"")</f>
        <v/>
      </c>
      <c r="J838" s="20" t="str">
        <f>IF(Dati!F838="","",Dati!F838)</f>
        <v/>
      </c>
      <c r="K838" s="19" t="str">
        <f>IF(OR(H838="",J838=""),"",IF(H838*J838=0,"",H838*J838))</f>
        <v/>
      </c>
      <c r="L838" s="19" t="str">
        <f>IF(A838="","",IFERROR(IF(SUMPRODUCT((ISNUMBER(A$2:A838))*(A$2:A838&gt;1000)*(MONTH(IF(ISNUMBER(A$2:A838),A$2:A838,1))=MONTH(A838))*(YEAR(IF(ISNUMBER(A$2:A838),A$2:A838,1))=YEAR(A838))*IF(ISNUMBER(K$2:K838),K$2:K838,0))=0,"",SUMPRODUCT((ISNUMBER(A$2:A838))*(A$2:A838&gt;1000)*(MONTH(IF(ISNUMBER(A$2:A838),A$2:A838,1))=MONTH(A838))*(YEAR(IF(ISNUMBER(A$2:A838),A$2:A838,1))=YEAR(A838))*IF(ISNUMBER(K$2:K838),K$2:K838,0))),""))</f>
        <v/>
      </c>
      <c r="M838" s="21" t="str">
        <f>IF(A838="","",IFERROR(IF(SUMIF(N$2:N838,"CASA",K$2:K838)=0,"",SUMIF(N$2:N838,"CASA",K$2:K838)),""))</f>
        <v/>
      </c>
      <c r="N838" s="17" t="str">
        <f>IF(J838="","",IF(J838=0.2,"CASA",IF(Dati!G838="","",Dati!G838)))</f>
        <v/>
      </c>
    </row>
    <row r="839" spans="1:14" ht="15" customHeight="1" x14ac:dyDescent="0.2">
      <c r="A839" s="23" t="str">
        <f>IF(Dati!A839="","",Dati!A839)</f>
        <v/>
      </c>
      <c r="B839" s="17" t="str">
        <f>IF(Dati!B839="","",Dati!B839)</f>
        <v/>
      </c>
      <c r="C839" s="17" t="str">
        <f>IF(B839="","",IF(ISNUMBER(B838),IF(B839-B838&lt;0,B839,IF(B839-B838=0,"",B839-B838)),B839))</f>
        <v/>
      </c>
      <c r="D839" s="18" t="str">
        <f>IF(Dati!C839="","",IF(Dati!C839&gt;1,Dati!C839/100,Dati!C839))</f>
        <v/>
      </c>
      <c r="E839" s="18" t="str">
        <f>IF(Dati!D839="","",IF(Dati!D839&gt;1,Dati!D839/100,Dati!D839))</f>
        <v/>
      </c>
      <c r="F839" s="18" t="str">
        <f>IF(OR(D839="",E839=""),"",IF(OR(D839&gt;1,E839&gt;1),(E839-D839)/100,E839-D839))</f>
        <v/>
      </c>
      <c r="G839" s="17" t="str">
        <f>IF(F839="","",IF(64*F839=0,"",64*F839))</f>
        <v/>
      </c>
      <c r="H839" s="19" t="str">
        <f>IF(Dati!E839="","",Dati!E839)</f>
        <v/>
      </c>
      <c r="I839" s="19" t="str">
        <f>IFERROR(IF(OR(C839="",C839=0),"",H839/C839*100),"")</f>
        <v/>
      </c>
      <c r="J839" s="20" t="str">
        <f>IF(Dati!F839="","",Dati!F839)</f>
        <v/>
      </c>
      <c r="K839" s="19" t="str">
        <f>IF(OR(H839="",J839=""),"",IF(H839*J839=0,"",H839*J839))</f>
        <v/>
      </c>
      <c r="L839" s="19" t="str">
        <f>IF(A839="","",IFERROR(IF(SUMPRODUCT((ISNUMBER(A$2:A839))*(A$2:A839&gt;1000)*(MONTH(IF(ISNUMBER(A$2:A839),A$2:A839,1))=MONTH(A839))*(YEAR(IF(ISNUMBER(A$2:A839),A$2:A839,1))=YEAR(A839))*IF(ISNUMBER(K$2:K839),K$2:K839,0))=0,"",SUMPRODUCT((ISNUMBER(A$2:A839))*(A$2:A839&gt;1000)*(MONTH(IF(ISNUMBER(A$2:A839),A$2:A839,1))=MONTH(A839))*(YEAR(IF(ISNUMBER(A$2:A839),A$2:A839,1))=YEAR(A839))*IF(ISNUMBER(K$2:K839),K$2:K839,0))),""))</f>
        <v/>
      </c>
      <c r="M839" s="21" t="str">
        <f>IF(A839="","",IFERROR(IF(SUMIF(N$2:N839,"CASA",K$2:K839)=0,"",SUMIF(N$2:N839,"CASA",K$2:K839)),""))</f>
        <v/>
      </c>
      <c r="N839" s="17" t="str">
        <f>IF(J839="","",IF(J839=0.2,"CASA",IF(Dati!G839="","",Dati!G839)))</f>
        <v/>
      </c>
    </row>
    <row r="840" spans="1:14" ht="15" customHeight="1" x14ac:dyDescent="0.2">
      <c r="A840" s="23" t="str">
        <f>IF(Dati!A840="","",Dati!A840)</f>
        <v/>
      </c>
      <c r="B840" s="17" t="str">
        <f>IF(Dati!B840="","",Dati!B840)</f>
        <v/>
      </c>
      <c r="C840" s="17" t="str">
        <f>IF(B840="","",IF(ISNUMBER(B839),IF(B840-B839&lt;0,B840,IF(B840-B839=0,"",B840-B839)),B840))</f>
        <v/>
      </c>
      <c r="D840" s="18" t="str">
        <f>IF(Dati!C840="","",IF(Dati!C840&gt;1,Dati!C840/100,Dati!C840))</f>
        <v/>
      </c>
      <c r="E840" s="18" t="str">
        <f>IF(Dati!D840="","",IF(Dati!D840&gt;1,Dati!D840/100,Dati!D840))</f>
        <v/>
      </c>
      <c r="F840" s="18" t="str">
        <f>IF(OR(D840="",E840=""),"",IF(OR(D840&gt;1,E840&gt;1),(E840-D840)/100,E840-D840))</f>
        <v/>
      </c>
      <c r="G840" s="17" t="str">
        <f>IF(F840="","",IF(64*F840=0,"",64*F840))</f>
        <v/>
      </c>
      <c r="H840" s="19" t="str">
        <f>IF(Dati!E840="","",Dati!E840)</f>
        <v/>
      </c>
      <c r="I840" s="19" t="str">
        <f>IFERROR(IF(OR(C840="",C840=0),"",H840/C840*100),"")</f>
        <v/>
      </c>
      <c r="J840" s="20" t="str">
        <f>IF(Dati!F840="","",Dati!F840)</f>
        <v/>
      </c>
      <c r="K840" s="19" t="str">
        <f>IF(OR(H840="",J840=""),"",IF(H840*J840=0,"",H840*J840))</f>
        <v/>
      </c>
      <c r="L840" s="19" t="str">
        <f>IF(A840="","",IFERROR(IF(SUMPRODUCT((ISNUMBER(A$2:A840))*(A$2:A840&gt;1000)*(MONTH(IF(ISNUMBER(A$2:A840),A$2:A840,1))=MONTH(A840))*(YEAR(IF(ISNUMBER(A$2:A840),A$2:A840,1))=YEAR(A840))*IF(ISNUMBER(K$2:K840),K$2:K840,0))=0,"",SUMPRODUCT((ISNUMBER(A$2:A840))*(A$2:A840&gt;1000)*(MONTH(IF(ISNUMBER(A$2:A840),A$2:A840,1))=MONTH(A840))*(YEAR(IF(ISNUMBER(A$2:A840),A$2:A840,1))=YEAR(A840))*IF(ISNUMBER(K$2:K840),K$2:K840,0))),""))</f>
        <v/>
      </c>
      <c r="M840" s="21" t="str">
        <f>IF(A840="","",IFERROR(IF(SUMIF(N$2:N840,"CASA",K$2:K840)=0,"",SUMIF(N$2:N840,"CASA",K$2:K840)),""))</f>
        <v/>
      </c>
      <c r="N840" s="17" t="str">
        <f>IF(J840="","",IF(J840=0.2,"CASA",IF(Dati!G840="","",Dati!G840)))</f>
        <v/>
      </c>
    </row>
    <row r="841" spans="1:14" ht="15" customHeight="1" x14ac:dyDescent="0.2">
      <c r="A841" s="23" t="str">
        <f>IF(Dati!A841="","",Dati!A841)</f>
        <v/>
      </c>
      <c r="B841" s="17" t="str">
        <f>IF(Dati!B841="","",Dati!B841)</f>
        <v/>
      </c>
      <c r="C841" s="17" t="str">
        <f>IF(B841="","",IF(ISNUMBER(B840),IF(B841-B840&lt;0,B841,IF(B841-B840=0,"",B841-B840)),B841))</f>
        <v/>
      </c>
      <c r="D841" s="18" t="str">
        <f>IF(Dati!C841="","",IF(Dati!C841&gt;1,Dati!C841/100,Dati!C841))</f>
        <v/>
      </c>
      <c r="E841" s="18" t="str">
        <f>IF(Dati!D841="","",IF(Dati!D841&gt;1,Dati!D841/100,Dati!D841))</f>
        <v/>
      </c>
      <c r="F841" s="18" t="str">
        <f>IF(OR(D841="",E841=""),"",IF(OR(D841&gt;1,E841&gt;1),(E841-D841)/100,E841-D841))</f>
        <v/>
      </c>
      <c r="G841" s="17" t="str">
        <f>IF(F841="","",IF(64*F841=0,"",64*F841))</f>
        <v/>
      </c>
      <c r="H841" s="19" t="str">
        <f>IF(Dati!E841="","",Dati!E841)</f>
        <v/>
      </c>
      <c r="I841" s="19" t="str">
        <f>IFERROR(IF(OR(C841="",C841=0),"",H841/C841*100),"")</f>
        <v/>
      </c>
      <c r="J841" s="20" t="str">
        <f>IF(Dati!F841="","",Dati!F841)</f>
        <v/>
      </c>
      <c r="K841" s="19" t="str">
        <f>IF(OR(H841="",J841=""),"",IF(H841*J841=0,"",H841*J841))</f>
        <v/>
      </c>
      <c r="L841" s="19" t="str">
        <f>IF(A841="","",IFERROR(IF(SUMPRODUCT((ISNUMBER(A$2:A841))*(A$2:A841&gt;1000)*(MONTH(IF(ISNUMBER(A$2:A841),A$2:A841,1))=MONTH(A841))*(YEAR(IF(ISNUMBER(A$2:A841),A$2:A841,1))=YEAR(A841))*IF(ISNUMBER(K$2:K841),K$2:K841,0))=0,"",SUMPRODUCT((ISNUMBER(A$2:A841))*(A$2:A841&gt;1000)*(MONTH(IF(ISNUMBER(A$2:A841),A$2:A841,1))=MONTH(A841))*(YEAR(IF(ISNUMBER(A$2:A841),A$2:A841,1))=YEAR(A841))*IF(ISNUMBER(K$2:K841),K$2:K841,0))),""))</f>
        <v/>
      </c>
      <c r="M841" s="21" t="str">
        <f>IF(A841="","",IFERROR(IF(SUMIF(N$2:N841,"CASA",K$2:K841)=0,"",SUMIF(N$2:N841,"CASA",K$2:K841)),""))</f>
        <v/>
      </c>
      <c r="N841" s="17" t="str">
        <f>IF(J841="","",IF(J841=0.2,"CASA",IF(Dati!G841="","",Dati!G841)))</f>
        <v/>
      </c>
    </row>
    <row r="842" spans="1:14" ht="15" customHeight="1" x14ac:dyDescent="0.2">
      <c r="A842" s="23" t="str">
        <f>IF(Dati!A842="","",Dati!A842)</f>
        <v/>
      </c>
      <c r="B842" s="17" t="str">
        <f>IF(Dati!B842="","",Dati!B842)</f>
        <v/>
      </c>
      <c r="C842" s="17" t="str">
        <f>IF(B842="","",IF(ISNUMBER(B841),IF(B842-B841&lt;0,B842,IF(B842-B841=0,"",B842-B841)),B842))</f>
        <v/>
      </c>
      <c r="D842" s="18" t="str">
        <f>IF(Dati!C842="","",IF(Dati!C842&gt;1,Dati!C842/100,Dati!C842))</f>
        <v/>
      </c>
      <c r="E842" s="18" t="str">
        <f>IF(Dati!D842="","",IF(Dati!D842&gt;1,Dati!D842/100,Dati!D842))</f>
        <v/>
      </c>
      <c r="F842" s="18" t="str">
        <f>IF(OR(D842="",E842=""),"",IF(OR(D842&gt;1,E842&gt;1),(E842-D842)/100,E842-D842))</f>
        <v/>
      </c>
      <c r="G842" s="17" t="str">
        <f>IF(F842="","",IF(64*F842=0,"",64*F842))</f>
        <v/>
      </c>
      <c r="H842" s="19" t="str">
        <f>IF(Dati!E842="","",Dati!E842)</f>
        <v/>
      </c>
      <c r="I842" s="19" t="str">
        <f>IFERROR(IF(OR(C842="",C842=0),"",H842/C842*100),"")</f>
        <v/>
      </c>
      <c r="J842" s="20" t="str">
        <f>IF(Dati!F842="","",Dati!F842)</f>
        <v/>
      </c>
      <c r="K842" s="19" t="str">
        <f>IF(OR(H842="",J842=""),"",IF(H842*J842=0,"",H842*J842))</f>
        <v/>
      </c>
      <c r="L842" s="19" t="str">
        <f>IF(A842="","",IFERROR(IF(SUMPRODUCT((ISNUMBER(A$2:A842))*(A$2:A842&gt;1000)*(MONTH(IF(ISNUMBER(A$2:A842),A$2:A842,1))=MONTH(A842))*(YEAR(IF(ISNUMBER(A$2:A842),A$2:A842,1))=YEAR(A842))*IF(ISNUMBER(K$2:K842),K$2:K842,0))=0,"",SUMPRODUCT((ISNUMBER(A$2:A842))*(A$2:A842&gt;1000)*(MONTH(IF(ISNUMBER(A$2:A842),A$2:A842,1))=MONTH(A842))*(YEAR(IF(ISNUMBER(A$2:A842),A$2:A842,1))=YEAR(A842))*IF(ISNUMBER(K$2:K842),K$2:K842,0))),""))</f>
        <v/>
      </c>
      <c r="M842" s="21" t="str">
        <f>IF(A842="","",IFERROR(IF(SUMIF(N$2:N842,"CASA",K$2:K842)=0,"",SUMIF(N$2:N842,"CASA",K$2:K842)),""))</f>
        <v/>
      </c>
      <c r="N842" s="17" t="str">
        <f>IF(J842="","",IF(J842=0.2,"CASA",IF(Dati!G842="","",Dati!G842)))</f>
        <v/>
      </c>
    </row>
    <row r="843" spans="1:14" ht="15" customHeight="1" x14ac:dyDescent="0.2">
      <c r="A843" s="23" t="str">
        <f>IF(Dati!A843="","",Dati!A843)</f>
        <v/>
      </c>
      <c r="B843" s="17" t="str">
        <f>IF(Dati!B843="","",Dati!B843)</f>
        <v/>
      </c>
      <c r="C843" s="17" t="str">
        <f>IF(B843="","",IF(ISNUMBER(B842),IF(B843-B842&lt;0,B843,IF(B843-B842=0,"",B843-B842)),B843))</f>
        <v/>
      </c>
      <c r="D843" s="18" t="str">
        <f>IF(Dati!C843="","",IF(Dati!C843&gt;1,Dati!C843/100,Dati!C843))</f>
        <v/>
      </c>
      <c r="E843" s="18" t="str">
        <f>IF(Dati!D843="","",IF(Dati!D843&gt;1,Dati!D843/100,Dati!D843))</f>
        <v/>
      </c>
      <c r="F843" s="18" t="str">
        <f>IF(OR(D843="",E843=""),"",IF(OR(D843&gt;1,E843&gt;1),(E843-D843)/100,E843-D843))</f>
        <v/>
      </c>
      <c r="G843" s="17" t="str">
        <f>IF(F843="","",IF(64*F843=0,"",64*F843))</f>
        <v/>
      </c>
      <c r="H843" s="19" t="str">
        <f>IF(Dati!E843="","",Dati!E843)</f>
        <v/>
      </c>
      <c r="I843" s="19" t="str">
        <f>IFERROR(IF(OR(C843="",C843=0),"",H843/C843*100),"")</f>
        <v/>
      </c>
      <c r="J843" s="20" t="str">
        <f>IF(Dati!F843="","",Dati!F843)</f>
        <v/>
      </c>
      <c r="K843" s="19" t="str">
        <f>IF(OR(H843="",J843=""),"",IF(H843*J843=0,"",H843*J843))</f>
        <v/>
      </c>
      <c r="L843" s="19" t="str">
        <f>IF(A843="","",IFERROR(IF(SUMPRODUCT((ISNUMBER(A$2:A843))*(A$2:A843&gt;1000)*(MONTH(IF(ISNUMBER(A$2:A843),A$2:A843,1))=MONTH(A843))*(YEAR(IF(ISNUMBER(A$2:A843),A$2:A843,1))=YEAR(A843))*IF(ISNUMBER(K$2:K843),K$2:K843,0))=0,"",SUMPRODUCT((ISNUMBER(A$2:A843))*(A$2:A843&gt;1000)*(MONTH(IF(ISNUMBER(A$2:A843),A$2:A843,1))=MONTH(A843))*(YEAR(IF(ISNUMBER(A$2:A843),A$2:A843,1))=YEAR(A843))*IF(ISNUMBER(K$2:K843),K$2:K843,0))),""))</f>
        <v/>
      </c>
      <c r="M843" s="21" t="str">
        <f>IF(A843="","",IFERROR(IF(SUMIF(N$2:N843,"CASA",K$2:K843)=0,"",SUMIF(N$2:N843,"CASA",K$2:K843)),""))</f>
        <v/>
      </c>
      <c r="N843" s="17" t="str">
        <f>IF(J843="","",IF(J843=0.2,"CASA",IF(Dati!G843="","",Dati!G843)))</f>
        <v/>
      </c>
    </row>
    <row r="844" spans="1:14" ht="15" customHeight="1" x14ac:dyDescent="0.2">
      <c r="A844" s="23" t="str">
        <f>IF(Dati!A844="","",Dati!A844)</f>
        <v/>
      </c>
      <c r="B844" s="17" t="str">
        <f>IF(Dati!B844="","",Dati!B844)</f>
        <v/>
      </c>
      <c r="C844" s="17" t="str">
        <f>IF(B844="","",IF(ISNUMBER(B843),IF(B844-B843&lt;0,B844,IF(B844-B843=0,"",B844-B843)),B844))</f>
        <v/>
      </c>
      <c r="D844" s="18" t="str">
        <f>IF(Dati!C844="","",IF(Dati!C844&gt;1,Dati!C844/100,Dati!C844))</f>
        <v/>
      </c>
      <c r="E844" s="18" t="str">
        <f>IF(Dati!D844="","",IF(Dati!D844&gt;1,Dati!D844/100,Dati!D844))</f>
        <v/>
      </c>
      <c r="F844" s="18" t="str">
        <f>IF(OR(D844="",E844=""),"",IF(OR(D844&gt;1,E844&gt;1),(E844-D844)/100,E844-D844))</f>
        <v/>
      </c>
      <c r="G844" s="17" t="str">
        <f>IF(F844="","",IF(64*F844=0,"",64*F844))</f>
        <v/>
      </c>
      <c r="H844" s="19" t="str">
        <f>IF(Dati!E844="","",Dati!E844)</f>
        <v/>
      </c>
      <c r="I844" s="19" t="str">
        <f>IFERROR(IF(OR(C844="",C844=0),"",H844/C844*100),"")</f>
        <v/>
      </c>
      <c r="J844" s="20" t="str">
        <f>IF(Dati!F844="","",Dati!F844)</f>
        <v/>
      </c>
      <c r="K844" s="19" t="str">
        <f>IF(OR(H844="",J844=""),"",IF(H844*J844=0,"",H844*J844))</f>
        <v/>
      </c>
      <c r="L844" s="19" t="str">
        <f>IF(A844="","",IFERROR(IF(SUMPRODUCT((ISNUMBER(A$2:A844))*(A$2:A844&gt;1000)*(MONTH(IF(ISNUMBER(A$2:A844),A$2:A844,1))=MONTH(A844))*(YEAR(IF(ISNUMBER(A$2:A844),A$2:A844,1))=YEAR(A844))*IF(ISNUMBER(K$2:K844),K$2:K844,0))=0,"",SUMPRODUCT((ISNUMBER(A$2:A844))*(A$2:A844&gt;1000)*(MONTH(IF(ISNUMBER(A$2:A844),A$2:A844,1))=MONTH(A844))*(YEAR(IF(ISNUMBER(A$2:A844),A$2:A844,1))=YEAR(A844))*IF(ISNUMBER(K$2:K844),K$2:K844,0))),""))</f>
        <v/>
      </c>
      <c r="M844" s="21" t="str">
        <f>IF(A844="","",IFERROR(IF(SUMIF(N$2:N844,"CASA",K$2:K844)=0,"",SUMIF(N$2:N844,"CASA",K$2:K844)),""))</f>
        <v/>
      </c>
      <c r="N844" s="17" t="str">
        <f>IF(J844="","",IF(J844=0.2,"CASA",IF(Dati!G844="","",Dati!G844)))</f>
        <v/>
      </c>
    </row>
    <row r="845" spans="1:14" ht="15" customHeight="1" x14ac:dyDescent="0.2">
      <c r="A845" s="23" t="str">
        <f>IF(Dati!A845="","",Dati!A845)</f>
        <v/>
      </c>
      <c r="B845" s="17" t="str">
        <f>IF(Dati!B845="","",Dati!B845)</f>
        <v/>
      </c>
      <c r="C845" s="17" t="str">
        <f>IF(B845="","",IF(ISNUMBER(B844),IF(B845-B844&lt;0,B845,IF(B845-B844=0,"",B845-B844)),B845))</f>
        <v/>
      </c>
      <c r="D845" s="18" t="str">
        <f>IF(Dati!C845="","",IF(Dati!C845&gt;1,Dati!C845/100,Dati!C845))</f>
        <v/>
      </c>
      <c r="E845" s="18" t="str">
        <f>IF(Dati!D845="","",IF(Dati!D845&gt;1,Dati!D845/100,Dati!D845))</f>
        <v/>
      </c>
      <c r="F845" s="18" t="str">
        <f>IF(OR(D845="",E845=""),"",IF(OR(D845&gt;1,E845&gt;1),(E845-D845)/100,E845-D845))</f>
        <v/>
      </c>
      <c r="G845" s="17" t="str">
        <f>IF(F845="","",IF(64*F845=0,"",64*F845))</f>
        <v/>
      </c>
      <c r="H845" s="19" t="str">
        <f>IF(Dati!E845="","",Dati!E845)</f>
        <v/>
      </c>
      <c r="I845" s="19" t="str">
        <f>IFERROR(IF(OR(C845="",C845=0),"",H845/C845*100),"")</f>
        <v/>
      </c>
      <c r="J845" s="20" t="str">
        <f>IF(Dati!F845="","",Dati!F845)</f>
        <v/>
      </c>
      <c r="K845" s="19" t="str">
        <f>IF(OR(H845="",J845=""),"",IF(H845*J845=0,"",H845*J845))</f>
        <v/>
      </c>
      <c r="L845" s="19" t="str">
        <f>IF(A845="","",IFERROR(IF(SUMPRODUCT((ISNUMBER(A$2:A845))*(A$2:A845&gt;1000)*(MONTH(IF(ISNUMBER(A$2:A845),A$2:A845,1))=MONTH(A845))*(YEAR(IF(ISNUMBER(A$2:A845),A$2:A845,1))=YEAR(A845))*IF(ISNUMBER(K$2:K845),K$2:K845,0))=0,"",SUMPRODUCT((ISNUMBER(A$2:A845))*(A$2:A845&gt;1000)*(MONTH(IF(ISNUMBER(A$2:A845),A$2:A845,1))=MONTH(A845))*(YEAR(IF(ISNUMBER(A$2:A845),A$2:A845,1))=YEAR(A845))*IF(ISNUMBER(K$2:K845),K$2:K845,0))),""))</f>
        <v/>
      </c>
      <c r="M845" s="21" t="str">
        <f>IF(A845="","",IFERROR(IF(SUMIF(N$2:N845,"CASA",K$2:K845)=0,"",SUMIF(N$2:N845,"CASA",K$2:K845)),""))</f>
        <v/>
      </c>
      <c r="N845" s="17" t="str">
        <f>IF(J845="","",IF(J845=0.2,"CASA",IF(Dati!G845="","",Dati!G845)))</f>
        <v/>
      </c>
    </row>
    <row r="846" spans="1:14" ht="15" customHeight="1" x14ac:dyDescent="0.2">
      <c r="A846" s="23" t="str">
        <f>IF(Dati!A846="","",Dati!A846)</f>
        <v/>
      </c>
      <c r="B846" s="17" t="str">
        <f>IF(Dati!B846="","",Dati!B846)</f>
        <v/>
      </c>
      <c r="C846" s="17" t="str">
        <f>IF(B846="","",IF(ISNUMBER(B845),IF(B846-B845&lt;0,B846,IF(B846-B845=0,"",B846-B845)),B846))</f>
        <v/>
      </c>
      <c r="D846" s="18" t="str">
        <f>IF(Dati!C846="","",IF(Dati!C846&gt;1,Dati!C846/100,Dati!C846))</f>
        <v/>
      </c>
      <c r="E846" s="18" t="str">
        <f>IF(Dati!D846="","",IF(Dati!D846&gt;1,Dati!D846/100,Dati!D846))</f>
        <v/>
      </c>
      <c r="F846" s="18" t="str">
        <f>IF(OR(D846="",E846=""),"",IF(OR(D846&gt;1,E846&gt;1),(E846-D846)/100,E846-D846))</f>
        <v/>
      </c>
      <c r="G846" s="17" t="str">
        <f>IF(F846="","",IF(64*F846=0,"",64*F846))</f>
        <v/>
      </c>
      <c r="H846" s="19" t="str">
        <f>IF(Dati!E846="","",Dati!E846)</f>
        <v/>
      </c>
      <c r="I846" s="19" t="str">
        <f>IFERROR(IF(OR(C846="",C846=0),"",H846/C846*100),"")</f>
        <v/>
      </c>
      <c r="J846" s="20" t="str">
        <f>IF(Dati!F846="","",Dati!F846)</f>
        <v/>
      </c>
      <c r="K846" s="19" t="str">
        <f>IF(OR(H846="",J846=""),"",IF(H846*J846=0,"",H846*J846))</f>
        <v/>
      </c>
      <c r="L846" s="19" t="str">
        <f>IF(A846="","",IFERROR(IF(SUMPRODUCT((ISNUMBER(A$2:A846))*(A$2:A846&gt;1000)*(MONTH(IF(ISNUMBER(A$2:A846),A$2:A846,1))=MONTH(A846))*(YEAR(IF(ISNUMBER(A$2:A846),A$2:A846,1))=YEAR(A846))*IF(ISNUMBER(K$2:K846),K$2:K846,0))=0,"",SUMPRODUCT((ISNUMBER(A$2:A846))*(A$2:A846&gt;1000)*(MONTH(IF(ISNUMBER(A$2:A846),A$2:A846,1))=MONTH(A846))*(YEAR(IF(ISNUMBER(A$2:A846),A$2:A846,1))=YEAR(A846))*IF(ISNUMBER(K$2:K846),K$2:K846,0))),""))</f>
        <v/>
      </c>
      <c r="M846" s="21" t="str">
        <f>IF(A846="","",IFERROR(IF(SUMIF(N$2:N846,"CASA",K$2:K846)=0,"",SUMIF(N$2:N846,"CASA",K$2:K846)),""))</f>
        <v/>
      </c>
      <c r="N846" s="17" t="str">
        <f>IF(J846="","",IF(J846=0.2,"CASA",IF(Dati!G846="","",Dati!G846)))</f>
        <v/>
      </c>
    </row>
    <row r="847" spans="1:14" ht="15" customHeight="1" x14ac:dyDescent="0.2">
      <c r="A847" s="23" t="str">
        <f>IF(Dati!A847="","",Dati!A847)</f>
        <v/>
      </c>
      <c r="B847" s="17" t="str">
        <f>IF(Dati!B847="","",Dati!B847)</f>
        <v/>
      </c>
      <c r="C847" s="17" t="str">
        <f>IF(B847="","",IF(ISNUMBER(B846),IF(B847-B846&lt;0,B847,IF(B847-B846=0,"",B847-B846)),B847))</f>
        <v/>
      </c>
      <c r="D847" s="18" t="str">
        <f>IF(Dati!C847="","",IF(Dati!C847&gt;1,Dati!C847/100,Dati!C847))</f>
        <v/>
      </c>
      <c r="E847" s="18" t="str">
        <f>IF(Dati!D847="","",IF(Dati!D847&gt;1,Dati!D847/100,Dati!D847))</f>
        <v/>
      </c>
      <c r="F847" s="18" t="str">
        <f>IF(OR(D847="",E847=""),"",IF(OR(D847&gt;1,E847&gt;1),(E847-D847)/100,E847-D847))</f>
        <v/>
      </c>
      <c r="G847" s="17" t="str">
        <f>IF(F847="","",IF(64*F847=0,"",64*F847))</f>
        <v/>
      </c>
      <c r="H847" s="19" t="str">
        <f>IF(Dati!E847="","",Dati!E847)</f>
        <v/>
      </c>
      <c r="I847" s="19" t="str">
        <f>IFERROR(IF(OR(C847="",C847=0),"",H847/C847*100),"")</f>
        <v/>
      </c>
      <c r="J847" s="20" t="str">
        <f>IF(Dati!F847="","",Dati!F847)</f>
        <v/>
      </c>
      <c r="K847" s="19" t="str">
        <f>IF(OR(H847="",J847=""),"",IF(H847*J847=0,"",H847*J847))</f>
        <v/>
      </c>
      <c r="L847" s="19" t="str">
        <f>IF(A847="","",IFERROR(IF(SUMPRODUCT((ISNUMBER(A$2:A847))*(A$2:A847&gt;1000)*(MONTH(IF(ISNUMBER(A$2:A847),A$2:A847,1))=MONTH(A847))*(YEAR(IF(ISNUMBER(A$2:A847),A$2:A847,1))=YEAR(A847))*IF(ISNUMBER(K$2:K847),K$2:K847,0))=0,"",SUMPRODUCT((ISNUMBER(A$2:A847))*(A$2:A847&gt;1000)*(MONTH(IF(ISNUMBER(A$2:A847),A$2:A847,1))=MONTH(A847))*(YEAR(IF(ISNUMBER(A$2:A847),A$2:A847,1))=YEAR(A847))*IF(ISNUMBER(K$2:K847),K$2:K847,0))),""))</f>
        <v/>
      </c>
      <c r="M847" s="21" t="str">
        <f>IF(A847="","",IFERROR(IF(SUMIF(N$2:N847,"CASA",K$2:K847)=0,"",SUMIF(N$2:N847,"CASA",K$2:K847)),""))</f>
        <v/>
      </c>
      <c r="N847" s="17" t="str">
        <f>IF(J847="","",IF(J847=0.2,"CASA",IF(Dati!G847="","",Dati!G847)))</f>
        <v/>
      </c>
    </row>
    <row r="848" spans="1:14" ht="15" customHeight="1" x14ac:dyDescent="0.2">
      <c r="A848" s="23" t="str">
        <f>IF(Dati!A848="","",Dati!A848)</f>
        <v/>
      </c>
      <c r="B848" s="17" t="str">
        <f>IF(Dati!B848="","",Dati!B848)</f>
        <v/>
      </c>
      <c r="C848" s="17" t="str">
        <f>IF(B848="","",IF(ISNUMBER(B847),IF(B848-B847&lt;0,B848,IF(B848-B847=0,"",B848-B847)),B848))</f>
        <v/>
      </c>
      <c r="D848" s="18" t="str">
        <f>IF(Dati!C848="","",IF(Dati!C848&gt;1,Dati!C848/100,Dati!C848))</f>
        <v/>
      </c>
      <c r="E848" s="18" t="str">
        <f>IF(Dati!D848="","",IF(Dati!D848&gt;1,Dati!D848/100,Dati!D848))</f>
        <v/>
      </c>
      <c r="F848" s="18" t="str">
        <f>IF(OR(D848="",E848=""),"",IF(OR(D848&gt;1,E848&gt;1),(E848-D848)/100,E848-D848))</f>
        <v/>
      </c>
      <c r="G848" s="17" t="str">
        <f>IF(F848="","",IF(64*F848=0,"",64*F848))</f>
        <v/>
      </c>
      <c r="H848" s="19" t="str">
        <f>IF(Dati!E848="","",Dati!E848)</f>
        <v/>
      </c>
      <c r="I848" s="19" t="str">
        <f>IFERROR(IF(OR(C848="",C848=0),"",H848/C848*100),"")</f>
        <v/>
      </c>
      <c r="J848" s="20" t="str">
        <f>IF(Dati!F848="","",Dati!F848)</f>
        <v/>
      </c>
      <c r="K848" s="19" t="str">
        <f>IF(OR(H848="",J848=""),"",IF(H848*J848=0,"",H848*J848))</f>
        <v/>
      </c>
      <c r="L848" s="19" t="str">
        <f>IF(A848="","",IFERROR(IF(SUMPRODUCT((ISNUMBER(A$2:A848))*(A$2:A848&gt;1000)*(MONTH(IF(ISNUMBER(A$2:A848),A$2:A848,1))=MONTH(A848))*(YEAR(IF(ISNUMBER(A$2:A848),A$2:A848,1))=YEAR(A848))*IF(ISNUMBER(K$2:K848),K$2:K848,0))=0,"",SUMPRODUCT((ISNUMBER(A$2:A848))*(A$2:A848&gt;1000)*(MONTH(IF(ISNUMBER(A$2:A848),A$2:A848,1))=MONTH(A848))*(YEAR(IF(ISNUMBER(A$2:A848),A$2:A848,1))=YEAR(A848))*IF(ISNUMBER(K$2:K848),K$2:K848,0))),""))</f>
        <v/>
      </c>
      <c r="M848" s="21" t="str">
        <f>IF(A848="","",IFERROR(IF(SUMIF(N$2:N848,"CASA",K$2:K848)=0,"",SUMIF(N$2:N848,"CASA",K$2:K848)),""))</f>
        <v/>
      </c>
      <c r="N848" s="17" t="str">
        <f>IF(J848="","",IF(J848=0.2,"CASA",IF(Dati!G848="","",Dati!G848)))</f>
        <v/>
      </c>
    </row>
    <row r="849" spans="1:14" ht="15" customHeight="1" x14ac:dyDescent="0.2">
      <c r="A849" s="23" t="str">
        <f>IF(Dati!A849="","",Dati!A849)</f>
        <v/>
      </c>
      <c r="B849" s="17" t="str">
        <f>IF(Dati!B849="","",Dati!B849)</f>
        <v/>
      </c>
      <c r="C849" s="17" t="str">
        <f>IF(B849="","",IF(ISNUMBER(B848),IF(B849-B848&lt;0,B849,IF(B849-B848=0,"",B849-B848)),B849))</f>
        <v/>
      </c>
      <c r="D849" s="18" t="str">
        <f>IF(Dati!C849="","",IF(Dati!C849&gt;1,Dati!C849/100,Dati!C849))</f>
        <v/>
      </c>
      <c r="E849" s="18" t="str">
        <f>IF(Dati!D849="","",IF(Dati!D849&gt;1,Dati!D849/100,Dati!D849))</f>
        <v/>
      </c>
      <c r="F849" s="18" t="str">
        <f>IF(OR(D849="",E849=""),"",IF(OR(D849&gt;1,E849&gt;1),(E849-D849)/100,E849-D849))</f>
        <v/>
      </c>
      <c r="G849" s="17" t="str">
        <f>IF(F849="","",IF(64*F849=0,"",64*F849))</f>
        <v/>
      </c>
      <c r="H849" s="19" t="str">
        <f>IF(Dati!E849="","",Dati!E849)</f>
        <v/>
      </c>
      <c r="I849" s="19" t="str">
        <f>IFERROR(IF(OR(C849="",C849=0),"",H849/C849*100),"")</f>
        <v/>
      </c>
      <c r="J849" s="20" t="str">
        <f>IF(Dati!F849="","",Dati!F849)</f>
        <v/>
      </c>
      <c r="K849" s="19" t="str">
        <f>IF(OR(H849="",J849=""),"",IF(H849*J849=0,"",H849*J849))</f>
        <v/>
      </c>
      <c r="L849" s="19" t="str">
        <f>IF(A849="","",IFERROR(IF(SUMPRODUCT((ISNUMBER(A$2:A849))*(A$2:A849&gt;1000)*(MONTH(IF(ISNUMBER(A$2:A849),A$2:A849,1))=MONTH(A849))*(YEAR(IF(ISNUMBER(A$2:A849),A$2:A849,1))=YEAR(A849))*IF(ISNUMBER(K$2:K849),K$2:K849,0))=0,"",SUMPRODUCT((ISNUMBER(A$2:A849))*(A$2:A849&gt;1000)*(MONTH(IF(ISNUMBER(A$2:A849),A$2:A849,1))=MONTH(A849))*(YEAR(IF(ISNUMBER(A$2:A849),A$2:A849,1))=YEAR(A849))*IF(ISNUMBER(K$2:K849),K$2:K849,0))),""))</f>
        <v/>
      </c>
      <c r="M849" s="21" t="str">
        <f>IF(A849="","",IFERROR(IF(SUMIF(N$2:N849,"CASA",K$2:K849)=0,"",SUMIF(N$2:N849,"CASA",K$2:K849)),""))</f>
        <v/>
      </c>
      <c r="N849" s="17" t="str">
        <f>IF(J849="","",IF(J849=0.2,"CASA",IF(Dati!G849="","",Dati!G849)))</f>
        <v/>
      </c>
    </row>
    <row r="850" spans="1:14" ht="15" customHeight="1" x14ac:dyDescent="0.2">
      <c r="A850" s="23" t="str">
        <f>IF(Dati!A850="","",Dati!A850)</f>
        <v/>
      </c>
      <c r="B850" s="17" t="str">
        <f>IF(Dati!B850="","",Dati!B850)</f>
        <v/>
      </c>
      <c r="C850" s="17" t="str">
        <f>IF(B850="","",IF(ISNUMBER(B849),IF(B850-B849&lt;0,B850,IF(B850-B849=0,"",B850-B849)),B850))</f>
        <v/>
      </c>
      <c r="D850" s="18" t="str">
        <f>IF(Dati!C850="","",IF(Dati!C850&gt;1,Dati!C850/100,Dati!C850))</f>
        <v/>
      </c>
      <c r="E850" s="18" t="str">
        <f>IF(Dati!D850="","",IF(Dati!D850&gt;1,Dati!D850/100,Dati!D850))</f>
        <v/>
      </c>
      <c r="F850" s="18" t="str">
        <f>IF(OR(D850="",E850=""),"",IF(OR(D850&gt;1,E850&gt;1),(E850-D850)/100,E850-D850))</f>
        <v/>
      </c>
      <c r="G850" s="17" t="str">
        <f>IF(F850="","",IF(64*F850=0,"",64*F850))</f>
        <v/>
      </c>
      <c r="H850" s="19" t="str">
        <f>IF(Dati!E850="","",Dati!E850)</f>
        <v/>
      </c>
      <c r="I850" s="19" t="str">
        <f>IFERROR(IF(OR(C850="",C850=0),"",H850/C850*100),"")</f>
        <v/>
      </c>
      <c r="J850" s="20" t="str">
        <f>IF(Dati!F850="","",Dati!F850)</f>
        <v/>
      </c>
      <c r="K850" s="19" t="str">
        <f>IF(OR(H850="",J850=""),"",IF(H850*J850=0,"",H850*J850))</f>
        <v/>
      </c>
      <c r="L850" s="19" t="str">
        <f>IF(A850="","",IFERROR(IF(SUMPRODUCT((ISNUMBER(A$2:A850))*(A$2:A850&gt;1000)*(MONTH(IF(ISNUMBER(A$2:A850),A$2:A850,1))=MONTH(A850))*(YEAR(IF(ISNUMBER(A$2:A850),A$2:A850,1))=YEAR(A850))*IF(ISNUMBER(K$2:K850),K$2:K850,0))=0,"",SUMPRODUCT((ISNUMBER(A$2:A850))*(A$2:A850&gt;1000)*(MONTH(IF(ISNUMBER(A$2:A850),A$2:A850,1))=MONTH(A850))*(YEAR(IF(ISNUMBER(A$2:A850),A$2:A850,1))=YEAR(A850))*IF(ISNUMBER(K$2:K850),K$2:K850,0))),""))</f>
        <v/>
      </c>
      <c r="M850" s="21" t="str">
        <f>IF(A850="","",IFERROR(IF(SUMIF(N$2:N850,"CASA",K$2:K850)=0,"",SUMIF(N$2:N850,"CASA",K$2:K850)),""))</f>
        <v/>
      </c>
      <c r="N850" s="17" t="str">
        <f>IF(J850="","",IF(J850=0.2,"CASA",IF(Dati!G850="","",Dati!G850)))</f>
        <v/>
      </c>
    </row>
    <row r="851" spans="1:14" ht="15" customHeight="1" x14ac:dyDescent="0.2">
      <c r="A851" s="23" t="str">
        <f>IF(Dati!A851="","",Dati!A851)</f>
        <v/>
      </c>
      <c r="B851" s="17" t="str">
        <f>IF(Dati!B851="","",Dati!B851)</f>
        <v/>
      </c>
      <c r="C851" s="17" t="str">
        <f>IF(B851="","",IF(ISNUMBER(B850),IF(B851-B850&lt;0,B851,IF(B851-B850=0,"",B851-B850)),B851))</f>
        <v/>
      </c>
      <c r="D851" s="18" t="str">
        <f>IF(Dati!C851="","",IF(Dati!C851&gt;1,Dati!C851/100,Dati!C851))</f>
        <v/>
      </c>
      <c r="E851" s="18" t="str">
        <f>IF(Dati!D851="","",IF(Dati!D851&gt;1,Dati!D851/100,Dati!D851))</f>
        <v/>
      </c>
      <c r="F851" s="18" t="str">
        <f>IF(OR(D851="",E851=""),"",IF(OR(D851&gt;1,E851&gt;1),(E851-D851)/100,E851-D851))</f>
        <v/>
      </c>
      <c r="G851" s="17" t="str">
        <f>IF(F851="","",IF(64*F851=0,"",64*F851))</f>
        <v/>
      </c>
      <c r="H851" s="19" t="str">
        <f>IF(Dati!E851="","",Dati!E851)</f>
        <v/>
      </c>
      <c r="I851" s="19" t="str">
        <f>IFERROR(IF(OR(C851="",C851=0),"",H851/C851*100),"")</f>
        <v/>
      </c>
      <c r="J851" s="20" t="str">
        <f>IF(Dati!F851="","",Dati!F851)</f>
        <v/>
      </c>
      <c r="K851" s="19" t="str">
        <f>IF(OR(H851="",J851=""),"",IF(H851*J851=0,"",H851*J851))</f>
        <v/>
      </c>
      <c r="L851" s="19" t="str">
        <f>IF(A851="","",IFERROR(IF(SUMPRODUCT((ISNUMBER(A$2:A851))*(A$2:A851&gt;1000)*(MONTH(IF(ISNUMBER(A$2:A851),A$2:A851,1))=MONTH(A851))*(YEAR(IF(ISNUMBER(A$2:A851),A$2:A851,1))=YEAR(A851))*IF(ISNUMBER(K$2:K851),K$2:K851,0))=0,"",SUMPRODUCT((ISNUMBER(A$2:A851))*(A$2:A851&gt;1000)*(MONTH(IF(ISNUMBER(A$2:A851),A$2:A851,1))=MONTH(A851))*(YEAR(IF(ISNUMBER(A$2:A851),A$2:A851,1))=YEAR(A851))*IF(ISNUMBER(K$2:K851),K$2:K851,0))),""))</f>
        <v/>
      </c>
      <c r="M851" s="21" t="str">
        <f>IF(A851="","",IFERROR(IF(SUMIF(N$2:N851,"CASA",K$2:K851)=0,"",SUMIF(N$2:N851,"CASA",K$2:K851)),""))</f>
        <v/>
      </c>
      <c r="N851" s="17" t="str">
        <f>IF(J851="","",IF(J851=0.2,"CASA",IF(Dati!G851="","",Dati!G851)))</f>
        <v/>
      </c>
    </row>
    <row r="852" spans="1:14" ht="15" customHeight="1" x14ac:dyDescent="0.2">
      <c r="A852" s="23" t="str">
        <f>IF(Dati!A852="","",Dati!A852)</f>
        <v/>
      </c>
      <c r="B852" s="17" t="str">
        <f>IF(Dati!B852="","",Dati!B852)</f>
        <v/>
      </c>
      <c r="C852" s="17" t="str">
        <f>IF(B852="","",IF(ISNUMBER(B851),IF(B852-B851&lt;0,B852,IF(B852-B851=0,"",B852-B851)),B852))</f>
        <v/>
      </c>
      <c r="D852" s="18" t="str">
        <f>IF(Dati!C852="","",IF(Dati!C852&gt;1,Dati!C852/100,Dati!C852))</f>
        <v/>
      </c>
      <c r="E852" s="18" t="str">
        <f>IF(Dati!D852="","",IF(Dati!D852&gt;1,Dati!D852/100,Dati!D852))</f>
        <v/>
      </c>
      <c r="F852" s="18" t="str">
        <f>IF(OR(D852="",E852=""),"",IF(OR(D852&gt;1,E852&gt;1),(E852-D852)/100,E852-D852))</f>
        <v/>
      </c>
      <c r="G852" s="17" t="str">
        <f>IF(F852="","",IF(64*F852=0,"",64*F852))</f>
        <v/>
      </c>
      <c r="H852" s="19" t="str">
        <f>IF(Dati!E852="","",Dati!E852)</f>
        <v/>
      </c>
      <c r="I852" s="19" t="str">
        <f>IFERROR(IF(OR(C852="",C852=0),"",H852/C852*100),"")</f>
        <v/>
      </c>
      <c r="J852" s="20" t="str">
        <f>IF(Dati!F852="","",Dati!F852)</f>
        <v/>
      </c>
      <c r="K852" s="19" t="str">
        <f>IF(OR(H852="",J852=""),"",IF(H852*J852=0,"",H852*J852))</f>
        <v/>
      </c>
      <c r="L852" s="19" t="str">
        <f>IF(A852="","",IFERROR(IF(SUMPRODUCT((ISNUMBER(A$2:A852))*(A$2:A852&gt;1000)*(MONTH(IF(ISNUMBER(A$2:A852),A$2:A852,1))=MONTH(A852))*(YEAR(IF(ISNUMBER(A$2:A852),A$2:A852,1))=YEAR(A852))*IF(ISNUMBER(K$2:K852),K$2:K852,0))=0,"",SUMPRODUCT((ISNUMBER(A$2:A852))*(A$2:A852&gt;1000)*(MONTH(IF(ISNUMBER(A$2:A852),A$2:A852,1))=MONTH(A852))*(YEAR(IF(ISNUMBER(A$2:A852),A$2:A852,1))=YEAR(A852))*IF(ISNUMBER(K$2:K852),K$2:K852,0))),""))</f>
        <v/>
      </c>
      <c r="M852" s="21" t="str">
        <f>IF(A852="","",IFERROR(IF(SUMIF(N$2:N852,"CASA",K$2:K852)=0,"",SUMIF(N$2:N852,"CASA",K$2:K852)),""))</f>
        <v/>
      </c>
      <c r="N852" s="17" t="str">
        <f>IF(J852="","",IF(J852=0.2,"CASA",IF(Dati!G852="","",Dati!G852)))</f>
        <v/>
      </c>
    </row>
    <row r="853" spans="1:14" ht="15" customHeight="1" x14ac:dyDescent="0.2">
      <c r="A853" s="23" t="str">
        <f>IF(Dati!A853="","",Dati!A853)</f>
        <v/>
      </c>
      <c r="B853" s="17" t="str">
        <f>IF(Dati!B853="","",Dati!B853)</f>
        <v/>
      </c>
      <c r="C853" s="17" t="str">
        <f>IF(B853="","",IF(ISNUMBER(B852),IF(B853-B852&lt;0,B853,IF(B853-B852=0,"",B853-B852)),B853))</f>
        <v/>
      </c>
      <c r="D853" s="18" t="str">
        <f>IF(Dati!C853="","",IF(Dati!C853&gt;1,Dati!C853/100,Dati!C853))</f>
        <v/>
      </c>
      <c r="E853" s="18" t="str">
        <f>IF(Dati!D853="","",IF(Dati!D853&gt;1,Dati!D853/100,Dati!D853))</f>
        <v/>
      </c>
      <c r="F853" s="18" t="str">
        <f>IF(OR(D853="",E853=""),"",IF(OR(D853&gt;1,E853&gt;1),(E853-D853)/100,E853-D853))</f>
        <v/>
      </c>
      <c r="G853" s="17" t="str">
        <f>IF(F853="","",IF(64*F853=0,"",64*F853))</f>
        <v/>
      </c>
      <c r="H853" s="19" t="str">
        <f>IF(Dati!E853="","",Dati!E853)</f>
        <v/>
      </c>
      <c r="I853" s="19" t="str">
        <f>IFERROR(IF(OR(C853="",C853=0),"",H853/C853*100),"")</f>
        <v/>
      </c>
      <c r="J853" s="20" t="str">
        <f>IF(Dati!F853="","",Dati!F853)</f>
        <v/>
      </c>
      <c r="K853" s="19" t="str">
        <f>IF(OR(H853="",J853=""),"",IF(H853*J853=0,"",H853*J853))</f>
        <v/>
      </c>
      <c r="L853" s="19" t="str">
        <f>IF(A853="","",IFERROR(IF(SUMPRODUCT((ISNUMBER(A$2:A853))*(A$2:A853&gt;1000)*(MONTH(IF(ISNUMBER(A$2:A853),A$2:A853,1))=MONTH(A853))*(YEAR(IF(ISNUMBER(A$2:A853),A$2:A853,1))=YEAR(A853))*IF(ISNUMBER(K$2:K853),K$2:K853,0))=0,"",SUMPRODUCT((ISNUMBER(A$2:A853))*(A$2:A853&gt;1000)*(MONTH(IF(ISNUMBER(A$2:A853),A$2:A853,1))=MONTH(A853))*(YEAR(IF(ISNUMBER(A$2:A853),A$2:A853,1))=YEAR(A853))*IF(ISNUMBER(K$2:K853),K$2:K853,0))),""))</f>
        <v/>
      </c>
      <c r="M853" s="21" t="str">
        <f>IF(A853="","",IFERROR(IF(SUMIF(N$2:N853,"CASA",K$2:K853)=0,"",SUMIF(N$2:N853,"CASA",K$2:K853)),""))</f>
        <v/>
      </c>
      <c r="N853" s="17" t="str">
        <f>IF(J853="","",IF(J853=0.2,"CASA",IF(Dati!G853="","",Dati!G853)))</f>
        <v/>
      </c>
    </row>
    <row r="854" spans="1:14" ht="15" customHeight="1" x14ac:dyDescent="0.2">
      <c r="A854" s="23" t="str">
        <f>IF(Dati!A854="","",Dati!A854)</f>
        <v/>
      </c>
      <c r="B854" s="17" t="str">
        <f>IF(Dati!B854="","",Dati!B854)</f>
        <v/>
      </c>
      <c r="C854" s="17" t="str">
        <f>IF(B854="","",IF(ISNUMBER(B853),IF(B854-B853&lt;0,B854,IF(B854-B853=0,"",B854-B853)),B854))</f>
        <v/>
      </c>
      <c r="D854" s="18" t="str">
        <f>IF(Dati!C854="","",IF(Dati!C854&gt;1,Dati!C854/100,Dati!C854))</f>
        <v/>
      </c>
      <c r="E854" s="18" t="str">
        <f>IF(Dati!D854="","",IF(Dati!D854&gt;1,Dati!D854/100,Dati!D854))</f>
        <v/>
      </c>
      <c r="F854" s="18" t="str">
        <f>IF(OR(D854="",E854=""),"",IF(OR(D854&gt;1,E854&gt;1),(E854-D854)/100,E854-D854))</f>
        <v/>
      </c>
      <c r="G854" s="17" t="str">
        <f>IF(F854="","",IF(64*F854=0,"",64*F854))</f>
        <v/>
      </c>
      <c r="H854" s="19" t="str">
        <f>IF(Dati!E854="","",Dati!E854)</f>
        <v/>
      </c>
      <c r="I854" s="19" t="str">
        <f>IFERROR(IF(OR(C854="",C854=0),"",H854/C854*100),"")</f>
        <v/>
      </c>
      <c r="J854" s="20" t="str">
        <f>IF(Dati!F854="","",Dati!F854)</f>
        <v/>
      </c>
      <c r="K854" s="19" t="str">
        <f>IF(OR(H854="",J854=""),"",IF(H854*J854=0,"",H854*J854))</f>
        <v/>
      </c>
      <c r="L854" s="19" t="str">
        <f>IF(A854="","",IFERROR(IF(SUMPRODUCT((ISNUMBER(A$2:A854))*(A$2:A854&gt;1000)*(MONTH(IF(ISNUMBER(A$2:A854),A$2:A854,1))=MONTH(A854))*(YEAR(IF(ISNUMBER(A$2:A854),A$2:A854,1))=YEAR(A854))*IF(ISNUMBER(K$2:K854),K$2:K854,0))=0,"",SUMPRODUCT((ISNUMBER(A$2:A854))*(A$2:A854&gt;1000)*(MONTH(IF(ISNUMBER(A$2:A854),A$2:A854,1))=MONTH(A854))*(YEAR(IF(ISNUMBER(A$2:A854),A$2:A854,1))=YEAR(A854))*IF(ISNUMBER(K$2:K854),K$2:K854,0))),""))</f>
        <v/>
      </c>
      <c r="M854" s="21" t="str">
        <f>IF(A854="","",IFERROR(IF(SUMIF(N$2:N854,"CASA",K$2:K854)=0,"",SUMIF(N$2:N854,"CASA",K$2:K854)),""))</f>
        <v/>
      </c>
      <c r="N854" s="17" t="str">
        <f>IF(J854="","",IF(J854=0.2,"CASA",IF(Dati!G854="","",Dati!G854)))</f>
        <v/>
      </c>
    </row>
    <row r="855" spans="1:14" ht="15" customHeight="1" x14ac:dyDescent="0.2">
      <c r="A855" s="23" t="str">
        <f>IF(Dati!A855="","",Dati!A855)</f>
        <v/>
      </c>
      <c r="B855" s="17" t="str">
        <f>IF(Dati!B855="","",Dati!B855)</f>
        <v/>
      </c>
      <c r="C855" s="17" t="str">
        <f>IF(B855="","",IF(ISNUMBER(B854),IF(B855-B854&lt;0,B855,IF(B855-B854=0,"",B855-B854)),B855))</f>
        <v/>
      </c>
      <c r="D855" s="18" t="str">
        <f>IF(Dati!C855="","",IF(Dati!C855&gt;1,Dati!C855/100,Dati!C855))</f>
        <v/>
      </c>
      <c r="E855" s="18" t="str">
        <f>IF(Dati!D855="","",IF(Dati!D855&gt;1,Dati!D855/100,Dati!D855))</f>
        <v/>
      </c>
      <c r="F855" s="18" t="str">
        <f>IF(OR(D855="",E855=""),"",IF(OR(D855&gt;1,E855&gt;1),(E855-D855)/100,E855-D855))</f>
        <v/>
      </c>
      <c r="G855" s="17" t="str">
        <f>IF(F855="","",IF(64*F855=0,"",64*F855))</f>
        <v/>
      </c>
      <c r="H855" s="19" t="str">
        <f>IF(Dati!E855="","",Dati!E855)</f>
        <v/>
      </c>
      <c r="I855" s="19" t="str">
        <f>IFERROR(IF(OR(C855="",C855=0),"",H855/C855*100),"")</f>
        <v/>
      </c>
      <c r="J855" s="20" t="str">
        <f>IF(Dati!F855="","",Dati!F855)</f>
        <v/>
      </c>
      <c r="K855" s="19" t="str">
        <f>IF(OR(H855="",J855=""),"",IF(H855*J855=0,"",H855*J855))</f>
        <v/>
      </c>
      <c r="L855" s="19" t="str">
        <f>IF(A855="","",IFERROR(IF(SUMPRODUCT((ISNUMBER(A$2:A855))*(A$2:A855&gt;1000)*(MONTH(IF(ISNUMBER(A$2:A855),A$2:A855,1))=MONTH(A855))*(YEAR(IF(ISNUMBER(A$2:A855),A$2:A855,1))=YEAR(A855))*IF(ISNUMBER(K$2:K855),K$2:K855,0))=0,"",SUMPRODUCT((ISNUMBER(A$2:A855))*(A$2:A855&gt;1000)*(MONTH(IF(ISNUMBER(A$2:A855),A$2:A855,1))=MONTH(A855))*(YEAR(IF(ISNUMBER(A$2:A855),A$2:A855,1))=YEAR(A855))*IF(ISNUMBER(K$2:K855),K$2:K855,0))),""))</f>
        <v/>
      </c>
      <c r="M855" s="21" t="str">
        <f>IF(A855="","",IFERROR(IF(SUMIF(N$2:N855,"CASA",K$2:K855)=0,"",SUMIF(N$2:N855,"CASA",K$2:K855)),""))</f>
        <v/>
      </c>
      <c r="N855" s="17" t="str">
        <f>IF(J855="","",IF(J855=0.2,"CASA",IF(Dati!G855="","",Dati!G855)))</f>
        <v/>
      </c>
    </row>
    <row r="856" spans="1:14" ht="15" customHeight="1" x14ac:dyDescent="0.2">
      <c r="A856" s="23" t="str">
        <f>IF(Dati!A856="","",Dati!A856)</f>
        <v/>
      </c>
      <c r="B856" s="17" t="str">
        <f>IF(Dati!B856="","",Dati!B856)</f>
        <v/>
      </c>
      <c r="C856" s="17" t="str">
        <f>IF(B856="","",IF(ISNUMBER(B855),IF(B856-B855&lt;0,B856,IF(B856-B855=0,"",B856-B855)),B856))</f>
        <v/>
      </c>
      <c r="D856" s="18" t="str">
        <f>IF(Dati!C856="","",IF(Dati!C856&gt;1,Dati!C856/100,Dati!C856))</f>
        <v/>
      </c>
      <c r="E856" s="18" t="str">
        <f>IF(Dati!D856="","",IF(Dati!D856&gt;1,Dati!D856/100,Dati!D856))</f>
        <v/>
      </c>
      <c r="F856" s="18" t="str">
        <f>IF(OR(D856="",E856=""),"",IF(OR(D856&gt;1,E856&gt;1),(E856-D856)/100,E856-D856))</f>
        <v/>
      </c>
      <c r="G856" s="17" t="str">
        <f>IF(F856="","",IF(64*F856=0,"",64*F856))</f>
        <v/>
      </c>
      <c r="H856" s="19" t="str">
        <f>IF(Dati!E856="","",Dati!E856)</f>
        <v/>
      </c>
      <c r="I856" s="19" t="str">
        <f>IFERROR(IF(OR(C856="",C856=0),"",H856/C856*100),"")</f>
        <v/>
      </c>
      <c r="J856" s="20" t="str">
        <f>IF(Dati!F856="","",Dati!F856)</f>
        <v/>
      </c>
      <c r="K856" s="19" t="str">
        <f>IF(OR(H856="",J856=""),"",IF(H856*J856=0,"",H856*J856))</f>
        <v/>
      </c>
      <c r="L856" s="19" t="str">
        <f>IF(A856="","",IFERROR(IF(SUMPRODUCT((ISNUMBER(A$2:A856))*(A$2:A856&gt;1000)*(MONTH(IF(ISNUMBER(A$2:A856),A$2:A856,1))=MONTH(A856))*(YEAR(IF(ISNUMBER(A$2:A856),A$2:A856,1))=YEAR(A856))*IF(ISNUMBER(K$2:K856),K$2:K856,0))=0,"",SUMPRODUCT((ISNUMBER(A$2:A856))*(A$2:A856&gt;1000)*(MONTH(IF(ISNUMBER(A$2:A856),A$2:A856,1))=MONTH(A856))*(YEAR(IF(ISNUMBER(A$2:A856),A$2:A856,1))=YEAR(A856))*IF(ISNUMBER(K$2:K856),K$2:K856,0))),""))</f>
        <v/>
      </c>
      <c r="M856" s="21" t="str">
        <f>IF(A856="","",IFERROR(IF(SUMIF(N$2:N856,"CASA",K$2:K856)=0,"",SUMIF(N$2:N856,"CASA",K$2:K856)),""))</f>
        <v/>
      </c>
      <c r="N856" s="17" t="str">
        <f>IF(J856="","",IF(J856=0.2,"CASA",IF(Dati!G856="","",Dati!G856)))</f>
        <v/>
      </c>
    </row>
    <row r="857" spans="1:14" ht="15" customHeight="1" x14ac:dyDescent="0.2">
      <c r="A857" s="23" t="str">
        <f>IF(Dati!A857="","",Dati!A857)</f>
        <v/>
      </c>
      <c r="B857" s="17" t="str">
        <f>IF(Dati!B857="","",Dati!B857)</f>
        <v/>
      </c>
      <c r="C857" s="17" t="str">
        <f>IF(B857="","",IF(ISNUMBER(B856),IF(B857-B856&lt;0,B857,IF(B857-B856=0,"",B857-B856)),B857))</f>
        <v/>
      </c>
      <c r="D857" s="18" t="str">
        <f>IF(Dati!C857="","",IF(Dati!C857&gt;1,Dati!C857/100,Dati!C857))</f>
        <v/>
      </c>
      <c r="E857" s="18" t="str">
        <f>IF(Dati!D857="","",IF(Dati!D857&gt;1,Dati!D857/100,Dati!D857))</f>
        <v/>
      </c>
      <c r="F857" s="18" t="str">
        <f>IF(OR(D857="",E857=""),"",IF(OR(D857&gt;1,E857&gt;1),(E857-D857)/100,E857-D857))</f>
        <v/>
      </c>
      <c r="G857" s="17" t="str">
        <f>IF(F857="","",IF(64*F857=0,"",64*F857))</f>
        <v/>
      </c>
      <c r="H857" s="19" t="str">
        <f>IF(Dati!E857="","",Dati!E857)</f>
        <v/>
      </c>
      <c r="I857" s="19" t="str">
        <f>IFERROR(IF(OR(C857="",C857=0),"",H857/C857*100),"")</f>
        <v/>
      </c>
      <c r="J857" s="20" t="str">
        <f>IF(Dati!F857="","",Dati!F857)</f>
        <v/>
      </c>
      <c r="K857" s="19" t="str">
        <f>IF(OR(H857="",J857=""),"",IF(H857*J857=0,"",H857*J857))</f>
        <v/>
      </c>
      <c r="L857" s="19" t="str">
        <f>IF(A857="","",IFERROR(IF(SUMPRODUCT((ISNUMBER(A$2:A857))*(A$2:A857&gt;1000)*(MONTH(IF(ISNUMBER(A$2:A857),A$2:A857,1))=MONTH(A857))*(YEAR(IF(ISNUMBER(A$2:A857),A$2:A857,1))=YEAR(A857))*IF(ISNUMBER(K$2:K857),K$2:K857,0))=0,"",SUMPRODUCT((ISNUMBER(A$2:A857))*(A$2:A857&gt;1000)*(MONTH(IF(ISNUMBER(A$2:A857),A$2:A857,1))=MONTH(A857))*(YEAR(IF(ISNUMBER(A$2:A857),A$2:A857,1))=YEAR(A857))*IF(ISNUMBER(K$2:K857),K$2:K857,0))),""))</f>
        <v/>
      </c>
      <c r="M857" s="21" t="str">
        <f>IF(A857="","",IFERROR(IF(SUMIF(N$2:N857,"CASA",K$2:K857)=0,"",SUMIF(N$2:N857,"CASA",K$2:K857)),""))</f>
        <v/>
      </c>
      <c r="N857" s="17" t="str">
        <f>IF(J857="","",IF(J857=0.2,"CASA",IF(Dati!G857="","",Dati!G857)))</f>
        <v/>
      </c>
    </row>
    <row r="858" spans="1:14" ht="15" customHeight="1" x14ac:dyDescent="0.2">
      <c r="A858" s="23" t="str">
        <f>IF(Dati!A858="","",Dati!A858)</f>
        <v/>
      </c>
      <c r="B858" s="17" t="str">
        <f>IF(Dati!B858="","",Dati!B858)</f>
        <v/>
      </c>
      <c r="C858" s="17" t="str">
        <f>IF(B858="","",IF(ISNUMBER(B857),IF(B858-B857&lt;0,B858,IF(B858-B857=0,"",B858-B857)),B858))</f>
        <v/>
      </c>
      <c r="D858" s="18" t="str">
        <f>IF(Dati!C858="","",IF(Dati!C858&gt;1,Dati!C858/100,Dati!C858))</f>
        <v/>
      </c>
      <c r="E858" s="18" t="str">
        <f>IF(Dati!D858="","",IF(Dati!D858&gt;1,Dati!D858/100,Dati!D858))</f>
        <v/>
      </c>
      <c r="F858" s="18" t="str">
        <f>IF(OR(D858="",E858=""),"",IF(OR(D858&gt;1,E858&gt;1),(E858-D858)/100,E858-D858))</f>
        <v/>
      </c>
      <c r="G858" s="17" t="str">
        <f>IF(F858="","",IF(64*F858=0,"",64*F858))</f>
        <v/>
      </c>
      <c r="H858" s="19" t="str">
        <f>IF(Dati!E858="","",Dati!E858)</f>
        <v/>
      </c>
      <c r="I858" s="19" t="str">
        <f>IFERROR(IF(OR(C858="",C858=0),"",H858/C858*100),"")</f>
        <v/>
      </c>
      <c r="J858" s="20" t="str">
        <f>IF(Dati!F858="","",Dati!F858)</f>
        <v/>
      </c>
      <c r="K858" s="19" t="str">
        <f>IF(OR(H858="",J858=""),"",IF(H858*J858=0,"",H858*J858))</f>
        <v/>
      </c>
      <c r="L858" s="19" t="str">
        <f>IF(A858="","",IFERROR(IF(SUMPRODUCT((ISNUMBER(A$2:A858))*(A$2:A858&gt;1000)*(MONTH(IF(ISNUMBER(A$2:A858),A$2:A858,1))=MONTH(A858))*(YEAR(IF(ISNUMBER(A$2:A858),A$2:A858,1))=YEAR(A858))*IF(ISNUMBER(K$2:K858),K$2:K858,0))=0,"",SUMPRODUCT((ISNUMBER(A$2:A858))*(A$2:A858&gt;1000)*(MONTH(IF(ISNUMBER(A$2:A858),A$2:A858,1))=MONTH(A858))*(YEAR(IF(ISNUMBER(A$2:A858),A$2:A858,1))=YEAR(A858))*IF(ISNUMBER(K$2:K858),K$2:K858,0))),""))</f>
        <v/>
      </c>
      <c r="M858" s="21" t="str">
        <f>IF(A858="","",IFERROR(IF(SUMIF(N$2:N858,"CASA",K$2:K858)=0,"",SUMIF(N$2:N858,"CASA",K$2:K858)),""))</f>
        <v/>
      </c>
      <c r="N858" s="17" t="str">
        <f>IF(J858="","",IF(J858=0.2,"CASA",IF(Dati!G858="","",Dati!G858)))</f>
        <v/>
      </c>
    </row>
    <row r="859" spans="1:14" ht="15" customHeight="1" x14ac:dyDescent="0.2">
      <c r="A859" s="23" t="str">
        <f>IF(Dati!A859="","",Dati!A859)</f>
        <v/>
      </c>
      <c r="B859" s="17" t="str">
        <f>IF(Dati!B859="","",Dati!B859)</f>
        <v/>
      </c>
      <c r="C859" s="17" t="str">
        <f>IF(B859="","",IF(ISNUMBER(B858),IF(B859-B858&lt;0,B859,IF(B859-B858=0,"",B859-B858)),B859))</f>
        <v/>
      </c>
      <c r="D859" s="18" t="str">
        <f>IF(Dati!C859="","",IF(Dati!C859&gt;1,Dati!C859/100,Dati!C859))</f>
        <v/>
      </c>
      <c r="E859" s="18" t="str">
        <f>IF(Dati!D859="","",IF(Dati!D859&gt;1,Dati!D859/100,Dati!D859))</f>
        <v/>
      </c>
      <c r="F859" s="18" t="str">
        <f>IF(OR(D859="",E859=""),"",IF(OR(D859&gt;1,E859&gt;1),(E859-D859)/100,E859-D859))</f>
        <v/>
      </c>
      <c r="G859" s="17" t="str">
        <f>IF(F859="","",IF(64*F859=0,"",64*F859))</f>
        <v/>
      </c>
      <c r="H859" s="19" t="str">
        <f>IF(Dati!E859="","",Dati!E859)</f>
        <v/>
      </c>
      <c r="I859" s="19" t="str">
        <f>IFERROR(IF(OR(C859="",C859=0),"",H859/C859*100),"")</f>
        <v/>
      </c>
      <c r="J859" s="20" t="str">
        <f>IF(Dati!F859="","",Dati!F859)</f>
        <v/>
      </c>
      <c r="K859" s="19" t="str">
        <f>IF(OR(H859="",J859=""),"",IF(H859*J859=0,"",H859*J859))</f>
        <v/>
      </c>
      <c r="L859" s="19" t="str">
        <f>IF(A859="","",IFERROR(IF(SUMPRODUCT((ISNUMBER(A$2:A859))*(A$2:A859&gt;1000)*(MONTH(IF(ISNUMBER(A$2:A859),A$2:A859,1))=MONTH(A859))*(YEAR(IF(ISNUMBER(A$2:A859),A$2:A859,1))=YEAR(A859))*IF(ISNUMBER(K$2:K859),K$2:K859,0))=0,"",SUMPRODUCT((ISNUMBER(A$2:A859))*(A$2:A859&gt;1000)*(MONTH(IF(ISNUMBER(A$2:A859),A$2:A859,1))=MONTH(A859))*(YEAR(IF(ISNUMBER(A$2:A859),A$2:A859,1))=YEAR(A859))*IF(ISNUMBER(K$2:K859),K$2:K859,0))),""))</f>
        <v/>
      </c>
      <c r="M859" s="21" t="str">
        <f>IF(A859="","",IFERROR(IF(SUMIF(N$2:N859,"CASA",K$2:K859)=0,"",SUMIF(N$2:N859,"CASA",K$2:K859)),""))</f>
        <v/>
      </c>
      <c r="N859" s="17" t="str">
        <f>IF(J859="","",IF(J859=0.2,"CASA",IF(Dati!G859="","",Dati!G859)))</f>
        <v/>
      </c>
    </row>
    <row r="860" spans="1:14" ht="15" customHeight="1" x14ac:dyDescent="0.2">
      <c r="A860" s="23" t="str">
        <f>IF(Dati!A860="","",Dati!A860)</f>
        <v/>
      </c>
      <c r="B860" s="17" t="str">
        <f>IF(Dati!B860="","",Dati!B860)</f>
        <v/>
      </c>
      <c r="C860" s="17" t="str">
        <f>IF(B860="","",IF(ISNUMBER(B859),IF(B860-B859&lt;0,B860,IF(B860-B859=0,"",B860-B859)),B860))</f>
        <v/>
      </c>
      <c r="D860" s="18" t="str">
        <f>IF(Dati!C860="","",IF(Dati!C860&gt;1,Dati!C860/100,Dati!C860))</f>
        <v/>
      </c>
      <c r="E860" s="18" t="str">
        <f>IF(Dati!D860="","",IF(Dati!D860&gt;1,Dati!D860/100,Dati!D860))</f>
        <v/>
      </c>
      <c r="F860" s="18" t="str">
        <f>IF(OR(D860="",E860=""),"",IF(OR(D860&gt;1,E860&gt;1),(E860-D860)/100,E860-D860))</f>
        <v/>
      </c>
      <c r="G860" s="17" t="str">
        <f>IF(F860="","",IF(64*F860=0,"",64*F860))</f>
        <v/>
      </c>
      <c r="H860" s="19" t="str">
        <f>IF(Dati!E860="","",Dati!E860)</f>
        <v/>
      </c>
      <c r="I860" s="19" t="str">
        <f>IFERROR(IF(OR(C860="",C860=0),"",H860/C860*100),"")</f>
        <v/>
      </c>
      <c r="J860" s="20" t="str">
        <f>IF(Dati!F860="","",Dati!F860)</f>
        <v/>
      </c>
      <c r="K860" s="19" t="str">
        <f>IF(OR(H860="",J860=""),"",IF(H860*J860=0,"",H860*J860))</f>
        <v/>
      </c>
      <c r="L860" s="19" t="str">
        <f>IF(A860="","",IFERROR(IF(SUMPRODUCT((ISNUMBER(A$2:A860))*(A$2:A860&gt;1000)*(MONTH(IF(ISNUMBER(A$2:A860),A$2:A860,1))=MONTH(A860))*(YEAR(IF(ISNUMBER(A$2:A860),A$2:A860,1))=YEAR(A860))*IF(ISNUMBER(K$2:K860),K$2:K860,0))=0,"",SUMPRODUCT((ISNUMBER(A$2:A860))*(A$2:A860&gt;1000)*(MONTH(IF(ISNUMBER(A$2:A860),A$2:A860,1))=MONTH(A860))*(YEAR(IF(ISNUMBER(A$2:A860),A$2:A860,1))=YEAR(A860))*IF(ISNUMBER(K$2:K860),K$2:K860,0))),""))</f>
        <v/>
      </c>
      <c r="M860" s="21" t="str">
        <f>IF(A860="","",IFERROR(IF(SUMIF(N$2:N860,"CASA",K$2:K860)=0,"",SUMIF(N$2:N860,"CASA",K$2:K860)),""))</f>
        <v/>
      </c>
      <c r="N860" s="17" t="str">
        <f>IF(J860="","",IF(J860=0.2,"CASA",IF(Dati!G860="","",Dati!G860)))</f>
        <v/>
      </c>
    </row>
    <row r="861" spans="1:14" ht="15" customHeight="1" x14ac:dyDescent="0.2">
      <c r="A861" s="23" t="str">
        <f>IF(Dati!A861="","",Dati!A861)</f>
        <v/>
      </c>
      <c r="B861" s="17" t="str">
        <f>IF(Dati!B861="","",Dati!B861)</f>
        <v/>
      </c>
      <c r="C861" s="17" t="str">
        <f>IF(B861="","",IF(ISNUMBER(B860),IF(B861-B860&lt;0,B861,IF(B861-B860=0,"",B861-B860)),B861))</f>
        <v/>
      </c>
      <c r="D861" s="18" t="str">
        <f>IF(Dati!C861="","",IF(Dati!C861&gt;1,Dati!C861/100,Dati!C861))</f>
        <v/>
      </c>
      <c r="E861" s="18" t="str">
        <f>IF(Dati!D861="","",IF(Dati!D861&gt;1,Dati!D861/100,Dati!D861))</f>
        <v/>
      </c>
      <c r="F861" s="18" t="str">
        <f>IF(OR(D861="",E861=""),"",IF(OR(D861&gt;1,E861&gt;1),(E861-D861)/100,E861-D861))</f>
        <v/>
      </c>
      <c r="G861" s="17" t="str">
        <f>IF(F861="","",IF(64*F861=0,"",64*F861))</f>
        <v/>
      </c>
      <c r="H861" s="19" t="str">
        <f>IF(Dati!E861="","",Dati!E861)</f>
        <v/>
      </c>
      <c r="I861" s="19" t="str">
        <f>IFERROR(IF(OR(C861="",C861=0),"",H861/C861*100),"")</f>
        <v/>
      </c>
      <c r="J861" s="20" t="str">
        <f>IF(Dati!F861="","",Dati!F861)</f>
        <v/>
      </c>
      <c r="K861" s="19" t="str">
        <f>IF(OR(H861="",J861=""),"",IF(H861*J861=0,"",H861*J861))</f>
        <v/>
      </c>
      <c r="L861" s="19" t="str">
        <f>IF(A861="","",IFERROR(IF(SUMPRODUCT((ISNUMBER(A$2:A861))*(A$2:A861&gt;1000)*(MONTH(IF(ISNUMBER(A$2:A861),A$2:A861,1))=MONTH(A861))*(YEAR(IF(ISNUMBER(A$2:A861),A$2:A861,1))=YEAR(A861))*IF(ISNUMBER(K$2:K861),K$2:K861,0))=0,"",SUMPRODUCT((ISNUMBER(A$2:A861))*(A$2:A861&gt;1000)*(MONTH(IF(ISNUMBER(A$2:A861),A$2:A861,1))=MONTH(A861))*(YEAR(IF(ISNUMBER(A$2:A861),A$2:A861,1))=YEAR(A861))*IF(ISNUMBER(K$2:K861),K$2:K861,0))),""))</f>
        <v/>
      </c>
      <c r="M861" s="21" t="str">
        <f>IF(A861="","",IFERROR(IF(SUMIF(N$2:N861,"CASA",K$2:K861)=0,"",SUMIF(N$2:N861,"CASA",K$2:K861)),""))</f>
        <v/>
      </c>
      <c r="N861" s="17" t="str">
        <f>IF(J861="","",IF(J861=0.2,"CASA",IF(Dati!G861="","",Dati!G861)))</f>
        <v/>
      </c>
    </row>
    <row r="862" spans="1:14" ht="15" customHeight="1" x14ac:dyDescent="0.2">
      <c r="A862" s="23" t="str">
        <f>IF(Dati!A862="","",Dati!A862)</f>
        <v/>
      </c>
      <c r="B862" s="17" t="str">
        <f>IF(Dati!B862="","",Dati!B862)</f>
        <v/>
      </c>
      <c r="C862" s="17" t="str">
        <f>IF(B862="","",IF(ISNUMBER(B861),IF(B862-B861&lt;0,B862,IF(B862-B861=0,"",B862-B861)),B862))</f>
        <v/>
      </c>
      <c r="D862" s="18" t="str">
        <f>IF(Dati!C862="","",IF(Dati!C862&gt;1,Dati!C862/100,Dati!C862))</f>
        <v/>
      </c>
      <c r="E862" s="18" t="str">
        <f>IF(Dati!D862="","",IF(Dati!D862&gt;1,Dati!D862/100,Dati!D862))</f>
        <v/>
      </c>
      <c r="F862" s="18" t="str">
        <f>IF(OR(D862="",E862=""),"",IF(OR(D862&gt;1,E862&gt;1),(E862-D862)/100,E862-D862))</f>
        <v/>
      </c>
      <c r="G862" s="17" t="str">
        <f>IF(F862="","",IF(64*F862=0,"",64*F862))</f>
        <v/>
      </c>
      <c r="H862" s="19" t="str">
        <f>IF(Dati!E862="","",Dati!E862)</f>
        <v/>
      </c>
      <c r="I862" s="19" t="str">
        <f>IFERROR(IF(OR(C862="",C862=0),"",H862/C862*100),"")</f>
        <v/>
      </c>
      <c r="J862" s="20" t="str">
        <f>IF(Dati!F862="","",Dati!F862)</f>
        <v/>
      </c>
      <c r="K862" s="19" t="str">
        <f>IF(OR(H862="",J862=""),"",IF(H862*J862=0,"",H862*J862))</f>
        <v/>
      </c>
      <c r="L862" s="19" t="str">
        <f>IF(A862="","",IFERROR(IF(SUMPRODUCT((ISNUMBER(A$2:A862))*(A$2:A862&gt;1000)*(MONTH(IF(ISNUMBER(A$2:A862),A$2:A862,1))=MONTH(A862))*(YEAR(IF(ISNUMBER(A$2:A862),A$2:A862,1))=YEAR(A862))*IF(ISNUMBER(K$2:K862),K$2:K862,0))=0,"",SUMPRODUCT((ISNUMBER(A$2:A862))*(A$2:A862&gt;1000)*(MONTH(IF(ISNUMBER(A$2:A862),A$2:A862,1))=MONTH(A862))*(YEAR(IF(ISNUMBER(A$2:A862),A$2:A862,1))=YEAR(A862))*IF(ISNUMBER(K$2:K862),K$2:K862,0))),""))</f>
        <v/>
      </c>
      <c r="M862" s="21" t="str">
        <f>IF(A862="","",IFERROR(IF(SUMIF(N$2:N862,"CASA",K$2:K862)=0,"",SUMIF(N$2:N862,"CASA",K$2:K862)),""))</f>
        <v/>
      </c>
      <c r="N862" s="17" t="str">
        <f>IF(J862="","",IF(J862=0.2,"CASA",IF(Dati!G862="","",Dati!G862)))</f>
        <v/>
      </c>
    </row>
    <row r="863" spans="1:14" ht="15" customHeight="1" x14ac:dyDescent="0.2">
      <c r="A863" s="23" t="str">
        <f>IF(Dati!A863="","",Dati!A863)</f>
        <v/>
      </c>
      <c r="B863" s="17" t="str">
        <f>IF(Dati!B863="","",Dati!B863)</f>
        <v/>
      </c>
      <c r="C863" s="17" t="str">
        <f>IF(B863="","",IF(ISNUMBER(B862),IF(B863-B862&lt;0,B863,IF(B863-B862=0,"",B863-B862)),B863))</f>
        <v/>
      </c>
      <c r="D863" s="18" t="str">
        <f>IF(Dati!C863="","",IF(Dati!C863&gt;1,Dati!C863/100,Dati!C863))</f>
        <v/>
      </c>
      <c r="E863" s="18" t="str">
        <f>IF(Dati!D863="","",IF(Dati!D863&gt;1,Dati!D863/100,Dati!D863))</f>
        <v/>
      </c>
      <c r="F863" s="18" t="str">
        <f>IF(OR(D863="",E863=""),"",IF(OR(D863&gt;1,E863&gt;1),(E863-D863)/100,E863-D863))</f>
        <v/>
      </c>
      <c r="G863" s="17" t="str">
        <f>IF(F863="","",IF(64*F863=0,"",64*F863))</f>
        <v/>
      </c>
      <c r="H863" s="19" t="str">
        <f>IF(Dati!E863="","",Dati!E863)</f>
        <v/>
      </c>
      <c r="I863" s="19" t="str">
        <f>IFERROR(IF(OR(C863="",C863=0),"",H863/C863*100),"")</f>
        <v/>
      </c>
      <c r="J863" s="20" t="str">
        <f>IF(Dati!F863="","",Dati!F863)</f>
        <v/>
      </c>
      <c r="K863" s="19" t="str">
        <f>IF(OR(H863="",J863=""),"",IF(H863*J863=0,"",H863*J863))</f>
        <v/>
      </c>
      <c r="L863" s="19" t="str">
        <f>IF(A863="","",IFERROR(IF(SUMPRODUCT((ISNUMBER(A$2:A863))*(A$2:A863&gt;1000)*(MONTH(IF(ISNUMBER(A$2:A863),A$2:A863,1))=MONTH(A863))*(YEAR(IF(ISNUMBER(A$2:A863),A$2:A863,1))=YEAR(A863))*IF(ISNUMBER(K$2:K863),K$2:K863,0))=0,"",SUMPRODUCT((ISNUMBER(A$2:A863))*(A$2:A863&gt;1000)*(MONTH(IF(ISNUMBER(A$2:A863),A$2:A863,1))=MONTH(A863))*(YEAR(IF(ISNUMBER(A$2:A863),A$2:A863,1))=YEAR(A863))*IF(ISNUMBER(K$2:K863),K$2:K863,0))),""))</f>
        <v/>
      </c>
      <c r="M863" s="21" t="str">
        <f>IF(A863="","",IFERROR(IF(SUMIF(N$2:N863,"CASA",K$2:K863)=0,"",SUMIF(N$2:N863,"CASA",K$2:K863)),""))</f>
        <v/>
      </c>
      <c r="N863" s="17" t="str">
        <f>IF(J863="","",IF(J863=0.2,"CASA",IF(Dati!G863="","",Dati!G863)))</f>
        <v/>
      </c>
    </row>
    <row r="864" spans="1:14" ht="15" customHeight="1" x14ac:dyDescent="0.2">
      <c r="A864" s="23" t="str">
        <f>IF(Dati!A864="","",Dati!A864)</f>
        <v/>
      </c>
      <c r="B864" s="17" t="str">
        <f>IF(Dati!B864="","",Dati!B864)</f>
        <v/>
      </c>
      <c r="C864" s="17" t="str">
        <f>IF(B864="","",IF(ISNUMBER(B863),IF(B864-B863&lt;0,B864,IF(B864-B863=0,"",B864-B863)),B864))</f>
        <v/>
      </c>
      <c r="D864" s="18" t="str">
        <f>IF(Dati!C864="","",IF(Dati!C864&gt;1,Dati!C864/100,Dati!C864))</f>
        <v/>
      </c>
      <c r="E864" s="18" t="str">
        <f>IF(Dati!D864="","",IF(Dati!D864&gt;1,Dati!D864/100,Dati!D864))</f>
        <v/>
      </c>
      <c r="F864" s="18" t="str">
        <f>IF(OR(D864="",E864=""),"",IF(OR(D864&gt;1,E864&gt;1),(E864-D864)/100,E864-D864))</f>
        <v/>
      </c>
      <c r="G864" s="17" t="str">
        <f>IF(F864="","",IF(64*F864=0,"",64*F864))</f>
        <v/>
      </c>
      <c r="H864" s="19" t="str">
        <f>IF(Dati!E864="","",Dati!E864)</f>
        <v/>
      </c>
      <c r="I864" s="19" t="str">
        <f>IFERROR(IF(OR(C864="",C864=0),"",H864/C864*100),"")</f>
        <v/>
      </c>
      <c r="J864" s="20" t="str">
        <f>IF(Dati!F864="","",Dati!F864)</f>
        <v/>
      </c>
      <c r="K864" s="19" t="str">
        <f>IF(OR(H864="",J864=""),"",IF(H864*J864=0,"",H864*J864))</f>
        <v/>
      </c>
      <c r="L864" s="19" t="str">
        <f>IF(A864="","",IFERROR(IF(SUMPRODUCT((ISNUMBER(A$2:A864))*(A$2:A864&gt;1000)*(MONTH(IF(ISNUMBER(A$2:A864),A$2:A864,1))=MONTH(A864))*(YEAR(IF(ISNUMBER(A$2:A864),A$2:A864,1))=YEAR(A864))*IF(ISNUMBER(K$2:K864),K$2:K864,0))=0,"",SUMPRODUCT((ISNUMBER(A$2:A864))*(A$2:A864&gt;1000)*(MONTH(IF(ISNUMBER(A$2:A864),A$2:A864,1))=MONTH(A864))*(YEAR(IF(ISNUMBER(A$2:A864),A$2:A864,1))=YEAR(A864))*IF(ISNUMBER(K$2:K864),K$2:K864,0))),""))</f>
        <v/>
      </c>
      <c r="M864" s="21" t="str">
        <f>IF(A864="","",IFERROR(IF(SUMIF(N$2:N864,"CASA",K$2:K864)=0,"",SUMIF(N$2:N864,"CASA",K$2:K864)),""))</f>
        <v/>
      </c>
      <c r="N864" s="17" t="str">
        <f>IF(J864="","",IF(J864=0.2,"CASA",IF(Dati!G864="","",Dati!G864)))</f>
        <v/>
      </c>
    </row>
    <row r="865" spans="1:14" ht="15" customHeight="1" x14ac:dyDescent="0.2">
      <c r="A865" s="23" t="str">
        <f>IF(Dati!A865="","",Dati!A865)</f>
        <v/>
      </c>
      <c r="B865" s="17" t="str">
        <f>IF(Dati!B865="","",Dati!B865)</f>
        <v/>
      </c>
      <c r="C865" s="17" t="str">
        <f>IF(B865="","",IF(ISNUMBER(B864),IF(B865-B864&lt;0,B865,IF(B865-B864=0,"",B865-B864)),B865))</f>
        <v/>
      </c>
      <c r="D865" s="18" t="str">
        <f>IF(Dati!C865="","",IF(Dati!C865&gt;1,Dati!C865/100,Dati!C865))</f>
        <v/>
      </c>
      <c r="E865" s="18" t="str">
        <f>IF(Dati!D865="","",IF(Dati!D865&gt;1,Dati!D865/100,Dati!D865))</f>
        <v/>
      </c>
      <c r="F865" s="18" t="str">
        <f>IF(OR(D865="",E865=""),"",IF(OR(D865&gt;1,E865&gt;1),(E865-D865)/100,E865-D865))</f>
        <v/>
      </c>
      <c r="G865" s="17" t="str">
        <f>IF(F865="","",IF(64*F865=0,"",64*F865))</f>
        <v/>
      </c>
      <c r="H865" s="19" t="str">
        <f>IF(Dati!E865="","",Dati!E865)</f>
        <v/>
      </c>
      <c r="I865" s="19" t="str">
        <f>IFERROR(IF(OR(C865="",C865=0),"",H865/C865*100),"")</f>
        <v/>
      </c>
      <c r="J865" s="20" t="str">
        <f>IF(Dati!F865="","",Dati!F865)</f>
        <v/>
      </c>
      <c r="K865" s="19" t="str">
        <f>IF(OR(H865="",J865=""),"",IF(H865*J865=0,"",H865*J865))</f>
        <v/>
      </c>
      <c r="L865" s="19" t="str">
        <f>IF(A865="","",IFERROR(IF(SUMPRODUCT((ISNUMBER(A$2:A865))*(A$2:A865&gt;1000)*(MONTH(IF(ISNUMBER(A$2:A865),A$2:A865,1))=MONTH(A865))*(YEAR(IF(ISNUMBER(A$2:A865),A$2:A865,1))=YEAR(A865))*IF(ISNUMBER(K$2:K865),K$2:K865,0))=0,"",SUMPRODUCT((ISNUMBER(A$2:A865))*(A$2:A865&gt;1000)*(MONTH(IF(ISNUMBER(A$2:A865),A$2:A865,1))=MONTH(A865))*(YEAR(IF(ISNUMBER(A$2:A865),A$2:A865,1))=YEAR(A865))*IF(ISNUMBER(K$2:K865),K$2:K865,0))),""))</f>
        <v/>
      </c>
      <c r="M865" s="21" t="str">
        <f>IF(A865="","",IFERROR(IF(SUMIF(N$2:N865,"CASA",K$2:K865)=0,"",SUMIF(N$2:N865,"CASA",K$2:K865)),""))</f>
        <v/>
      </c>
      <c r="N865" s="17" t="str">
        <f>IF(J865="","",IF(J865=0.2,"CASA",IF(Dati!G865="","",Dati!G865)))</f>
        <v/>
      </c>
    </row>
    <row r="866" spans="1:14" ht="15" customHeight="1" x14ac:dyDescent="0.2">
      <c r="A866" s="23" t="str">
        <f>IF(Dati!A866="","",Dati!A866)</f>
        <v/>
      </c>
      <c r="B866" s="17" t="str">
        <f>IF(Dati!B866="","",Dati!B866)</f>
        <v/>
      </c>
      <c r="C866" s="17" t="str">
        <f>IF(B866="","",IF(ISNUMBER(B865),IF(B866-B865&lt;0,B866,IF(B866-B865=0,"",B866-B865)),B866))</f>
        <v/>
      </c>
      <c r="D866" s="18" t="str">
        <f>IF(Dati!C866="","",IF(Dati!C866&gt;1,Dati!C866/100,Dati!C866))</f>
        <v/>
      </c>
      <c r="E866" s="18" t="str">
        <f>IF(Dati!D866="","",IF(Dati!D866&gt;1,Dati!D866/100,Dati!D866))</f>
        <v/>
      </c>
      <c r="F866" s="18" t="str">
        <f>IF(OR(D866="",E866=""),"",IF(OR(D866&gt;1,E866&gt;1),(E866-D866)/100,E866-D866))</f>
        <v/>
      </c>
      <c r="G866" s="17" t="str">
        <f>IF(F866="","",IF(64*F866=0,"",64*F866))</f>
        <v/>
      </c>
      <c r="H866" s="19" t="str">
        <f>IF(Dati!E866="","",Dati!E866)</f>
        <v/>
      </c>
      <c r="I866" s="19" t="str">
        <f>IFERROR(IF(OR(C866="",C866=0),"",H866/C866*100),"")</f>
        <v/>
      </c>
      <c r="J866" s="20" t="str">
        <f>IF(Dati!F866="","",Dati!F866)</f>
        <v/>
      </c>
      <c r="K866" s="19" t="str">
        <f>IF(OR(H866="",J866=""),"",IF(H866*J866=0,"",H866*J866))</f>
        <v/>
      </c>
      <c r="L866" s="19" t="str">
        <f>IF(A866="","",IFERROR(IF(SUMPRODUCT((ISNUMBER(A$2:A866))*(A$2:A866&gt;1000)*(MONTH(IF(ISNUMBER(A$2:A866),A$2:A866,1))=MONTH(A866))*(YEAR(IF(ISNUMBER(A$2:A866),A$2:A866,1))=YEAR(A866))*IF(ISNUMBER(K$2:K866),K$2:K866,0))=0,"",SUMPRODUCT((ISNUMBER(A$2:A866))*(A$2:A866&gt;1000)*(MONTH(IF(ISNUMBER(A$2:A866),A$2:A866,1))=MONTH(A866))*(YEAR(IF(ISNUMBER(A$2:A866),A$2:A866,1))=YEAR(A866))*IF(ISNUMBER(K$2:K866),K$2:K866,0))),""))</f>
        <v/>
      </c>
      <c r="M866" s="21" t="str">
        <f>IF(A866="","",IFERROR(IF(SUMIF(N$2:N866,"CASA",K$2:K866)=0,"",SUMIF(N$2:N866,"CASA",K$2:K866)),""))</f>
        <v/>
      </c>
      <c r="N866" s="17" t="str">
        <f>IF(J866="","",IF(J866=0.2,"CASA",IF(Dati!G866="","",Dati!G866)))</f>
        <v/>
      </c>
    </row>
    <row r="867" spans="1:14" ht="15" customHeight="1" x14ac:dyDescent="0.2">
      <c r="A867" s="23" t="str">
        <f>IF(Dati!A867="","",Dati!A867)</f>
        <v/>
      </c>
      <c r="B867" s="17" t="str">
        <f>IF(Dati!B867="","",Dati!B867)</f>
        <v/>
      </c>
      <c r="C867" s="17" t="str">
        <f>IF(B867="","",IF(ISNUMBER(B866),IF(B867-B866&lt;0,B867,IF(B867-B866=0,"",B867-B866)),B867))</f>
        <v/>
      </c>
      <c r="D867" s="18" t="str">
        <f>IF(Dati!C867="","",IF(Dati!C867&gt;1,Dati!C867/100,Dati!C867))</f>
        <v/>
      </c>
      <c r="E867" s="18" t="str">
        <f>IF(Dati!D867="","",IF(Dati!D867&gt;1,Dati!D867/100,Dati!D867))</f>
        <v/>
      </c>
      <c r="F867" s="18" t="str">
        <f>IF(OR(D867="",E867=""),"",IF(OR(D867&gt;1,E867&gt;1),(E867-D867)/100,E867-D867))</f>
        <v/>
      </c>
      <c r="G867" s="17" t="str">
        <f>IF(F867="","",IF(64*F867=0,"",64*F867))</f>
        <v/>
      </c>
      <c r="H867" s="19" t="str">
        <f>IF(Dati!E867="","",Dati!E867)</f>
        <v/>
      </c>
      <c r="I867" s="19" t="str">
        <f>IFERROR(IF(OR(C867="",C867=0),"",H867/C867*100),"")</f>
        <v/>
      </c>
      <c r="J867" s="20" t="str">
        <f>IF(Dati!F867="","",Dati!F867)</f>
        <v/>
      </c>
      <c r="K867" s="19" t="str">
        <f>IF(OR(H867="",J867=""),"",IF(H867*J867=0,"",H867*J867))</f>
        <v/>
      </c>
      <c r="L867" s="19" t="str">
        <f>IF(A867="","",IFERROR(IF(SUMPRODUCT((ISNUMBER(A$2:A867))*(A$2:A867&gt;1000)*(MONTH(IF(ISNUMBER(A$2:A867),A$2:A867,1))=MONTH(A867))*(YEAR(IF(ISNUMBER(A$2:A867),A$2:A867,1))=YEAR(A867))*IF(ISNUMBER(K$2:K867),K$2:K867,0))=0,"",SUMPRODUCT((ISNUMBER(A$2:A867))*(A$2:A867&gt;1000)*(MONTH(IF(ISNUMBER(A$2:A867),A$2:A867,1))=MONTH(A867))*(YEAR(IF(ISNUMBER(A$2:A867),A$2:A867,1))=YEAR(A867))*IF(ISNUMBER(K$2:K867),K$2:K867,0))),""))</f>
        <v/>
      </c>
      <c r="M867" s="21" t="str">
        <f>IF(A867="","",IFERROR(IF(SUMIF(N$2:N867,"CASA",K$2:K867)=0,"",SUMIF(N$2:N867,"CASA",K$2:K867)),""))</f>
        <v/>
      </c>
      <c r="N867" s="17" t="str">
        <f>IF(J867="","",IF(J867=0.2,"CASA",IF(Dati!G867="","",Dati!G867)))</f>
        <v/>
      </c>
    </row>
    <row r="868" spans="1:14" ht="15" customHeight="1" x14ac:dyDescent="0.2">
      <c r="A868" s="23" t="str">
        <f>IF(Dati!A868="","",Dati!A868)</f>
        <v/>
      </c>
      <c r="B868" s="17" t="str">
        <f>IF(Dati!B868="","",Dati!B868)</f>
        <v/>
      </c>
      <c r="C868" s="17" t="str">
        <f>IF(B868="","",IF(ISNUMBER(B867),IF(B868-B867&lt;0,B868,IF(B868-B867=0,"",B868-B867)),B868))</f>
        <v/>
      </c>
      <c r="D868" s="18" t="str">
        <f>IF(Dati!C868="","",IF(Dati!C868&gt;1,Dati!C868/100,Dati!C868))</f>
        <v/>
      </c>
      <c r="E868" s="18" t="str">
        <f>IF(Dati!D868="","",IF(Dati!D868&gt;1,Dati!D868/100,Dati!D868))</f>
        <v/>
      </c>
      <c r="F868" s="18" t="str">
        <f>IF(OR(D868="",E868=""),"",IF(OR(D868&gt;1,E868&gt;1),(E868-D868)/100,E868-D868))</f>
        <v/>
      </c>
      <c r="G868" s="17" t="str">
        <f>IF(F868="","",IF(64*F868=0,"",64*F868))</f>
        <v/>
      </c>
      <c r="H868" s="19" t="str">
        <f>IF(Dati!E868="","",Dati!E868)</f>
        <v/>
      </c>
      <c r="I868" s="19" t="str">
        <f>IFERROR(IF(OR(C868="",C868=0),"",H868/C868*100),"")</f>
        <v/>
      </c>
      <c r="J868" s="20" t="str">
        <f>IF(Dati!F868="","",Dati!F868)</f>
        <v/>
      </c>
      <c r="K868" s="19" t="str">
        <f>IF(OR(H868="",J868=""),"",IF(H868*J868=0,"",H868*J868))</f>
        <v/>
      </c>
      <c r="L868" s="19" t="str">
        <f>IF(A868="","",IFERROR(IF(SUMPRODUCT((ISNUMBER(A$2:A868))*(A$2:A868&gt;1000)*(MONTH(IF(ISNUMBER(A$2:A868),A$2:A868,1))=MONTH(A868))*(YEAR(IF(ISNUMBER(A$2:A868),A$2:A868,1))=YEAR(A868))*IF(ISNUMBER(K$2:K868),K$2:K868,0))=0,"",SUMPRODUCT((ISNUMBER(A$2:A868))*(A$2:A868&gt;1000)*(MONTH(IF(ISNUMBER(A$2:A868),A$2:A868,1))=MONTH(A868))*(YEAR(IF(ISNUMBER(A$2:A868),A$2:A868,1))=YEAR(A868))*IF(ISNUMBER(K$2:K868),K$2:K868,0))),""))</f>
        <v/>
      </c>
      <c r="M868" s="21" t="str">
        <f>IF(A868="","",IFERROR(IF(SUMIF(N$2:N868,"CASA",K$2:K868)=0,"",SUMIF(N$2:N868,"CASA",K$2:K868)),""))</f>
        <v/>
      </c>
      <c r="N868" s="17" t="str">
        <f>IF(J868="","",IF(J868=0.2,"CASA",IF(Dati!G868="","",Dati!G868)))</f>
        <v/>
      </c>
    </row>
    <row r="869" spans="1:14" ht="15" customHeight="1" x14ac:dyDescent="0.2">
      <c r="A869" s="23" t="str">
        <f>IF(Dati!A869="","",Dati!A869)</f>
        <v/>
      </c>
      <c r="B869" s="17" t="str">
        <f>IF(Dati!B869="","",Dati!B869)</f>
        <v/>
      </c>
      <c r="C869" s="17" t="str">
        <f>IF(B869="","",IF(ISNUMBER(B868),IF(B869-B868&lt;0,B869,IF(B869-B868=0,"",B869-B868)),B869))</f>
        <v/>
      </c>
      <c r="D869" s="18" t="str">
        <f>IF(Dati!C869="","",IF(Dati!C869&gt;1,Dati!C869/100,Dati!C869))</f>
        <v/>
      </c>
      <c r="E869" s="18" t="str">
        <f>IF(Dati!D869="","",IF(Dati!D869&gt;1,Dati!D869/100,Dati!D869))</f>
        <v/>
      </c>
      <c r="F869" s="18" t="str">
        <f>IF(OR(D869="",E869=""),"",IF(OR(D869&gt;1,E869&gt;1),(E869-D869)/100,E869-D869))</f>
        <v/>
      </c>
      <c r="G869" s="17" t="str">
        <f>IF(F869="","",IF(64*F869=0,"",64*F869))</f>
        <v/>
      </c>
      <c r="H869" s="19" t="str">
        <f>IF(Dati!E869="","",Dati!E869)</f>
        <v/>
      </c>
      <c r="I869" s="19" t="str">
        <f>IFERROR(IF(OR(C869="",C869=0),"",H869/C869*100),"")</f>
        <v/>
      </c>
      <c r="J869" s="20" t="str">
        <f>IF(Dati!F869="","",Dati!F869)</f>
        <v/>
      </c>
      <c r="K869" s="19" t="str">
        <f>IF(OR(H869="",J869=""),"",IF(H869*J869=0,"",H869*J869))</f>
        <v/>
      </c>
      <c r="L869" s="19" t="str">
        <f>IF(A869="","",IFERROR(IF(SUMPRODUCT((ISNUMBER(A$2:A869))*(A$2:A869&gt;1000)*(MONTH(IF(ISNUMBER(A$2:A869),A$2:A869,1))=MONTH(A869))*(YEAR(IF(ISNUMBER(A$2:A869),A$2:A869,1))=YEAR(A869))*IF(ISNUMBER(K$2:K869),K$2:K869,0))=0,"",SUMPRODUCT((ISNUMBER(A$2:A869))*(A$2:A869&gt;1000)*(MONTH(IF(ISNUMBER(A$2:A869),A$2:A869,1))=MONTH(A869))*(YEAR(IF(ISNUMBER(A$2:A869),A$2:A869,1))=YEAR(A869))*IF(ISNUMBER(K$2:K869),K$2:K869,0))),""))</f>
        <v/>
      </c>
      <c r="M869" s="21" t="str">
        <f>IF(A869="","",IFERROR(IF(SUMIF(N$2:N869,"CASA",K$2:K869)=0,"",SUMIF(N$2:N869,"CASA",K$2:K869)),""))</f>
        <v/>
      </c>
      <c r="N869" s="17" t="str">
        <f>IF(J869="","",IF(J869=0.2,"CASA",IF(Dati!G869="","",Dati!G869)))</f>
        <v/>
      </c>
    </row>
    <row r="870" spans="1:14" ht="15" customHeight="1" x14ac:dyDescent="0.2">
      <c r="A870" s="23" t="str">
        <f>IF(Dati!A870="","",Dati!A870)</f>
        <v/>
      </c>
      <c r="B870" s="17" t="str">
        <f>IF(Dati!B870="","",Dati!B870)</f>
        <v/>
      </c>
      <c r="C870" s="17" t="str">
        <f>IF(B870="","",IF(ISNUMBER(B869),IF(B870-B869&lt;0,B870,IF(B870-B869=0,"",B870-B869)),B870))</f>
        <v/>
      </c>
      <c r="D870" s="18" t="str">
        <f>IF(Dati!C870="","",IF(Dati!C870&gt;1,Dati!C870/100,Dati!C870))</f>
        <v/>
      </c>
      <c r="E870" s="18" t="str">
        <f>IF(Dati!D870="","",IF(Dati!D870&gt;1,Dati!D870/100,Dati!D870))</f>
        <v/>
      </c>
      <c r="F870" s="18" t="str">
        <f>IF(OR(D870="",E870=""),"",IF(OR(D870&gt;1,E870&gt;1),(E870-D870)/100,E870-D870))</f>
        <v/>
      </c>
      <c r="G870" s="17" t="str">
        <f>IF(F870="","",IF(64*F870=0,"",64*F870))</f>
        <v/>
      </c>
      <c r="H870" s="19" t="str">
        <f>IF(Dati!E870="","",Dati!E870)</f>
        <v/>
      </c>
      <c r="I870" s="19" t="str">
        <f>IFERROR(IF(OR(C870="",C870=0),"",H870/C870*100),"")</f>
        <v/>
      </c>
      <c r="J870" s="20" t="str">
        <f>IF(Dati!F870="","",Dati!F870)</f>
        <v/>
      </c>
      <c r="K870" s="19" t="str">
        <f>IF(OR(H870="",J870=""),"",IF(H870*J870=0,"",H870*J870))</f>
        <v/>
      </c>
      <c r="L870" s="19" t="str">
        <f>IF(A870="","",IFERROR(IF(SUMPRODUCT((ISNUMBER(A$2:A870))*(A$2:A870&gt;1000)*(MONTH(IF(ISNUMBER(A$2:A870),A$2:A870,1))=MONTH(A870))*(YEAR(IF(ISNUMBER(A$2:A870),A$2:A870,1))=YEAR(A870))*IF(ISNUMBER(K$2:K870),K$2:K870,0))=0,"",SUMPRODUCT((ISNUMBER(A$2:A870))*(A$2:A870&gt;1000)*(MONTH(IF(ISNUMBER(A$2:A870),A$2:A870,1))=MONTH(A870))*(YEAR(IF(ISNUMBER(A$2:A870),A$2:A870,1))=YEAR(A870))*IF(ISNUMBER(K$2:K870),K$2:K870,0))),""))</f>
        <v/>
      </c>
      <c r="M870" s="21" t="str">
        <f>IF(A870="","",IFERROR(IF(SUMIF(N$2:N870,"CASA",K$2:K870)=0,"",SUMIF(N$2:N870,"CASA",K$2:K870)),""))</f>
        <v/>
      </c>
      <c r="N870" s="17" t="str">
        <f>IF(J870="","",IF(J870=0.2,"CASA",IF(Dati!G870="","",Dati!G870)))</f>
        <v/>
      </c>
    </row>
    <row r="871" spans="1:14" ht="15" customHeight="1" x14ac:dyDescent="0.2">
      <c r="A871" s="23" t="str">
        <f>IF(Dati!A871="","",Dati!A871)</f>
        <v/>
      </c>
      <c r="B871" s="17" t="str">
        <f>IF(Dati!B871="","",Dati!B871)</f>
        <v/>
      </c>
      <c r="C871" s="17" t="str">
        <f>IF(B871="","",IF(ISNUMBER(B870),IF(B871-B870&lt;0,B871,IF(B871-B870=0,"",B871-B870)),B871))</f>
        <v/>
      </c>
      <c r="D871" s="18" t="str">
        <f>IF(Dati!C871="","",IF(Dati!C871&gt;1,Dati!C871/100,Dati!C871))</f>
        <v/>
      </c>
      <c r="E871" s="18" t="str">
        <f>IF(Dati!D871="","",IF(Dati!D871&gt;1,Dati!D871/100,Dati!D871))</f>
        <v/>
      </c>
      <c r="F871" s="18" t="str">
        <f>IF(OR(D871="",E871=""),"",IF(OR(D871&gt;1,E871&gt;1),(E871-D871)/100,E871-D871))</f>
        <v/>
      </c>
      <c r="G871" s="17" t="str">
        <f>IF(F871="","",IF(64*F871=0,"",64*F871))</f>
        <v/>
      </c>
      <c r="H871" s="19" t="str">
        <f>IF(Dati!E871="","",Dati!E871)</f>
        <v/>
      </c>
      <c r="I871" s="19" t="str">
        <f>IFERROR(IF(OR(C871="",C871=0),"",H871/C871*100),"")</f>
        <v/>
      </c>
      <c r="J871" s="20" t="str">
        <f>IF(Dati!F871="","",Dati!F871)</f>
        <v/>
      </c>
      <c r="K871" s="19" t="str">
        <f>IF(OR(H871="",J871=""),"",IF(H871*J871=0,"",H871*J871))</f>
        <v/>
      </c>
      <c r="L871" s="19" t="str">
        <f>IF(A871="","",IFERROR(IF(SUMPRODUCT((ISNUMBER(A$2:A871))*(A$2:A871&gt;1000)*(MONTH(IF(ISNUMBER(A$2:A871),A$2:A871,1))=MONTH(A871))*(YEAR(IF(ISNUMBER(A$2:A871),A$2:A871,1))=YEAR(A871))*IF(ISNUMBER(K$2:K871),K$2:K871,0))=0,"",SUMPRODUCT((ISNUMBER(A$2:A871))*(A$2:A871&gt;1000)*(MONTH(IF(ISNUMBER(A$2:A871),A$2:A871,1))=MONTH(A871))*(YEAR(IF(ISNUMBER(A$2:A871),A$2:A871,1))=YEAR(A871))*IF(ISNUMBER(K$2:K871),K$2:K871,0))),""))</f>
        <v/>
      </c>
      <c r="M871" s="21" t="str">
        <f>IF(A871="","",IFERROR(IF(SUMIF(N$2:N871,"CASA",K$2:K871)=0,"",SUMIF(N$2:N871,"CASA",K$2:K871)),""))</f>
        <v/>
      </c>
      <c r="N871" s="17" t="str">
        <f>IF(J871="","",IF(J871=0.2,"CASA",IF(Dati!G871="","",Dati!G871)))</f>
        <v/>
      </c>
    </row>
    <row r="872" spans="1:14" ht="15" customHeight="1" x14ac:dyDescent="0.2">
      <c r="A872" s="23" t="str">
        <f>IF(Dati!A872="","",Dati!A872)</f>
        <v/>
      </c>
      <c r="B872" s="17" t="str">
        <f>IF(Dati!B872="","",Dati!B872)</f>
        <v/>
      </c>
      <c r="C872" s="17" t="str">
        <f>IF(B872="","",IF(ISNUMBER(B871),IF(B872-B871&lt;0,B872,IF(B872-B871=0,"",B872-B871)),B872))</f>
        <v/>
      </c>
      <c r="D872" s="18" t="str">
        <f>IF(Dati!C872="","",IF(Dati!C872&gt;1,Dati!C872/100,Dati!C872))</f>
        <v/>
      </c>
      <c r="E872" s="18" t="str">
        <f>IF(Dati!D872="","",IF(Dati!D872&gt;1,Dati!D872/100,Dati!D872))</f>
        <v/>
      </c>
      <c r="F872" s="18" t="str">
        <f>IF(OR(D872="",E872=""),"",IF(OR(D872&gt;1,E872&gt;1),(E872-D872)/100,E872-D872))</f>
        <v/>
      </c>
      <c r="G872" s="17" t="str">
        <f>IF(F872="","",IF(64*F872=0,"",64*F872))</f>
        <v/>
      </c>
      <c r="H872" s="19" t="str">
        <f>IF(Dati!E872="","",Dati!E872)</f>
        <v/>
      </c>
      <c r="I872" s="19" t="str">
        <f>IFERROR(IF(OR(C872="",C872=0),"",H872/C872*100),"")</f>
        <v/>
      </c>
      <c r="J872" s="20" t="str">
        <f>IF(Dati!F872="","",Dati!F872)</f>
        <v/>
      </c>
      <c r="K872" s="19" t="str">
        <f>IF(OR(H872="",J872=""),"",IF(H872*J872=0,"",H872*J872))</f>
        <v/>
      </c>
      <c r="L872" s="19" t="str">
        <f>IF(A872="","",IFERROR(IF(SUMPRODUCT((ISNUMBER(A$2:A872))*(A$2:A872&gt;1000)*(MONTH(IF(ISNUMBER(A$2:A872),A$2:A872,1))=MONTH(A872))*(YEAR(IF(ISNUMBER(A$2:A872),A$2:A872,1))=YEAR(A872))*IF(ISNUMBER(K$2:K872),K$2:K872,0))=0,"",SUMPRODUCT((ISNUMBER(A$2:A872))*(A$2:A872&gt;1000)*(MONTH(IF(ISNUMBER(A$2:A872),A$2:A872,1))=MONTH(A872))*(YEAR(IF(ISNUMBER(A$2:A872),A$2:A872,1))=YEAR(A872))*IF(ISNUMBER(K$2:K872),K$2:K872,0))),""))</f>
        <v/>
      </c>
      <c r="M872" s="21" t="str">
        <f>IF(A872="","",IFERROR(IF(SUMIF(N$2:N872,"CASA",K$2:K872)=0,"",SUMIF(N$2:N872,"CASA",K$2:K872)),""))</f>
        <v/>
      </c>
      <c r="N872" s="17" t="str">
        <f>IF(J872="","",IF(J872=0.2,"CASA",IF(Dati!G872="","",Dati!G872)))</f>
        <v/>
      </c>
    </row>
    <row r="873" spans="1:14" ht="15" customHeight="1" x14ac:dyDescent="0.2">
      <c r="A873" s="23" t="str">
        <f>IF(Dati!A873="","",Dati!A873)</f>
        <v/>
      </c>
      <c r="B873" s="17" t="str">
        <f>IF(Dati!B873="","",Dati!B873)</f>
        <v/>
      </c>
      <c r="C873" s="17" t="str">
        <f>IF(B873="","",IF(ISNUMBER(B872),IF(B873-B872&lt;0,B873,IF(B873-B872=0,"",B873-B872)),B873))</f>
        <v/>
      </c>
      <c r="D873" s="18" t="str">
        <f>IF(Dati!C873="","",IF(Dati!C873&gt;1,Dati!C873/100,Dati!C873))</f>
        <v/>
      </c>
      <c r="E873" s="18" t="str">
        <f>IF(Dati!D873="","",IF(Dati!D873&gt;1,Dati!D873/100,Dati!D873))</f>
        <v/>
      </c>
      <c r="F873" s="18" t="str">
        <f>IF(OR(D873="",E873=""),"",IF(OR(D873&gt;1,E873&gt;1),(E873-D873)/100,E873-D873))</f>
        <v/>
      </c>
      <c r="G873" s="17" t="str">
        <f>IF(F873="","",IF(64*F873=0,"",64*F873))</f>
        <v/>
      </c>
      <c r="H873" s="19" t="str">
        <f>IF(Dati!E873="","",Dati!E873)</f>
        <v/>
      </c>
      <c r="I873" s="19" t="str">
        <f>IFERROR(IF(OR(C873="",C873=0),"",H873/C873*100),"")</f>
        <v/>
      </c>
      <c r="J873" s="20" t="str">
        <f>IF(Dati!F873="","",Dati!F873)</f>
        <v/>
      </c>
      <c r="K873" s="19" t="str">
        <f>IF(OR(H873="",J873=""),"",IF(H873*J873=0,"",H873*J873))</f>
        <v/>
      </c>
      <c r="L873" s="19" t="str">
        <f>IF(A873="","",IFERROR(IF(SUMPRODUCT((ISNUMBER(A$2:A873))*(A$2:A873&gt;1000)*(MONTH(IF(ISNUMBER(A$2:A873),A$2:A873,1))=MONTH(A873))*(YEAR(IF(ISNUMBER(A$2:A873),A$2:A873,1))=YEAR(A873))*IF(ISNUMBER(K$2:K873),K$2:K873,0))=0,"",SUMPRODUCT((ISNUMBER(A$2:A873))*(A$2:A873&gt;1000)*(MONTH(IF(ISNUMBER(A$2:A873),A$2:A873,1))=MONTH(A873))*(YEAR(IF(ISNUMBER(A$2:A873),A$2:A873,1))=YEAR(A873))*IF(ISNUMBER(K$2:K873),K$2:K873,0))),""))</f>
        <v/>
      </c>
      <c r="M873" s="21" t="str">
        <f>IF(A873="","",IFERROR(IF(SUMIF(N$2:N873,"CASA",K$2:K873)=0,"",SUMIF(N$2:N873,"CASA",K$2:K873)),""))</f>
        <v/>
      </c>
      <c r="N873" s="17" t="str">
        <f>IF(J873="","",IF(J873=0.2,"CASA",IF(Dati!G873="","",Dati!G873)))</f>
        <v/>
      </c>
    </row>
    <row r="874" spans="1:14" ht="15" customHeight="1" x14ac:dyDescent="0.2">
      <c r="A874" s="23" t="str">
        <f>IF(Dati!A874="","",Dati!A874)</f>
        <v/>
      </c>
      <c r="B874" s="17" t="str">
        <f>IF(Dati!B874="","",Dati!B874)</f>
        <v/>
      </c>
      <c r="C874" s="17" t="str">
        <f>IF(B874="","",IF(ISNUMBER(B873),IF(B874-B873&lt;0,B874,IF(B874-B873=0,"",B874-B873)),B874))</f>
        <v/>
      </c>
      <c r="D874" s="18" t="str">
        <f>IF(Dati!C874="","",IF(Dati!C874&gt;1,Dati!C874/100,Dati!C874))</f>
        <v/>
      </c>
      <c r="E874" s="18" t="str">
        <f>IF(Dati!D874="","",IF(Dati!D874&gt;1,Dati!D874/100,Dati!D874))</f>
        <v/>
      </c>
      <c r="F874" s="18" t="str">
        <f>IF(OR(D874="",E874=""),"",IF(OR(D874&gt;1,E874&gt;1),(E874-D874)/100,E874-D874))</f>
        <v/>
      </c>
      <c r="G874" s="17" t="str">
        <f>IF(F874="","",IF(64*F874=0,"",64*F874))</f>
        <v/>
      </c>
      <c r="H874" s="19" t="str">
        <f>IF(Dati!E874="","",Dati!E874)</f>
        <v/>
      </c>
      <c r="I874" s="19" t="str">
        <f>IFERROR(IF(OR(C874="",C874=0),"",H874/C874*100),"")</f>
        <v/>
      </c>
      <c r="J874" s="20" t="str">
        <f>IF(Dati!F874="","",Dati!F874)</f>
        <v/>
      </c>
      <c r="K874" s="19" t="str">
        <f>IF(OR(H874="",J874=""),"",IF(H874*J874=0,"",H874*J874))</f>
        <v/>
      </c>
      <c r="L874" s="19" t="str">
        <f>IF(A874="","",IFERROR(IF(SUMPRODUCT((ISNUMBER(A$2:A874))*(A$2:A874&gt;1000)*(MONTH(IF(ISNUMBER(A$2:A874),A$2:A874,1))=MONTH(A874))*(YEAR(IF(ISNUMBER(A$2:A874),A$2:A874,1))=YEAR(A874))*IF(ISNUMBER(K$2:K874),K$2:K874,0))=0,"",SUMPRODUCT((ISNUMBER(A$2:A874))*(A$2:A874&gt;1000)*(MONTH(IF(ISNUMBER(A$2:A874),A$2:A874,1))=MONTH(A874))*(YEAR(IF(ISNUMBER(A$2:A874),A$2:A874,1))=YEAR(A874))*IF(ISNUMBER(K$2:K874),K$2:K874,0))),""))</f>
        <v/>
      </c>
      <c r="M874" s="21" t="str">
        <f>IF(A874="","",IFERROR(IF(SUMIF(N$2:N874,"CASA",K$2:K874)=0,"",SUMIF(N$2:N874,"CASA",K$2:K874)),""))</f>
        <v/>
      </c>
      <c r="N874" s="17" t="str">
        <f>IF(J874="","",IF(J874=0.2,"CASA",IF(Dati!G874="","",Dati!G874)))</f>
        <v/>
      </c>
    </row>
    <row r="875" spans="1:14" ht="15" customHeight="1" x14ac:dyDescent="0.2">
      <c r="A875" s="23" t="str">
        <f>IF(Dati!A875="","",Dati!A875)</f>
        <v/>
      </c>
      <c r="B875" s="17" t="str">
        <f>IF(Dati!B875="","",Dati!B875)</f>
        <v/>
      </c>
      <c r="C875" s="17" t="str">
        <f>IF(B875="","",IF(ISNUMBER(B874),IF(B875-B874&lt;0,B875,IF(B875-B874=0,"",B875-B874)),B875))</f>
        <v/>
      </c>
      <c r="D875" s="18" t="str">
        <f>IF(Dati!C875="","",IF(Dati!C875&gt;1,Dati!C875/100,Dati!C875))</f>
        <v/>
      </c>
      <c r="E875" s="18" t="str">
        <f>IF(Dati!D875="","",IF(Dati!D875&gt;1,Dati!D875/100,Dati!D875))</f>
        <v/>
      </c>
      <c r="F875" s="18" t="str">
        <f>IF(OR(D875="",E875=""),"",IF(OR(D875&gt;1,E875&gt;1),(E875-D875)/100,E875-D875))</f>
        <v/>
      </c>
      <c r="G875" s="17" t="str">
        <f>IF(F875="","",IF(64*F875=0,"",64*F875))</f>
        <v/>
      </c>
      <c r="H875" s="19" t="str">
        <f>IF(Dati!E875="","",Dati!E875)</f>
        <v/>
      </c>
      <c r="I875" s="19" t="str">
        <f>IFERROR(IF(OR(C875="",C875=0),"",H875/C875*100),"")</f>
        <v/>
      </c>
      <c r="J875" s="20" t="str">
        <f>IF(Dati!F875="","",Dati!F875)</f>
        <v/>
      </c>
      <c r="K875" s="19" t="str">
        <f>IF(OR(H875="",J875=""),"",IF(H875*J875=0,"",H875*J875))</f>
        <v/>
      </c>
      <c r="L875" s="19" t="str">
        <f>IF(A875="","",IFERROR(IF(SUMPRODUCT((ISNUMBER(A$2:A875))*(A$2:A875&gt;1000)*(MONTH(IF(ISNUMBER(A$2:A875),A$2:A875,1))=MONTH(A875))*(YEAR(IF(ISNUMBER(A$2:A875),A$2:A875,1))=YEAR(A875))*IF(ISNUMBER(K$2:K875),K$2:K875,0))=0,"",SUMPRODUCT((ISNUMBER(A$2:A875))*(A$2:A875&gt;1000)*(MONTH(IF(ISNUMBER(A$2:A875),A$2:A875,1))=MONTH(A875))*(YEAR(IF(ISNUMBER(A$2:A875),A$2:A875,1))=YEAR(A875))*IF(ISNUMBER(K$2:K875),K$2:K875,0))),""))</f>
        <v/>
      </c>
      <c r="M875" s="21" t="str">
        <f>IF(A875="","",IFERROR(IF(SUMIF(N$2:N875,"CASA",K$2:K875)=0,"",SUMIF(N$2:N875,"CASA",K$2:K875)),""))</f>
        <v/>
      </c>
      <c r="N875" s="17" t="str">
        <f>IF(J875="","",IF(J875=0.2,"CASA",IF(Dati!G875="","",Dati!G875)))</f>
        <v/>
      </c>
    </row>
    <row r="876" spans="1:14" ht="15" customHeight="1" x14ac:dyDescent="0.2">
      <c r="A876" s="23" t="str">
        <f>IF(Dati!A876="","",Dati!A876)</f>
        <v/>
      </c>
      <c r="B876" s="17" t="str">
        <f>IF(Dati!B876="","",Dati!B876)</f>
        <v/>
      </c>
      <c r="C876" s="17" t="str">
        <f>IF(B876="","",IF(ISNUMBER(B875),IF(B876-B875&lt;0,B876,IF(B876-B875=0,"",B876-B875)),B876))</f>
        <v/>
      </c>
      <c r="D876" s="18" t="str">
        <f>IF(Dati!C876="","",IF(Dati!C876&gt;1,Dati!C876/100,Dati!C876))</f>
        <v/>
      </c>
      <c r="E876" s="18" t="str">
        <f>IF(Dati!D876="","",IF(Dati!D876&gt;1,Dati!D876/100,Dati!D876))</f>
        <v/>
      </c>
      <c r="F876" s="18" t="str">
        <f>IF(OR(D876="",E876=""),"",IF(OR(D876&gt;1,E876&gt;1),(E876-D876)/100,E876-D876))</f>
        <v/>
      </c>
      <c r="G876" s="17" t="str">
        <f>IF(F876="","",IF(64*F876=0,"",64*F876))</f>
        <v/>
      </c>
      <c r="H876" s="19" t="str">
        <f>IF(Dati!E876="","",Dati!E876)</f>
        <v/>
      </c>
      <c r="I876" s="19" t="str">
        <f>IFERROR(IF(OR(C876="",C876=0),"",H876/C876*100),"")</f>
        <v/>
      </c>
      <c r="J876" s="20" t="str">
        <f>IF(Dati!F876="","",Dati!F876)</f>
        <v/>
      </c>
      <c r="K876" s="19" t="str">
        <f>IF(OR(H876="",J876=""),"",IF(H876*J876=0,"",H876*J876))</f>
        <v/>
      </c>
      <c r="L876" s="19" t="str">
        <f>IF(A876="","",IFERROR(IF(SUMPRODUCT((ISNUMBER(A$2:A876))*(A$2:A876&gt;1000)*(MONTH(IF(ISNUMBER(A$2:A876),A$2:A876,1))=MONTH(A876))*(YEAR(IF(ISNUMBER(A$2:A876),A$2:A876,1))=YEAR(A876))*IF(ISNUMBER(K$2:K876),K$2:K876,0))=0,"",SUMPRODUCT((ISNUMBER(A$2:A876))*(A$2:A876&gt;1000)*(MONTH(IF(ISNUMBER(A$2:A876),A$2:A876,1))=MONTH(A876))*(YEAR(IF(ISNUMBER(A$2:A876),A$2:A876,1))=YEAR(A876))*IF(ISNUMBER(K$2:K876),K$2:K876,0))),""))</f>
        <v/>
      </c>
      <c r="M876" s="21" t="str">
        <f>IF(A876="","",IFERROR(IF(SUMIF(N$2:N876,"CASA",K$2:K876)=0,"",SUMIF(N$2:N876,"CASA",K$2:K876)),""))</f>
        <v/>
      </c>
      <c r="N876" s="17" t="str">
        <f>IF(J876="","",IF(J876=0.2,"CASA",IF(Dati!G876="","",Dati!G876)))</f>
        <v/>
      </c>
    </row>
    <row r="877" spans="1:14" ht="15" customHeight="1" x14ac:dyDescent="0.2">
      <c r="A877" s="23" t="str">
        <f>IF(Dati!A877="","",Dati!A877)</f>
        <v/>
      </c>
      <c r="B877" s="17" t="str">
        <f>IF(Dati!B877="","",Dati!B877)</f>
        <v/>
      </c>
      <c r="C877" s="17" t="str">
        <f>IF(B877="","",IF(ISNUMBER(B876),IF(B877-B876&lt;0,B877,IF(B877-B876=0,"",B877-B876)),B877))</f>
        <v/>
      </c>
      <c r="D877" s="18" t="str">
        <f>IF(Dati!C877="","",IF(Dati!C877&gt;1,Dati!C877/100,Dati!C877))</f>
        <v/>
      </c>
      <c r="E877" s="18" t="str">
        <f>IF(Dati!D877="","",IF(Dati!D877&gt;1,Dati!D877/100,Dati!D877))</f>
        <v/>
      </c>
      <c r="F877" s="18" t="str">
        <f>IF(OR(D877="",E877=""),"",IF(OR(D877&gt;1,E877&gt;1),(E877-D877)/100,E877-D877))</f>
        <v/>
      </c>
      <c r="G877" s="17" t="str">
        <f>IF(F877="","",IF(64*F877=0,"",64*F877))</f>
        <v/>
      </c>
      <c r="H877" s="19" t="str">
        <f>IF(Dati!E877="","",Dati!E877)</f>
        <v/>
      </c>
      <c r="I877" s="19" t="str">
        <f>IFERROR(IF(OR(C877="",C877=0),"",H877/C877*100),"")</f>
        <v/>
      </c>
      <c r="J877" s="20" t="str">
        <f>IF(Dati!F877="","",Dati!F877)</f>
        <v/>
      </c>
      <c r="K877" s="19" t="str">
        <f>IF(OR(H877="",J877=""),"",IF(H877*J877=0,"",H877*J877))</f>
        <v/>
      </c>
      <c r="L877" s="19" t="str">
        <f>IF(A877="","",IFERROR(IF(SUMPRODUCT((ISNUMBER(A$2:A877))*(A$2:A877&gt;1000)*(MONTH(IF(ISNUMBER(A$2:A877),A$2:A877,1))=MONTH(A877))*(YEAR(IF(ISNUMBER(A$2:A877),A$2:A877,1))=YEAR(A877))*IF(ISNUMBER(K$2:K877),K$2:K877,0))=0,"",SUMPRODUCT((ISNUMBER(A$2:A877))*(A$2:A877&gt;1000)*(MONTH(IF(ISNUMBER(A$2:A877),A$2:A877,1))=MONTH(A877))*(YEAR(IF(ISNUMBER(A$2:A877),A$2:A877,1))=YEAR(A877))*IF(ISNUMBER(K$2:K877),K$2:K877,0))),""))</f>
        <v/>
      </c>
      <c r="M877" s="21" t="str">
        <f>IF(A877="","",IFERROR(IF(SUMIF(N$2:N877,"CASA",K$2:K877)=0,"",SUMIF(N$2:N877,"CASA",K$2:K877)),""))</f>
        <v/>
      </c>
      <c r="N877" s="17" t="str">
        <f>IF(J877="","",IF(J877=0.2,"CASA",IF(Dati!G877="","",Dati!G877)))</f>
        <v/>
      </c>
    </row>
    <row r="878" spans="1:14" ht="15" customHeight="1" x14ac:dyDescent="0.2">
      <c r="A878" s="23" t="str">
        <f>IF(Dati!A878="","",Dati!A878)</f>
        <v/>
      </c>
      <c r="B878" s="17" t="str">
        <f>IF(Dati!B878="","",Dati!B878)</f>
        <v/>
      </c>
      <c r="C878" s="17" t="str">
        <f>IF(B878="","",IF(ISNUMBER(B877),IF(B878-B877&lt;0,B878,IF(B878-B877=0,"",B878-B877)),B878))</f>
        <v/>
      </c>
      <c r="D878" s="18" t="str">
        <f>IF(Dati!C878="","",IF(Dati!C878&gt;1,Dati!C878/100,Dati!C878))</f>
        <v/>
      </c>
      <c r="E878" s="18" t="str">
        <f>IF(Dati!D878="","",IF(Dati!D878&gt;1,Dati!D878/100,Dati!D878))</f>
        <v/>
      </c>
      <c r="F878" s="18" t="str">
        <f>IF(OR(D878="",E878=""),"",IF(OR(D878&gt;1,E878&gt;1),(E878-D878)/100,E878-D878))</f>
        <v/>
      </c>
      <c r="G878" s="17" t="str">
        <f>IF(F878="","",IF(64*F878=0,"",64*F878))</f>
        <v/>
      </c>
      <c r="H878" s="19" t="str">
        <f>IF(Dati!E878="","",Dati!E878)</f>
        <v/>
      </c>
      <c r="I878" s="19" t="str">
        <f>IFERROR(IF(OR(C878="",C878=0),"",H878/C878*100),"")</f>
        <v/>
      </c>
      <c r="J878" s="20" t="str">
        <f>IF(Dati!F878="","",Dati!F878)</f>
        <v/>
      </c>
      <c r="K878" s="19" t="str">
        <f>IF(OR(H878="",J878=""),"",IF(H878*J878=0,"",H878*J878))</f>
        <v/>
      </c>
      <c r="L878" s="19" t="str">
        <f>IF(A878="","",IFERROR(IF(SUMPRODUCT((ISNUMBER(A$2:A878))*(A$2:A878&gt;1000)*(MONTH(IF(ISNUMBER(A$2:A878),A$2:A878,1))=MONTH(A878))*(YEAR(IF(ISNUMBER(A$2:A878),A$2:A878,1))=YEAR(A878))*IF(ISNUMBER(K$2:K878),K$2:K878,0))=0,"",SUMPRODUCT((ISNUMBER(A$2:A878))*(A$2:A878&gt;1000)*(MONTH(IF(ISNUMBER(A$2:A878),A$2:A878,1))=MONTH(A878))*(YEAR(IF(ISNUMBER(A$2:A878),A$2:A878,1))=YEAR(A878))*IF(ISNUMBER(K$2:K878),K$2:K878,0))),""))</f>
        <v/>
      </c>
      <c r="M878" s="21" t="str">
        <f>IF(A878="","",IFERROR(IF(SUMIF(N$2:N878,"CASA",K$2:K878)=0,"",SUMIF(N$2:N878,"CASA",K$2:K878)),""))</f>
        <v/>
      </c>
      <c r="N878" s="17" t="str">
        <f>IF(J878="","",IF(J878=0.2,"CASA",IF(Dati!G878="","",Dati!G878)))</f>
        <v/>
      </c>
    </row>
    <row r="879" spans="1:14" ht="15" customHeight="1" x14ac:dyDescent="0.2">
      <c r="A879" s="23" t="str">
        <f>IF(Dati!A879="","",Dati!A879)</f>
        <v/>
      </c>
      <c r="B879" s="17" t="str">
        <f>IF(Dati!B879="","",Dati!B879)</f>
        <v/>
      </c>
      <c r="C879" s="17" t="str">
        <f>IF(B879="","",IF(ISNUMBER(B878),IF(B879-B878&lt;0,B879,IF(B879-B878=0,"",B879-B878)),B879))</f>
        <v/>
      </c>
      <c r="D879" s="18" t="str">
        <f>IF(Dati!C879="","",IF(Dati!C879&gt;1,Dati!C879/100,Dati!C879))</f>
        <v/>
      </c>
      <c r="E879" s="18" t="str">
        <f>IF(Dati!D879="","",IF(Dati!D879&gt;1,Dati!D879/100,Dati!D879))</f>
        <v/>
      </c>
      <c r="F879" s="18" t="str">
        <f>IF(OR(D879="",E879=""),"",IF(OR(D879&gt;1,E879&gt;1),(E879-D879)/100,E879-D879))</f>
        <v/>
      </c>
      <c r="G879" s="17" t="str">
        <f>IF(F879="","",IF(64*F879=0,"",64*F879))</f>
        <v/>
      </c>
      <c r="H879" s="19" t="str">
        <f>IF(Dati!E879="","",Dati!E879)</f>
        <v/>
      </c>
      <c r="I879" s="19" t="str">
        <f>IFERROR(IF(OR(C879="",C879=0),"",H879/C879*100),"")</f>
        <v/>
      </c>
      <c r="J879" s="20" t="str">
        <f>IF(Dati!F879="","",Dati!F879)</f>
        <v/>
      </c>
      <c r="K879" s="19" t="str">
        <f>IF(OR(H879="",J879=""),"",IF(H879*J879=0,"",H879*J879))</f>
        <v/>
      </c>
      <c r="L879" s="19" t="str">
        <f>IF(A879="","",IFERROR(IF(SUMPRODUCT((ISNUMBER(A$2:A879))*(A$2:A879&gt;1000)*(MONTH(IF(ISNUMBER(A$2:A879),A$2:A879,1))=MONTH(A879))*(YEAR(IF(ISNUMBER(A$2:A879),A$2:A879,1))=YEAR(A879))*IF(ISNUMBER(K$2:K879),K$2:K879,0))=0,"",SUMPRODUCT((ISNUMBER(A$2:A879))*(A$2:A879&gt;1000)*(MONTH(IF(ISNUMBER(A$2:A879),A$2:A879,1))=MONTH(A879))*(YEAR(IF(ISNUMBER(A$2:A879),A$2:A879,1))=YEAR(A879))*IF(ISNUMBER(K$2:K879),K$2:K879,0))),""))</f>
        <v/>
      </c>
      <c r="M879" s="21" t="str">
        <f>IF(A879="","",IFERROR(IF(SUMIF(N$2:N879,"CASA",K$2:K879)=0,"",SUMIF(N$2:N879,"CASA",K$2:K879)),""))</f>
        <v/>
      </c>
      <c r="N879" s="17" t="str">
        <f>IF(J879="","",IF(J879=0.2,"CASA",IF(Dati!G879="","",Dati!G879)))</f>
        <v/>
      </c>
    </row>
    <row r="880" spans="1:14" ht="15" customHeight="1" x14ac:dyDescent="0.2">
      <c r="A880" s="23" t="str">
        <f>IF(Dati!A880="","",Dati!A880)</f>
        <v/>
      </c>
      <c r="B880" s="17" t="str">
        <f>IF(Dati!B880="","",Dati!B880)</f>
        <v/>
      </c>
      <c r="C880" s="17" t="str">
        <f>IF(B880="","",IF(ISNUMBER(B879),IF(B880-B879&lt;0,B880,IF(B880-B879=0,"",B880-B879)),B880))</f>
        <v/>
      </c>
      <c r="D880" s="18" t="str">
        <f>IF(Dati!C880="","",IF(Dati!C880&gt;1,Dati!C880/100,Dati!C880))</f>
        <v/>
      </c>
      <c r="E880" s="18" t="str">
        <f>IF(Dati!D880="","",IF(Dati!D880&gt;1,Dati!D880/100,Dati!D880))</f>
        <v/>
      </c>
      <c r="F880" s="18" t="str">
        <f>IF(OR(D880="",E880=""),"",IF(OR(D880&gt;1,E880&gt;1),(E880-D880)/100,E880-D880))</f>
        <v/>
      </c>
      <c r="G880" s="17" t="str">
        <f>IF(F880="","",IF(64*F880=0,"",64*F880))</f>
        <v/>
      </c>
      <c r="H880" s="19" t="str">
        <f>IF(Dati!E880="","",Dati!E880)</f>
        <v/>
      </c>
      <c r="I880" s="19" t="str">
        <f>IFERROR(IF(OR(C880="",C880=0),"",H880/C880*100),"")</f>
        <v/>
      </c>
      <c r="J880" s="20" t="str">
        <f>IF(Dati!F880="","",Dati!F880)</f>
        <v/>
      </c>
      <c r="K880" s="19" t="str">
        <f>IF(OR(H880="",J880=""),"",IF(H880*J880=0,"",H880*J880))</f>
        <v/>
      </c>
      <c r="L880" s="19" t="str">
        <f>IF(A880="","",IFERROR(IF(SUMPRODUCT((ISNUMBER(A$2:A880))*(A$2:A880&gt;1000)*(MONTH(IF(ISNUMBER(A$2:A880),A$2:A880,1))=MONTH(A880))*(YEAR(IF(ISNUMBER(A$2:A880),A$2:A880,1))=YEAR(A880))*IF(ISNUMBER(K$2:K880),K$2:K880,0))=0,"",SUMPRODUCT((ISNUMBER(A$2:A880))*(A$2:A880&gt;1000)*(MONTH(IF(ISNUMBER(A$2:A880),A$2:A880,1))=MONTH(A880))*(YEAR(IF(ISNUMBER(A$2:A880),A$2:A880,1))=YEAR(A880))*IF(ISNUMBER(K$2:K880),K$2:K880,0))),""))</f>
        <v/>
      </c>
      <c r="M880" s="21" t="str">
        <f>IF(A880="","",IFERROR(IF(SUMIF(N$2:N880,"CASA",K$2:K880)=0,"",SUMIF(N$2:N880,"CASA",K$2:K880)),""))</f>
        <v/>
      </c>
      <c r="N880" s="17" t="str">
        <f>IF(J880="","",IF(J880=0.2,"CASA",IF(Dati!G880="","",Dati!G880)))</f>
        <v/>
      </c>
    </row>
    <row r="881" spans="1:14" ht="15" customHeight="1" x14ac:dyDescent="0.2">
      <c r="A881" s="23" t="str">
        <f>IF(Dati!A881="","",Dati!A881)</f>
        <v/>
      </c>
      <c r="B881" s="17" t="str">
        <f>IF(Dati!B881="","",Dati!B881)</f>
        <v/>
      </c>
      <c r="C881" s="17" t="str">
        <f>IF(B881="","",IF(ISNUMBER(B880),IF(B881-B880&lt;0,B881,IF(B881-B880=0,"",B881-B880)),B881))</f>
        <v/>
      </c>
      <c r="D881" s="18" t="str">
        <f>IF(Dati!C881="","",IF(Dati!C881&gt;1,Dati!C881/100,Dati!C881))</f>
        <v/>
      </c>
      <c r="E881" s="18" t="str">
        <f>IF(Dati!D881="","",IF(Dati!D881&gt;1,Dati!D881/100,Dati!D881))</f>
        <v/>
      </c>
      <c r="F881" s="18" t="str">
        <f>IF(OR(D881="",E881=""),"",IF(OR(D881&gt;1,E881&gt;1),(E881-D881)/100,E881-D881))</f>
        <v/>
      </c>
      <c r="G881" s="17" t="str">
        <f>IF(F881="","",IF(64*F881=0,"",64*F881))</f>
        <v/>
      </c>
      <c r="H881" s="19" t="str">
        <f>IF(Dati!E881="","",Dati!E881)</f>
        <v/>
      </c>
      <c r="I881" s="19" t="str">
        <f>IFERROR(IF(OR(C881="",C881=0),"",H881/C881*100),"")</f>
        <v/>
      </c>
      <c r="J881" s="20" t="str">
        <f>IF(Dati!F881="","",Dati!F881)</f>
        <v/>
      </c>
      <c r="K881" s="19" t="str">
        <f>IF(OR(H881="",J881=""),"",IF(H881*J881=0,"",H881*J881))</f>
        <v/>
      </c>
      <c r="L881" s="19" t="str">
        <f>IF(A881="","",IFERROR(IF(SUMPRODUCT((ISNUMBER(A$2:A881))*(A$2:A881&gt;1000)*(MONTH(IF(ISNUMBER(A$2:A881),A$2:A881,1))=MONTH(A881))*(YEAR(IF(ISNUMBER(A$2:A881),A$2:A881,1))=YEAR(A881))*IF(ISNUMBER(K$2:K881),K$2:K881,0))=0,"",SUMPRODUCT((ISNUMBER(A$2:A881))*(A$2:A881&gt;1000)*(MONTH(IF(ISNUMBER(A$2:A881),A$2:A881,1))=MONTH(A881))*(YEAR(IF(ISNUMBER(A$2:A881),A$2:A881,1))=YEAR(A881))*IF(ISNUMBER(K$2:K881),K$2:K881,0))),""))</f>
        <v/>
      </c>
      <c r="M881" s="21" t="str">
        <f>IF(A881="","",IFERROR(IF(SUMIF(N$2:N881,"CASA",K$2:K881)=0,"",SUMIF(N$2:N881,"CASA",K$2:K881)),""))</f>
        <v/>
      </c>
      <c r="N881" s="17" t="str">
        <f>IF(J881="","",IF(J881=0.2,"CASA",IF(Dati!G881="","",Dati!G881)))</f>
        <v/>
      </c>
    </row>
    <row r="882" spans="1:14" ht="15" customHeight="1" x14ac:dyDescent="0.2">
      <c r="A882" s="23" t="str">
        <f>IF(Dati!A882="","",Dati!A882)</f>
        <v/>
      </c>
      <c r="B882" s="17" t="str">
        <f>IF(Dati!B882="","",Dati!B882)</f>
        <v/>
      </c>
      <c r="C882" s="17" t="str">
        <f>IF(B882="","",IF(ISNUMBER(B881),IF(B882-B881&lt;0,B882,IF(B882-B881=0,"",B882-B881)),B882))</f>
        <v/>
      </c>
      <c r="D882" s="18" t="str">
        <f>IF(Dati!C882="","",IF(Dati!C882&gt;1,Dati!C882/100,Dati!C882))</f>
        <v/>
      </c>
      <c r="E882" s="18" t="str">
        <f>IF(Dati!D882="","",IF(Dati!D882&gt;1,Dati!D882/100,Dati!D882))</f>
        <v/>
      </c>
      <c r="F882" s="18" t="str">
        <f>IF(OR(D882="",E882=""),"",IF(OR(D882&gt;1,E882&gt;1),(E882-D882)/100,E882-D882))</f>
        <v/>
      </c>
      <c r="G882" s="17" t="str">
        <f>IF(F882="","",IF(64*F882=0,"",64*F882))</f>
        <v/>
      </c>
      <c r="H882" s="19" t="str">
        <f>IF(Dati!E882="","",Dati!E882)</f>
        <v/>
      </c>
      <c r="I882" s="19" t="str">
        <f>IFERROR(IF(OR(C882="",C882=0),"",H882/C882*100),"")</f>
        <v/>
      </c>
      <c r="J882" s="20" t="str">
        <f>IF(Dati!F882="","",Dati!F882)</f>
        <v/>
      </c>
      <c r="K882" s="19" t="str">
        <f>IF(OR(H882="",J882=""),"",IF(H882*J882=0,"",H882*J882))</f>
        <v/>
      </c>
      <c r="L882" s="19" t="str">
        <f>IF(A882="","",IFERROR(IF(SUMPRODUCT((ISNUMBER(A$2:A882))*(A$2:A882&gt;1000)*(MONTH(IF(ISNUMBER(A$2:A882),A$2:A882,1))=MONTH(A882))*(YEAR(IF(ISNUMBER(A$2:A882),A$2:A882,1))=YEAR(A882))*IF(ISNUMBER(K$2:K882),K$2:K882,0))=0,"",SUMPRODUCT((ISNUMBER(A$2:A882))*(A$2:A882&gt;1000)*(MONTH(IF(ISNUMBER(A$2:A882),A$2:A882,1))=MONTH(A882))*(YEAR(IF(ISNUMBER(A$2:A882),A$2:A882,1))=YEAR(A882))*IF(ISNUMBER(K$2:K882),K$2:K882,0))),""))</f>
        <v/>
      </c>
      <c r="M882" s="21" t="str">
        <f>IF(A882="","",IFERROR(IF(SUMIF(N$2:N882,"CASA",K$2:K882)=0,"",SUMIF(N$2:N882,"CASA",K$2:K882)),""))</f>
        <v/>
      </c>
      <c r="N882" s="17" t="str">
        <f>IF(J882="","",IF(J882=0.2,"CASA",IF(Dati!G882="","",Dati!G882)))</f>
        <v/>
      </c>
    </row>
    <row r="883" spans="1:14" ht="15" customHeight="1" x14ac:dyDescent="0.2">
      <c r="A883" s="23" t="str">
        <f>IF(Dati!A883="","",Dati!A883)</f>
        <v/>
      </c>
      <c r="B883" s="17" t="str">
        <f>IF(Dati!B883="","",Dati!B883)</f>
        <v/>
      </c>
      <c r="C883" s="17" t="str">
        <f>IF(B883="","",IF(ISNUMBER(B882),IF(B883-B882&lt;0,B883,IF(B883-B882=0,"",B883-B882)),B883))</f>
        <v/>
      </c>
      <c r="D883" s="18" t="str">
        <f>IF(Dati!C883="","",IF(Dati!C883&gt;1,Dati!C883/100,Dati!C883))</f>
        <v/>
      </c>
      <c r="E883" s="18" t="str">
        <f>IF(Dati!D883="","",IF(Dati!D883&gt;1,Dati!D883/100,Dati!D883))</f>
        <v/>
      </c>
      <c r="F883" s="18" t="str">
        <f>IF(OR(D883="",E883=""),"",IF(OR(D883&gt;1,E883&gt;1),(E883-D883)/100,E883-D883))</f>
        <v/>
      </c>
      <c r="G883" s="17" t="str">
        <f>IF(F883="","",IF(64*F883=0,"",64*F883))</f>
        <v/>
      </c>
      <c r="H883" s="19" t="str">
        <f>IF(Dati!E883="","",Dati!E883)</f>
        <v/>
      </c>
      <c r="I883" s="19" t="str">
        <f>IFERROR(IF(OR(C883="",C883=0),"",H883/C883*100),"")</f>
        <v/>
      </c>
      <c r="J883" s="20" t="str">
        <f>IF(Dati!F883="","",Dati!F883)</f>
        <v/>
      </c>
      <c r="K883" s="19" t="str">
        <f>IF(OR(H883="",J883=""),"",IF(H883*J883=0,"",H883*J883))</f>
        <v/>
      </c>
      <c r="L883" s="19" t="str">
        <f>IF(A883="","",IFERROR(IF(SUMPRODUCT((ISNUMBER(A$2:A883))*(A$2:A883&gt;1000)*(MONTH(IF(ISNUMBER(A$2:A883),A$2:A883,1))=MONTH(A883))*(YEAR(IF(ISNUMBER(A$2:A883),A$2:A883,1))=YEAR(A883))*IF(ISNUMBER(K$2:K883),K$2:K883,0))=0,"",SUMPRODUCT((ISNUMBER(A$2:A883))*(A$2:A883&gt;1000)*(MONTH(IF(ISNUMBER(A$2:A883),A$2:A883,1))=MONTH(A883))*(YEAR(IF(ISNUMBER(A$2:A883),A$2:A883,1))=YEAR(A883))*IF(ISNUMBER(K$2:K883),K$2:K883,0))),""))</f>
        <v/>
      </c>
      <c r="M883" s="21" t="str">
        <f>IF(A883="","",IFERROR(IF(SUMIF(N$2:N883,"CASA",K$2:K883)=0,"",SUMIF(N$2:N883,"CASA",K$2:K883)),""))</f>
        <v/>
      </c>
      <c r="N883" s="17" t="str">
        <f>IF(J883="","",IF(J883=0.2,"CASA",IF(Dati!G883="","",Dati!G883)))</f>
        <v/>
      </c>
    </row>
    <row r="884" spans="1:14" ht="15" customHeight="1" x14ac:dyDescent="0.2">
      <c r="A884" s="23" t="str">
        <f>IF(Dati!A884="","",Dati!A884)</f>
        <v/>
      </c>
      <c r="B884" s="17" t="str">
        <f>IF(Dati!B884="","",Dati!B884)</f>
        <v/>
      </c>
      <c r="C884" s="17" t="str">
        <f>IF(B884="","",IF(ISNUMBER(B883),IF(B884-B883&lt;0,B884,IF(B884-B883=0,"",B884-B883)),B884))</f>
        <v/>
      </c>
      <c r="D884" s="18" t="str">
        <f>IF(Dati!C884="","",IF(Dati!C884&gt;1,Dati!C884/100,Dati!C884))</f>
        <v/>
      </c>
      <c r="E884" s="18" t="str">
        <f>IF(Dati!D884="","",IF(Dati!D884&gt;1,Dati!D884/100,Dati!D884))</f>
        <v/>
      </c>
      <c r="F884" s="18" t="str">
        <f>IF(OR(D884="",E884=""),"",IF(OR(D884&gt;1,E884&gt;1),(E884-D884)/100,E884-D884))</f>
        <v/>
      </c>
      <c r="G884" s="17" t="str">
        <f>IF(F884="","",IF(64*F884=0,"",64*F884))</f>
        <v/>
      </c>
      <c r="H884" s="19" t="str">
        <f>IF(Dati!E884="","",Dati!E884)</f>
        <v/>
      </c>
      <c r="I884" s="19" t="str">
        <f>IFERROR(IF(OR(C884="",C884=0),"",H884/C884*100),"")</f>
        <v/>
      </c>
      <c r="J884" s="20" t="str">
        <f>IF(Dati!F884="","",Dati!F884)</f>
        <v/>
      </c>
      <c r="K884" s="19" t="str">
        <f>IF(OR(H884="",J884=""),"",IF(H884*J884=0,"",H884*J884))</f>
        <v/>
      </c>
      <c r="L884" s="19" t="str">
        <f>IF(A884="","",IFERROR(IF(SUMPRODUCT((ISNUMBER(A$2:A884))*(A$2:A884&gt;1000)*(MONTH(IF(ISNUMBER(A$2:A884),A$2:A884,1))=MONTH(A884))*(YEAR(IF(ISNUMBER(A$2:A884),A$2:A884,1))=YEAR(A884))*IF(ISNUMBER(K$2:K884),K$2:K884,0))=0,"",SUMPRODUCT((ISNUMBER(A$2:A884))*(A$2:A884&gt;1000)*(MONTH(IF(ISNUMBER(A$2:A884),A$2:A884,1))=MONTH(A884))*(YEAR(IF(ISNUMBER(A$2:A884),A$2:A884,1))=YEAR(A884))*IF(ISNUMBER(K$2:K884),K$2:K884,0))),""))</f>
        <v/>
      </c>
      <c r="M884" s="21" t="str">
        <f>IF(A884="","",IFERROR(IF(SUMIF(N$2:N884,"CASA",K$2:K884)=0,"",SUMIF(N$2:N884,"CASA",K$2:K884)),""))</f>
        <v/>
      </c>
      <c r="N884" s="17" t="str">
        <f>IF(J884="","",IF(J884=0.2,"CASA",IF(Dati!G884="","",Dati!G884)))</f>
        <v/>
      </c>
    </row>
    <row r="885" spans="1:14" ht="15" customHeight="1" x14ac:dyDescent="0.2">
      <c r="A885" s="23" t="str">
        <f>IF(Dati!A885="","",Dati!A885)</f>
        <v/>
      </c>
      <c r="B885" s="17" t="str">
        <f>IF(Dati!B885="","",Dati!B885)</f>
        <v/>
      </c>
      <c r="C885" s="17" t="str">
        <f>IF(B885="","",IF(ISNUMBER(B884),IF(B885-B884&lt;0,B885,IF(B885-B884=0,"",B885-B884)),B885))</f>
        <v/>
      </c>
      <c r="D885" s="18" t="str">
        <f>IF(Dati!C885="","",IF(Dati!C885&gt;1,Dati!C885/100,Dati!C885))</f>
        <v/>
      </c>
      <c r="E885" s="18" t="str">
        <f>IF(Dati!D885="","",IF(Dati!D885&gt;1,Dati!D885/100,Dati!D885))</f>
        <v/>
      </c>
      <c r="F885" s="18" t="str">
        <f>IF(OR(D885="",E885=""),"",IF(OR(D885&gt;1,E885&gt;1),(E885-D885)/100,E885-D885))</f>
        <v/>
      </c>
      <c r="G885" s="17" t="str">
        <f>IF(F885="","",IF(64*F885=0,"",64*F885))</f>
        <v/>
      </c>
      <c r="H885" s="19" t="str">
        <f>IF(Dati!E885="","",Dati!E885)</f>
        <v/>
      </c>
      <c r="I885" s="19" t="str">
        <f>IFERROR(IF(OR(C885="",C885=0),"",H885/C885*100),"")</f>
        <v/>
      </c>
      <c r="J885" s="20" t="str">
        <f>IF(Dati!F885="","",Dati!F885)</f>
        <v/>
      </c>
      <c r="K885" s="19" t="str">
        <f>IF(OR(H885="",J885=""),"",IF(H885*J885=0,"",H885*J885))</f>
        <v/>
      </c>
      <c r="L885" s="19" t="str">
        <f>IF(A885="","",IFERROR(IF(SUMPRODUCT((ISNUMBER(A$2:A885))*(A$2:A885&gt;1000)*(MONTH(IF(ISNUMBER(A$2:A885),A$2:A885,1))=MONTH(A885))*(YEAR(IF(ISNUMBER(A$2:A885),A$2:A885,1))=YEAR(A885))*IF(ISNUMBER(K$2:K885),K$2:K885,0))=0,"",SUMPRODUCT((ISNUMBER(A$2:A885))*(A$2:A885&gt;1000)*(MONTH(IF(ISNUMBER(A$2:A885),A$2:A885,1))=MONTH(A885))*(YEAR(IF(ISNUMBER(A$2:A885),A$2:A885,1))=YEAR(A885))*IF(ISNUMBER(K$2:K885),K$2:K885,0))),""))</f>
        <v/>
      </c>
      <c r="M885" s="21" t="str">
        <f>IF(A885="","",IFERROR(IF(SUMIF(N$2:N885,"CASA",K$2:K885)=0,"",SUMIF(N$2:N885,"CASA",K$2:K885)),""))</f>
        <v/>
      </c>
      <c r="N885" s="17" t="str">
        <f>IF(J885="","",IF(J885=0.2,"CASA",IF(Dati!G885="","",Dati!G885)))</f>
        <v/>
      </c>
    </row>
    <row r="886" spans="1:14" ht="15" customHeight="1" x14ac:dyDescent="0.2">
      <c r="A886" s="23" t="str">
        <f>IF(Dati!A886="","",Dati!A886)</f>
        <v/>
      </c>
      <c r="B886" s="17" t="str">
        <f>IF(Dati!B886="","",Dati!B886)</f>
        <v/>
      </c>
      <c r="C886" s="17" t="str">
        <f>IF(B886="","",IF(ISNUMBER(B885),IF(B886-B885&lt;0,B886,IF(B886-B885=0,"",B886-B885)),B886))</f>
        <v/>
      </c>
      <c r="D886" s="18" t="str">
        <f>IF(Dati!C886="","",IF(Dati!C886&gt;1,Dati!C886/100,Dati!C886))</f>
        <v/>
      </c>
      <c r="E886" s="18" t="str">
        <f>IF(Dati!D886="","",IF(Dati!D886&gt;1,Dati!D886/100,Dati!D886))</f>
        <v/>
      </c>
      <c r="F886" s="18" t="str">
        <f>IF(OR(D886="",E886=""),"",IF(OR(D886&gt;1,E886&gt;1),(E886-D886)/100,E886-D886))</f>
        <v/>
      </c>
      <c r="G886" s="17" t="str">
        <f>IF(F886="","",IF(64*F886=0,"",64*F886))</f>
        <v/>
      </c>
      <c r="H886" s="19" t="str">
        <f>IF(Dati!E886="","",Dati!E886)</f>
        <v/>
      </c>
      <c r="I886" s="19" t="str">
        <f>IFERROR(IF(OR(C886="",C886=0),"",H886/C886*100),"")</f>
        <v/>
      </c>
      <c r="J886" s="20" t="str">
        <f>IF(Dati!F886="","",Dati!F886)</f>
        <v/>
      </c>
      <c r="K886" s="19" t="str">
        <f>IF(OR(H886="",J886=""),"",IF(H886*J886=0,"",H886*J886))</f>
        <v/>
      </c>
      <c r="L886" s="19" t="str">
        <f>IF(A886="","",IFERROR(IF(SUMPRODUCT((ISNUMBER(A$2:A886))*(A$2:A886&gt;1000)*(MONTH(IF(ISNUMBER(A$2:A886),A$2:A886,1))=MONTH(A886))*(YEAR(IF(ISNUMBER(A$2:A886),A$2:A886,1))=YEAR(A886))*IF(ISNUMBER(K$2:K886),K$2:K886,0))=0,"",SUMPRODUCT((ISNUMBER(A$2:A886))*(A$2:A886&gt;1000)*(MONTH(IF(ISNUMBER(A$2:A886),A$2:A886,1))=MONTH(A886))*(YEAR(IF(ISNUMBER(A$2:A886),A$2:A886,1))=YEAR(A886))*IF(ISNUMBER(K$2:K886),K$2:K886,0))),""))</f>
        <v/>
      </c>
      <c r="M886" s="21" t="str">
        <f>IF(A886="","",IFERROR(IF(SUMIF(N$2:N886,"CASA",K$2:K886)=0,"",SUMIF(N$2:N886,"CASA",K$2:K886)),""))</f>
        <v/>
      </c>
      <c r="N886" s="17" t="str">
        <f>IF(J886="","",IF(J886=0.2,"CASA",IF(Dati!G886="","",Dati!G886)))</f>
        <v/>
      </c>
    </row>
    <row r="887" spans="1:14" ht="15" customHeight="1" x14ac:dyDescent="0.2">
      <c r="A887" s="23" t="str">
        <f>IF(Dati!A887="","",Dati!A887)</f>
        <v/>
      </c>
      <c r="B887" s="17" t="str">
        <f>IF(Dati!B887="","",Dati!B887)</f>
        <v/>
      </c>
      <c r="C887" s="17" t="str">
        <f>IF(B887="","",IF(ISNUMBER(B886),IF(B887-B886&lt;0,B887,IF(B887-B886=0,"",B887-B886)),B887))</f>
        <v/>
      </c>
      <c r="D887" s="18" t="str">
        <f>IF(Dati!C887="","",IF(Dati!C887&gt;1,Dati!C887/100,Dati!C887))</f>
        <v/>
      </c>
      <c r="E887" s="18" t="str">
        <f>IF(Dati!D887="","",IF(Dati!D887&gt;1,Dati!D887/100,Dati!D887))</f>
        <v/>
      </c>
      <c r="F887" s="18" t="str">
        <f>IF(OR(D887="",E887=""),"",IF(OR(D887&gt;1,E887&gt;1),(E887-D887)/100,E887-D887))</f>
        <v/>
      </c>
      <c r="G887" s="17" t="str">
        <f>IF(F887="","",IF(64*F887=0,"",64*F887))</f>
        <v/>
      </c>
      <c r="H887" s="19" t="str">
        <f>IF(Dati!E887="","",Dati!E887)</f>
        <v/>
      </c>
      <c r="I887" s="19" t="str">
        <f>IFERROR(IF(OR(C887="",C887=0),"",H887/C887*100),"")</f>
        <v/>
      </c>
      <c r="J887" s="20" t="str">
        <f>IF(Dati!F887="","",Dati!F887)</f>
        <v/>
      </c>
      <c r="K887" s="19" t="str">
        <f>IF(OR(H887="",J887=""),"",IF(H887*J887=0,"",H887*J887))</f>
        <v/>
      </c>
      <c r="L887" s="19" t="str">
        <f>IF(A887="","",IFERROR(IF(SUMPRODUCT((ISNUMBER(A$2:A887))*(A$2:A887&gt;1000)*(MONTH(IF(ISNUMBER(A$2:A887),A$2:A887,1))=MONTH(A887))*(YEAR(IF(ISNUMBER(A$2:A887),A$2:A887,1))=YEAR(A887))*IF(ISNUMBER(K$2:K887),K$2:K887,0))=0,"",SUMPRODUCT((ISNUMBER(A$2:A887))*(A$2:A887&gt;1000)*(MONTH(IF(ISNUMBER(A$2:A887),A$2:A887,1))=MONTH(A887))*(YEAR(IF(ISNUMBER(A$2:A887),A$2:A887,1))=YEAR(A887))*IF(ISNUMBER(K$2:K887),K$2:K887,0))),""))</f>
        <v/>
      </c>
      <c r="M887" s="21" t="str">
        <f>IF(A887="","",IFERROR(IF(SUMIF(N$2:N887,"CASA",K$2:K887)=0,"",SUMIF(N$2:N887,"CASA",K$2:K887)),""))</f>
        <v/>
      </c>
      <c r="N887" s="17" t="str">
        <f>IF(J887="","",IF(J887=0.2,"CASA",IF(Dati!G887="","",Dati!G887)))</f>
        <v/>
      </c>
    </row>
    <row r="888" spans="1:14" ht="15" customHeight="1" x14ac:dyDescent="0.2">
      <c r="A888" s="23" t="str">
        <f>IF(Dati!A888="","",Dati!A888)</f>
        <v/>
      </c>
      <c r="B888" s="17" t="str">
        <f>IF(Dati!B888="","",Dati!B888)</f>
        <v/>
      </c>
      <c r="C888" s="17" t="str">
        <f>IF(B888="","",IF(ISNUMBER(B887),IF(B888-B887&lt;0,B888,IF(B888-B887=0,"",B888-B887)),B888))</f>
        <v/>
      </c>
      <c r="D888" s="18" t="str">
        <f>IF(Dati!C888="","",IF(Dati!C888&gt;1,Dati!C888/100,Dati!C888))</f>
        <v/>
      </c>
      <c r="E888" s="18" t="str">
        <f>IF(Dati!D888="","",IF(Dati!D888&gt;1,Dati!D888/100,Dati!D888))</f>
        <v/>
      </c>
      <c r="F888" s="18" t="str">
        <f>IF(OR(D888="",E888=""),"",IF(OR(D888&gt;1,E888&gt;1),(E888-D888)/100,E888-D888))</f>
        <v/>
      </c>
      <c r="G888" s="17" t="str">
        <f>IF(F888="","",IF(64*F888=0,"",64*F888))</f>
        <v/>
      </c>
      <c r="H888" s="19" t="str">
        <f>IF(Dati!E888="","",Dati!E888)</f>
        <v/>
      </c>
      <c r="I888" s="19" t="str">
        <f>IFERROR(IF(OR(C888="",C888=0),"",H888/C888*100),"")</f>
        <v/>
      </c>
      <c r="J888" s="20" t="str">
        <f>IF(Dati!F888="","",Dati!F888)</f>
        <v/>
      </c>
      <c r="K888" s="19" t="str">
        <f>IF(OR(H888="",J888=""),"",IF(H888*J888=0,"",H888*J888))</f>
        <v/>
      </c>
      <c r="L888" s="19" t="str">
        <f>IF(A888="","",IFERROR(IF(SUMPRODUCT((ISNUMBER(A$2:A888))*(A$2:A888&gt;1000)*(MONTH(IF(ISNUMBER(A$2:A888),A$2:A888,1))=MONTH(A888))*(YEAR(IF(ISNUMBER(A$2:A888),A$2:A888,1))=YEAR(A888))*IF(ISNUMBER(K$2:K888),K$2:K888,0))=0,"",SUMPRODUCT((ISNUMBER(A$2:A888))*(A$2:A888&gt;1000)*(MONTH(IF(ISNUMBER(A$2:A888),A$2:A888,1))=MONTH(A888))*(YEAR(IF(ISNUMBER(A$2:A888),A$2:A888,1))=YEAR(A888))*IF(ISNUMBER(K$2:K888),K$2:K888,0))),""))</f>
        <v/>
      </c>
      <c r="M888" s="21" t="str">
        <f>IF(A888="","",IFERROR(IF(SUMIF(N$2:N888,"CASA",K$2:K888)=0,"",SUMIF(N$2:N888,"CASA",K$2:K888)),""))</f>
        <v/>
      </c>
      <c r="N888" s="17" t="str">
        <f>IF(J888="","",IF(J888=0.2,"CASA",IF(Dati!G888="","",Dati!G888)))</f>
        <v/>
      </c>
    </row>
    <row r="889" spans="1:14" ht="15" customHeight="1" x14ac:dyDescent="0.2">
      <c r="A889" s="23" t="str">
        <f>IF(Dati!A889="","",Dati!A889)</f>
        <v/>
      </c>
      <c r="B889" s="17" t="str">
        <f>IF(Dati!B889="","",Dati!B889)</f>
        <v/>
      </c>
      <c r="C889" s="17" t="str">
        <f>IF(B889="","",IF(ISNUMBER(B888),IF(B889-B888&lt;0,B889,IF(B889-B888=0,"",B889-B888)),B889))</f>
        <v/>
      </c>
      <c r="D889" s="18" t="str">
        <f>IF(Dati!C889="","",IF(Dati!C889&gt;1,Dati!C889/100,Dati!C889))</f>
        <v/>
      </c>
      <c r="E889" s="18" t="str">
        <f>IF(Dati!D889="","",IF(Dati!D889&gt;1,Dati!D889/100,Dati!D889))</f>
        <v/>
      </c>
      <c r="F889" s="18" t="str">
        <f>IF(OR(D889="",E889=""),"",IF(OR(D889&gt;1,E889&gt;1),(E889-D889)/100,E889-D889))</f>
        <v/>
      </c>
      <c r="G889" s="17" t="str">
        <f>IF(F889="","",IF(64*F889=0,"",64*F889))</f>
        <v/>
      </c>
      <c r="H889" s="19" t="str">
        <f>IF(Dati!E889="","",Dati!E889)</f>
        <v/>
      </c>
      <c r="I889" s="19" t="str">
        <f>IFERROR(IF(OR(C889="",C889=0),"",H889/C889*100),"")</f>
        <v/>
      </c>
      <c r="J889" s="20" t="str">
        <f>IF(Dati!F889="","",Dati!F889)</f>
        <v/>
      </c>
      <c r="K889" s="19" t="str">
        <f>IF(OR(H889="",J889=""),"",IF(H889*J889=0,"",H889*J889))</f>
        <v/>
      </c>
      <c r="L889" s="19" t="str">
        <f>IF(A889="","",IFERROR(IF(SUMPRODUCT((ISNUMBER(A$2:A889))*(A$2:A889&gt;1000)*(MONTH(IF(ISNUMBER(A$2:A889),A$2:A889,1))=MONTH(A889))*(YEAR(IF(ISNUMBER(A$2:A889),A$2:A889,1))=YEAR(A889))*IF(ISNUMBER(K$2:K889),K$2:K889,0))=0,"",SUMPRODUCT((ISNUMBER(A$2:A889))*(A$2:A889&gt;1000)*(MONTH(IF(ISNUMBER(A$2:A889),A$2:A889,1))=MONTH(A889))*(YEAR(IF(ISNUMBER(A$2:A889),A$2:A889,1))=YEAR(A889))*IF(ISNUMBER(K$2:K889),K$2:K889,0))),""))</f>
        <v/>
      </c>
      <c r="M889" s="21" t="str">
        <f>IF(A889="","",IFERROR(IF(SUMIF(N$2:N889,"CASA",K$2:K889)=0,"",SUMIF(N$2:N889,"CASA",K$2:K889)),""))</f>
        <v/>
      </c>
      <c r="N889" s="17" t="str">
        <f>IF(J889="","",IF(J889=0.2,"CASA",IF(Dati!G889="","",Dati!G889)))</f>
        <v/>
      </c>
    </row>
    <row r="890" spans="1:14" ht="15" customHeight="1" x14ac:dyDescent="0.2">
      <c r="A890" s="23" t="str">
        <f>IF(Dati!A890="","",Dati!A890)</f>
        <v/>
      </c>
      <c r="B890" s="17" t="str">
        <f>IF(Dati!B890="","",Dati!B890)</f>
        <v/>
      </c>
      <c r="C890" s="17" t="str">
        <f>IF(B890="","",IF(ISNUMBER(B889),IF(B890-B889&lt;0,B890,IF(B890-B889=0,"",B890-B889)),B890))</f>
        <v/>
      </c>
      <c r="D890" s="18" t="str">
        <f>IF(Dati!C890="","",IF(Dati!C890&gt;1,Dati!C890/100,Dati!C890))</f>
        <v/>
      </c>
      <c r="E890" s="18" t="str">
        <f>IF(Dati!D890="","",IF(Dati!D890&gt;1,Dati!D890/100,Dati!D890))</f>
        <v/>
      </c>
      <c r="F890" s="18" t="str">
        <f>IF(OR(D890="",E890=""),"",IF(OR(D890&gt;1,E890&gt;1),(E890-D890)/100,E890-D890))</f>
        <v/>
      </c>
      <c r="G890" s="17" t="str">
        <f>IF(F890="","",IF(64*F890=0,"",64*F890))</f>
        <v/>
      </c>
      <c r="H890" s="19" t="str">
        <f>IF(Dati!E890="","",Dati!E890)</f>
        <v/>
      </c>
      <c r="I890" s="19" t="str">
        <f>IFERROR(IF(OR(C890="",C890=0),"",H890/C890*100),"")</f>
        <v/>
      </c>
      <c r="J890" s="20" t="str">
        <f>IF(Dati!F890="","",Dati!F890)</f>
        <v/>
      </c>
      <c r="K890" s="19" t="str">
        <f>IF(OR(H890="",J890=""),"",IF(H890*J890=0,"",H890*J890))</f>
        <v/>
      </c>
      <c r="L890" s="19" t="str">
        <f>IF(A890="","",IFERROR(IF(SUMPRODUCT((ISNUMBER(A$2:A890))*(A$2:A890&gt;1000)*(MONTH(IF(ISNUMBER(A$2:A890),A$2:A890,1))=MONTH(A890))*(YEAR(IF(ISNUMBER(A$2:A890),A$2:A890,1))=YEAR(A890))*IF(ISNUMBER(K$2:K890),K$2:K890,0))=0,"",SUMPRODUCT((ISNUMBER(A$2:A890))*(A$2:A890&gt;1000)*(MONTH(IF(ISNUMBER(A$2:A890),A$2:A890,1))=MONTH(A890))*(YEAR(IF(ISNUMBER(A$2:A890),A$2:A890,1))=YEAR(A890))*IF(ISNUMBER(K$2:K890),K$2:K890,0))),""))</f>
        <v/>
      </c>
      <c r="M890" s="21" t="str">
        <f>IF(A890="","",IFERROR(IF(SUMIF(N$2:N890,"CASA",K$2:K890)=0,"",SUMIF(N$2:N890,"CASA",K$2:K890)),""))</f>
        <v/>
      </c>
      <c r="N890" s="17" t="str">
        <f>IF(J890="","",IF(J890=0.2,"CASA",IF(Dati!G890="","",Dati!G890)))</f>
        <v/>
      </c>
    </row>
    <row r="891" spans="1:14" ht="15" customHeight="1" x14ac:dyDescent="0.2">
      <c r="A891" s="23" t="str">
        <f>IF(Dati!A891="","",Dati!A891)</f>
        <v/>
      </c>
      <c r="B891" s="17" t="str">
        <f>IF(Dati!B891="","",Dati!B891)</f>
        <v/>
      </c>
      <c r="C891" s="17" t="str">
        <f>IF(B891="","",IF(ISNUMBER(B890),IF(B891-B890&lt;0,B891,IF(B891-B890=0,"",B891-B890)),B891))</f>
        <v/>
      </c>
      <c r="D891" s="18" t="str">
        <f>IF(Dati!C891="","",IF(Dati!C891&gt;1,Dati!C891/100,Dati!C891))</f>
        <v/>
      </c>
      <c r="E891" s="18" t="str">
        <f>IF(Dati!D891="","",IF(Dati!D891&gt;1,Dati!D891/100,Dati!D891))</f>
        <v/>
      </c>
      <c r="F891" s="18" t="str">
        <f>IF(OR(D891="",E891=""),"",IF(OR(D891&gt;1,E891&gt;1),(E891-D891)/100,E891-D891))</f>
        <v/>
      </c>
      <c r="G891" s="17" t="str">
        <f>IF(F891="","",IF(64*F891=0,"",64*F891))</f>
        <v/>
      </c>
      <c r="H891" s="19" t="str">
        <f>IF(Dati!E891="","",Dati!E891)</f>
        <v/>
      </c>
      <c r="I891" s="19" t="str">
        <f>IFERROR(IF(OR(C891="",C891=0),"",H891/C891*100),"")</f>
        <v/>
      </c>
      <c r="J891" s="20" t="str">
        <f>IF(Dati!F891="","",Dati!F891)</f>
        <v/>
      </c>
      <c r="K891" s="19" t="str">
        <f>IF(OR(H891="",J891=""),"",IF(H891*J891=0,"",H891*J891))</f>
        <v/>
      </c>
      <c r="L891" s="19" t="str">
        <f>IF(A891="","",IFERROR(IF(SUMPRODUCT((ISNUMBER(A$2:A891))*(A$2:A891&gt;1000)*(MONTH(IF(ISNUMBER(A$2:A891),A$2:A891,1))=MONTH(A891))*(YEAR(IF(ISNUMBER(A$2:A891),A$2:A891,1))=YEAR(A891))*IF(ISNUMBER(K$2:K891),K$2:K891,0))=0,"",SUMPRODUCT((ISNUMBER(A$2:A891))*(A$2:A891&gt;1000)*(MONTH(IF(ISNUMBER(A$2:A891),A$2:A891,1))=MONTH(A891))*(YEAR(IF(ISNUMBER(A$2:A891),A$2:A891,1))=YEAR(A891))*IF(ISNUMBER(K$2:K891),K$2:K891,0))),""))</f>
        <v/>
      </c>
      <c r="M891" s="21" t="str">
        <f>IF(A891="","",IFERROR(IF(SUMIF(N$2:N891,"CASA",K$2:K891)=0,"",SUMIF(N$2:N891,"CASA",K$2:K891)),""))</f>
        <v/>
      </c>
      <c r="N891" s="17" t="str">
        <f>IF(J891="","",IF(J891=0.2,"CASA",IF(Dati!G891="","",Dati!G891)))</f>
        <v/>
      </c>
    </row>
    <row r="892" spans="1:14" ht="15" customHeight="1" x14ac:dyDescent="0.2">
      <c r="A892" s="23" t="str">
        <f>IF(Dati!A892="","",Dati!A892)</f>
        <v/>
      </c>
      <c r="B892" s="17" t="str">
        <f>IF(Dati!B892="","",Dati!B892)</f>
        <v/>
      </c>
      <c r="C892" s="17" t="str">
        <f>IF(B892="","",IF(ISNUMBER(B891),IF(B892-B891&lt;0,B892,IF(B892-B891=0,"",B892-B891)),B892))</f>
        <v/>
      </c>
      <c r="D892" s="18" t="str">
        <f>IF(Dati!C892="","",IF(Dati!C892&gt;1,Dati!C892/100,Dati!C892))</f>
        <v/>
      </c>
      <c r="E892" s="18" t="str">
        <f>IF(Dati!D892="","",IF(Dati!D892&gt;1,Dati!D892/100,Dati!D892))</f>
        <v/>
      </c>
      <c r="F892" s="18" t="str">
        <f>IF(OR(D892="",E892=""),"",IF(OR(D892&gt;1,E892&gt;1),(E892-D892)/100,E892-D892))</f>
        <v/>
      </c>
      <c r="G892" s="17" t="str">
        <f>IF(F892="","",IF(64*F892=0,"",64*F892))</f>
        <v/>
      </c>
      <c r="H892" s="19" t="str">
        <f>IF(Dati!E892="","",Dati!E892)</f>
        <v/>
      </c>
      <c r="I892" s="19" t="str">
        <f>IFERROR(IF(OR(C892="",C892=0),"",H892/C892*100),"")</f>
        <v/>
      </c>
      <c r="J892" s="20" t="str">
        <f>IF(Dati!F892="","",Dati!F892)</f>
        <v/>
      </c>
      <c r="K892" s="19" t="str">
        <f>IF(OR(H892="",J892=""),"",IF(H892*J892=0,"",H892*J892))</f>
        <v/>
      </c>
      <c r="L892" s="19" t="str">
        <f>IF(A892="","",IFERROR(IF(SUMPRODUCT((ISNUMBER(A$2:A892))*(A$2:A892&gt;1000)*(MONTH(IF(ISNUMBER(A$2:A892),A$2:A892,1))=MONTH(A892))*(YEAR(IF(ISNUMBER(A$2:A892),A$2:A892,1))=YEAR(A892))*IF(ISNUMBER(K$2:K892),K$2:K892,0))=0,"",SUMPRODUCT((ISNUMBER(A$2:A892))*(A$2:A892&gt;1000)*(MONTH(IF(ISNUMBER(A$2:A892),A$2:A892,1))=MONTH(A892))*(YEAR(IF(ISNUMBER(A$2:A892),A$2:A892,1))=YEAR(A892))*IF(ISNUMBER(K$2:K892),K$2:K892,0))),""))</f>
        <v/>
      </c>
      <c r="M892" s="21" t="str">
        <f>IF(A892="","",IFERROR(IF(SUMIF(N$2:N892,"CASA",K$2:K892)=0,"",SUMIF(N$2:N892,"CASA",K$2:K892)),""))</f>
        <v/>
      </c>
      <c r="N892" s="17" t="str">
        <f>IF(J892="","",IF(J892=0.2,"CASA",IF(Dati!G892="","",Dati!G892)))</f>
        <v/>
      </c>
    </row>
    <row r="893" spans="1:14" ht="15" customHeight="1" x14ac:dyDescent="0.2">
      <c r="A893" s="23" t="str">
        <f>IF(Dati!A893="","",Dati!A893)</f>
        <v/>
      </c>
      <c r="B893" s="17" t="str">
        <f>IF(Dati!B893="","",Dati!B893)</f>
        <v/>
      </c>
      <c r="C893" s="17" t="str">
        <f>IF(B893="","",IF(ISNUMBER(B892),IF(B893-B892&lt;0,B893,IF(B893-B892=0,"",B893-B892)),B893))</f>
        <v/>
      </c>
      <c r="D893" s="18" t="str">
        <f>IF(Dati!C893="","",IF(Dati!C893&gt;1,Dati!C893/100,Dati!C893))</f>
        <v/>
      </c>
      <c r="E893" s="18" t="str">
        <f>IF(Dati!D893="","",IF(Dati!D893&gt;1,Dati!D893/100,Dati!D893))</f>
        <v/>
      </c>
      <c r="F893" s="18" t="str">
        <f>IF(OR(D893="",E893=""),"",IF(OR(D893&gt;1,E893&gt;1),(E893-D893)/100,E893-D893))</f>
        <v/>
      </c>
      <c r="G893" s="17" t="str">
        <f>IF(F893="","",IF(64*F893=0,"",64*F893))</f>
        <v/>
      </c>
      <c r="H893" s="19" t="str">
        <f>IF(Dati!E893="","",Dati!E893)</f>
        <v/>
      </c>
      <c r="I893" s="19" t="str">
        <f>IFERROR(IF(OR(C893="",C893=0),"",H893/C893*100),"")</f>
        <v/>
      </c>
      <c r="J893" s="20" t="str">
        <f>IF(Dati!F893="","",Dati!F893)</f>
        <v/>
      </c>
      <c r="K893" s="19" t="str">
        <f>IF(OR(H893="",J893=""),"",IF(H893*J893=0,"",H893*J893))</f>
        <v/>
      </c>
      <c r="L893" s="19" t="str">
        <f>IF(A893="","",IFERROR(IF(SUMPRODUCT((ISNUMBER(A$2:A893))*(A$2:A893&gt;1000)*(MONTH(IF(ISNUMBER(A$2:A893),A$2:A893,1))=MONTH(A893))*(YEAR(IF(ISNUMBER(A$2:A893),A$2:A893,1))=YEAR(A893))*IF(ISNUMBER(K$2:K893),K$2:K893,0))=0,"",SUMPRODUCT((ISNUMBER(A$2:A893))*(A$2:A893&gt;1000)*(MONTH(IF(ISNUMBER(A$2:A893),A$2:A893,1))=MONTH(A893))*(YEAR(IF(ISNUMBER(A$2:A893),A$2:A893,1))=YEAR(A893))*IF(ISNUMBER(K$2:K893),K$2:K893,0))),""))</f>
        <v/>
      </c>
      <c r="M893" s="21" t="str">
        <f>IF(A893="","",IFERROR(IF(SUMIF(N$2:N893,"CASA",K$2:K893)=0,"",SUMIF(N$2:N893,"CASA",K$2:K893)),""))</f>
        <v/>
      </c>
      <c r="N893" s="17" t="str">
        <f>IF(J893="","",IF(J893=0.2,"CASA",IF(Dati!G893="","",Dati!G893)))</f>
        <v/>
      </c>
    </row>
    <row r="894" spans="1:14" ht="15" customHeight="1" x14ac:dyDescent="0.2">
      <c r="A894" s="23" t="str">
        <f>IF(Dati!A894="","",Dati!A894)</f>
        <v/>
      </c>
      <c r="B894" s="17" t="str">
        <f>IF(Dati!B894="","",Dati!B894)</f>
        <v/>
      </c>
      <c r="C894" s="17" t="str">
        <f>IF(B894="","",IF(ISNUMBER(B893),IF(B894-B893&lt;0,B894,IF(B894-B893=0,"",B894-B893)),B894))</f>
        <v/>
      </c>
      <c r="D894" s="18" t="str">
        <f>IF(Dati!C894="","",IF(Dati!C894&gt;1,Dati!C894/100,Dati!C894))</f>
        <v/>
      </c>
      <c r="E894" s="18" t="str">
        <f>IF(Dati!D894="","",IF(Dati!D894&gt;1,Dati!D894/100,Dati!D894))</f>
        <v/>
      </c>
      <c r="F894" s="18" t="str">
        <f>IF(OR(D894="",E894=""),"",IF(OR(D894&gt;1,E894&gt;1),(E894-D894)/100,E894-D894))</f>
        <v/>
      </c>
      <c r="G894" s="17" t="str">
        <f>IF(F894="","",IF(64*F894=0,"",64*F894))</f>
        <v/>
      </c>
      <c r="H894" s="19" t="str">
        <f>IF(Dati!E894="","",Dati!E894)</f>
        <v/>
      </c>
      <c r="I894" s="19" t="str">
        <f>IFERROR(IF(OR(C894="",C894=0),"",H894/C894*100),"")</f>
        <v/>
      </c>
      <c r="J894" s="20" t="str">
        <f>IF(Dati!F894="","",Dati!F894)</f>
        <v/>
      </c>
      <c r="K894" s="19" t="str">
        <f>IF(OR(H894="",J894=""),"",IF(H894*J894=0,"",H894*J894))</f>
        <v/>
      </c>
      <c r="L894" s="19" t="str">
        <f>IF(A894="","",IFERROR(IF(SUMPRODUCT((ISNUMBER(A$2:A894))*(A$2:A894&gt;1000)*(MONTH(IF(ISNUMBER(A$2:A894),A$2:A894,1))=MONTH(A894))*(YEAR(IF(ISNUMBER(A$2:A894),A$2:A894,1))=YEAR(A894))*IF(ISNUMBER(K$2:K894),K$2:K894,0))=0,"",SUMPRODUCT((ISNUMBER(A$2:A894))*(A$2:A894&gt;1000)*(MONTH(IF(ISNUMBER(A$2:A894),A$2:A894,1))=MONTH(A894))*(YEAR(IF(ISNUMBER(A$2:A894),A$2:A894,1))=YEAR(A894))*IF(ISNUMBER(K$2:K894),K$2:K894,0))),""))</f>
        <v/>
      </c>
      <c r="M894" s="21" t="str">
        <f>IF(A894="","",IFERROR(IF(SUMIF(N$2:N894,"CASA",K$2:K894)=0,"",SUMIF(N$2:N894,"CASA",K$2:K894)),""))</f>
        <v/>
      </c>
      <c r="N894" s="17" t="str">
        <f>IF(J894="","",IF(J894=0.2,"CASA",IF(Dati!G894="","",Dati!G894)))</f>
        <v/>
      </c>
    </row>
    <row r="895" spans="1:14" ht="15" customHeight="1" x14ac:dyDescent="0.2">
      <c r="A895" s="23" t="str">
        <f>IF(Dati!A895="","",Dati!A895)</f>
        <v/>
      </c>
      <c r="B895" s="17" t="str">
        <f>IF(Dati!B895="","",Dati!B895)</f>
        <v/>
      </c>
      <c r="C895" s="17" t="str">
        <f>IF(B895="","",IF(ISNUMBER(B894),IF(B895-B894&lt;0,B895,IF(B895-B894=0,"",B895-B894)),B895))</f>
        <v/>
      </c>
      <c r="D895" s="18" t="str">
        <f>IF(Dati!C895="","",IF(Dati!C895&gt;1,Dati!C895/100,Dati!C895))</f>
        <v/>
      </c>
      <c r="E895" s="18" t="str">
        <f>IF(Dati!D895="","",IF(Dati!D895&gt;1,Dati!D895/100,Dati!D895))</f>
        <v/>
      </c>
      <c r="F895" s="18" t="str">
        <f>IF(OR(D895="",E895=""),"",IF(OR(D895&gt;1,E895&gt;1),(E895-D895)/100,E895-D895))</f>
        <v/>
      </c>
      <c r="G895" s="17" t="str">
        <f>IF(F895="","",IF(64*F895=0,"",64*F895))</f>
        <v/>
      </c>
      <c r="H895" s="19" t="str">
        <f>IF(Dati!E895="","",Dati!E895)</f>
        <v/>
      </c>
      <c r="I895" s="19" t="str">
        <f>IFERROR(IF(OR(C895="",C895=0),"",H895/C895*100),"")</f>
        <v/>
      </c>
      <c r="J895" s="20" t="str">
        <f>IF(Dati!F895="","",Dati!F895)</f>
        <v/>
      </c>
      <c r="K895" s="19" t="str">
        <f>IF(OR(H895="",J895=""),"",IF(H895*J895=0,"",H895*J895))</f>
        <v/>
      </c>
      <c r="L895" s="19" t="str">
        <f>IF(A895="","",IFERROR(IF(SUMPRODUCT((ISNUMBER(A$2:A895))*(A$2:A895&gt;1000)*(MONTH(IF(ISNUMBER(A$2:A895),A$2:A895,1))=MONTH(A895))*(YEAR(IF(ISNUMBER(A$2:A895),A$2:A895,1))=YEAR(A895))*IF(ISNUMBER(K$2:K895),K$2:K895,0))=0,"",SUMPRODUCT((ISNUMBER(A$2:A895))*(A$2:A895&gt;1000)*(MONTH(IF(ISNUMBER(A$2:A895),A$2:A895,1))=MONTH(A895))*(YEAR(IF(ISNUMBER(A$2:A895),A$2:A895,1))=YEAR(A895))*IF(ISNUMBER(K$2:K895),K$2:K895,0))),""))</f>
        <v/>
      </c>
      <c r="M895" s="21" t="str">
        <f>IF(A895="","",IFERROR(IF(SUMIF(N$2:N895,"CASA",K$2:K895)=0,"",SUMIF(N$2:N895,"CASA",K$2:K895)),""))</f>
        <v/>
      </c>
      <c r="N895" s="17" t="str">
        <f>IF(J895="","",IF(J895=0.2,"CASA",IF(Dati!G895="","",Dati!G895)))</f>
        <v/>
      </c>
    </row>
    <row r="896" spans="1:14" ht="15" customHeight="1" x14ac:dyDescent="0.2">
      <c r="A896" s="23" t="str">
        <f>IF(Dati!A896="","",Dati!A896)</f>
        <v/>
      </c>
      <c r="B896" s="17" t="str">
        <f>IF(Dati!B896="","",Dati!B896)</f>
        <v/>
      </c>
      <c r="C896" s="17" t="str">
        <f>IF(B896="","",IF(ISNUMBER(B895),IF(B896-B895&lt;0,B896,IF(B896-B895=0,"",B896-B895)),B896))</f>
        <v/>
      </c>
      <c r="D896" s="18" t="str">
        <f>IF(Dati!C896="","",IF(Dati!C896&gt;1,Dati!C896/100,Dati!C896))</f>
        <v/>
      </c>
      <c r="E896" s="18" t="str">
        <f>IF(Dati!D896="","",IF(Dati!D896&gt;1,Dati!D896/100,Dati!D896))</f>
        <v/>
      </c>
      <c r="F896" s="18" t="str">
        <f>IF(OR(D896="",E896=""),"",IF(OR(D896&gt;1,E896&gt;1),(E896-D896)/100,E896-D896))</f>
        <v/>
      </c>
      <c r="G896" s="17" t="str">
        <f>IF(F896="","",IF(64*F896=0,"",64*F896))</f>
        <v/>
      </c>
      <c r="H896" s="19" t="str">
        <f>IF(Dati!E896="","",Dati!E896)</f>
        <v/>
      </c>
      <c r="I896" s="19" t="str">
        <f>IFERROR(IF(OR(C896="",C896=0),"",H896/C896*100),"")</f>
        <v/>
      </c>
      <c r="J896" s="20" t="str">
        <f>IF(Dati!F896="","",Dati!F896)</f>
        <v/>
      </c>
      <c r="K896" s="19" t="str">
        <f>IF(OR(H896="",J896=""),"",IF(H896*J896=0,"",H896*J896))</f>
        <v/>
      </c>
      <c r="L896" s="19" t="str">
        <f>IF(A896="","",IFERROR(IF(SUMPRODUCT((ISNUMBER(A$2:A896))*(A$2:A896&gt;1000)*(MONTH(IF(ISNUMBER(A$2:A896),A$2:A896,1))=MONTH(A896))*(YEAR(IF(ISNUMBER(A$2:A896),A$2:A896,1))=YEAR(A896))*IF(ISNUMBER(K$2:K896),K$2:K896,0))=0,"",SUMPRODUCT((ISNUMBER(A$2:A896))*(A$2:A896&gt;1000)*(MONTH(IF(ISNUMBER(A$2:A896),A$2:A896,1))=MONTH(A896))*(YEAR(IF(ISNUMBER(A$2:A896),A$2:A896,1))=YEAR(A896))*IF(ISNUMBER(K$2:K896),K$2:K896,0))),""))</f>
        <v/>
      </c>
      <c r="M896" s="21" t="str">
        <f>IF(A896="","",IFERROR(IF(SUMIF(N$2:N896,"CASA",K$2:K896)=0,"",SUMIF(N$2:N896,"CASA",K$2:K896)),""))</f>
        <v/>
      </c>
      <c r="N896" s="17" t="str">
        <f>IF(J896="","",IF(J896=0.2,"CASA",IF(Dati!G896="","",Dati!G896)))</f>
        <v/>
      </c>
    </row>
    <row r="897" spans="1:14" ht="15" customHeight="1" x14ac:dyDescent="0.2">
      <c r="A897" s="23" t="str">
        <f>IF(Dati!A897="","",Dati!A897)</f>
        <v/>
      </c>
      <c r="B897" s="17" t="str">
        <f>IF(Dati!B897="","",Dati!B897)</f>
        <v/>
      </c>
      <c r="C897" s="17" t="str">
        <f>IF(B897="","",IF(ISNUMBER(B896),IF(B897-B896&lt;0,B897,IF(B897-B896=0,"",B897-B896)),B897))</f>
        <v/>
      </c>
      <c r="D897" s="18" t="str">
        <f>IF(Dati!C897="","",IF(Dati!C897&gt;1,Dati!C897/100,Dati!C897))</f>
        <v/>
      </c>
      <c r="E897" s="18" t="str">
        <f>IF(Dati!D897="","",IF(Dati!D897&gt;1,Dati!D897/100,Dati!D897))</f>
        <v/>
      </c>
      <c r="F897" s="18" t="str">
        <f>IF(OR(D897="",E897=""),"",IF(OR(D897&gt;1,E897&gt;1),(E897-D897)/100,E897-D897))</f>
        <v/>
      </c>
      <c r="G897" s="17" t="str">
        <f>IF(F897="","",IF(64*F897=0,"",64*F897))</f>
        <v/>
      </c>
      <c r="H897" s="19" t="str">
        <f>IF(Dati!E897="","",Dati!E897)</f>
        <v/>
      </c>
      <c r="I897" s="19" t="str">
        <f>IFERROR(IF(OR(C897="",C897=0),"",H897/C897*100),"")</f>
        <v/>
      </c>
      <c r="J897" s="20" t="str">
        <f>IF(Dati!F897="","",Dati!F897)</f>
        <v/>
      </c>
      <c r="K897" s="19" t="str">
        <f>IF(OR(H897="",J897=""),"",IF(H897*J897=0,"",H897*J897))</f>
        <v/>
      </c>
      <c r="L897" s="19" t="str">
        <f>IF(A897="","",IFERROR(IF(SUMPRODUCT((ISNUMBER(A$2:A897))*(A$2:A897&gt;1000)*(MONTH(IF(ISNUMBER(A$2:A897),A$2:A897,1))=MONTH(A897))*(YEAR(IF(ISNUMBER(A$2:A897),A$2:A897,1))=YEAR(A897))*IF(ISNUMBER(K$2:K897),K$2:K897,0))=0,"",SUMPRODUCT((ISNUMBER(A$2:A897))*(A$2:A897&gt;1000)*(MONTH(IF(ISNUMBER(A$2:A897),A$2:A897,1))=MONTH(A897))*(YEAR(IF(ISNUMBER(A$2:A897),A$2:A897,1))=YEAR(A897))*IF(ISNUMBER(K$2:K897),K$2:K897,0))),""))</f>
        <v/>
      </c>
      <c r="M897" s="21" t="str">
        <f>IF(A897="","",IFERROR(IF(SUMIF(N$2:N897,"CASA",K$2:K897)=0,"",SUMIF(N$2:N897,"CASA",K$2:K897)),""))</f>
        <v/>
      </c>
      <c r="N897" s="17" t="str">
        <f>IF(J897="","",IF(J897=0.2,"CASA",IF(Dati!G897="","",Dati!G897)))</f>
        <v/>
      </c>
    </row>
    <row r="898" spans="1:14" ht="15" customHeight="1" x14ac:dyDescent="0.2">
      <c r="A898" s="23" t="str">
        <f>IF(Dati!A898="","",Dati!A898)</f>
        <v/>
      </c>
      <c r="B898" s="17" t="str">
        <f>IF(Dati!B898="","",Dati!B898)</f>
        <v/>
      </c>
      <c r="C898" s="17" t="str">
        <f>IF(B898="","",IF(ISNUMBER(B897),IF(B898-B897&lt;0,B898,IF(B898-B897=0,"",B898-B897)),B898))</f>
        <v/>
      </c>
      <c r="D898" s="18" t="str">
        <f>IF(Dati!C898="","",IF(Dati!C898&gt;1,Dati!C898/100,Dati!C898))</f>
        <v/>
      </c>
      <c r="E898" s="18" t="str">
        <f>IF(Dati!D898="","",IF(Dati!D898&gt;1,Dati!D898/100,Dati!D898))</f>
        <v/>
      </c>
      <c r="F898" s="18" t="str">
        <f>IF(OR(D898="",E898=""),"",IF(OR(D898&gt;1,E898&gt;1),(E898-D898)/100,E898-D898))</f>
        <v/>
      </c>
      <c r="G898" s="17" t="str">
        <f>IF(F898="","",IF(64*F898=0,"",64*F898))</f>
        <v/>
      </c>
      <c r="H898" s="19" t="str">
        <f>IF(Dati!E898="","",Dati!E898)</f>
        <v/>
      </c>
      <c r="I898" s="19" t="str">
        <f>IFERROR(IF(OR(C898="",C898=0),"",H898/C898*100),"")</f>
        <v/>
      </c>
      <c r="J898" s="20" t="str">
        <f>IF(Dati!F898="","",Dati!F898)</f>
        <v/>
      </c>
      <c r="K898" s="19" t="str">
        <f>IF(OR(H898="",J898=""),"",IF(H898*J898=0,"",H898*J898))</f>
        <v/>
      </c>
      <c r="L898" s="19" t="str">
        <f>IF(A898="","",IFERROR(IF(SUMPRODUCT((ISNUMBER(A$2:A898))*(A$2:A898&gt;1000)*(MONTH(IF(ISNUMBER(A$2:A898),A$2:A898,1))=MONTH(A898))*(YEAR(IF(ISNUMBER(A$2:A898),A$2:A898,1))=YEAR(A898))*IF(ISNUMBER(K$2:K898),K$2:K898,0))=0,"",SUMPRODUCT((ISNUMBER(A$2:A898))*(A$2:A898&gt;1000)*(MONTH(IF(ISNUMBER(A$2:A898),A$2:A898,1))=MONTH(A898))*(YEAR(IF(ISNUMBER(A$2:A898),A$2:A898,1))=YEAR(A898))*IF(ISNUMBER(K$2:K898),K$2:K898,0))),""))</f>
        <v/>
      </c>
      <c r="M898" s="21" t="str">
        <f>IF(A898="","",IFERROR(IF(SUMIF(N$2:N898,"CASA",K$2:K898)=0,"",SUMIF(N$2:N898,"CASA",K$2:K898)),""))</f>
        <v/>
      </c>
      <c r="N898" s="17" t="str">
        <f>IF(J898="","",IF(J898=0.2,"CASA",IF(Dati!G898="","",Dati!G898)))</f>
        <v/>
      </c>
    </row>
    <row r="899" spans="1:14" ht="15" customHeight="1" x14ac:dyDescent="0.2">
      <c r="A899" s="23" t="str">
        <f>IF(Dati!A899="","",Dati!A899)</f>
        <v/>
      </c>
      <c r="B899" s="17" t="str">
        <f>IF(Dati!B899="","",Dati!B899)</f>
        <v/>
      </c>
      <c r="C899" s="17" t="str">
        <f>IF(B899="","",IF(ISNUMBER(B898),IF(B899-B898&lt;0,B899,IF(B899-B898=0,"",B899-B898)),B899))</f>
        <v/>
      </c>
      <c r="D899" s="18" t="str">
        <f>IF(Dati!C899="","",IF(Dati!C899&gt;1,Dati!C899/100,Dati!C899))</f>
        <v/>
      </c>
      <c r="E899" s="18" t="str">
        <f>IF(Dati!D899="","",IF(Dati!D899&gt;1,Dati!D899/100,Dati!D899))</f>
        <v/>
      </c>
      <c r="F899" s="18" t="str">
        <f>IF(OR(D899="",E899=""),"",IF(OR(D899&gt;1,E899&gt;1),(E899-D899)/100,E899-D899))</f>
        <v/>
      </c>
      <c r="G899" s="17" t="str">
        <f>IF(F899="","",IF(64*F899=0,"",64*F899))</f>
        <v/>
      </c>
      <c r="H899" s="19" t="str">
        <f>IF(Dati!E899="","",Dati!E899)</f>
        <v/>
      </c>
      <c r="I899" s="19" t="str">
        <f>IFERROR(IF(OR(C899="",C899=0),"",H899/C899*100),"")</f>
        <v/>
      </c>
      <c r="J899" s="20" t="str">
        <f>IF(Dati!F899="","",Dati!F899)</f>
        <v/>
      </c>
      <c r="K899" s="19" t="str">
        <f>IF(OR(H899="",J899=""),"",IF(H899*J899=0,"",H899*J899))</f>
        <v/>
      </c>
      <c r="L899" s="19" t="str">
        <f>IF(A899="","",IFERROR(IF(SUMPRODUCT((ISNUMBER(A$2:A899))*(A$2:A899&gt;1000)*(MONTH(IF(ISNUMBER(A$2:A899),A$2:A899,1))=MONTH(A899))*(YEAR(IF(ISNUMBER(A$2:A899),A$2:A899,1))=YEAR(A899))*IF(ISNUMBER(K$2:K899),K$2:K899,0))=0,"",SUMPRODUCT((ISNUMBER(A$2:A899))*(A$2:A899&gt;1000)*(MONTH(IF(ISNUMBER(A$2:A899),A$2:A899,1))=MONTH(A899))*(YEAR(IF(ISNUMBER(A$2:A899),A$2:A899,1))=YEAR(A899))*IF(ISNUMBER(K$2:K899),K$2:K899,0))),""))</f>
        <v/>
      </c>
      <c r="M899" s="21" t="str">
        <f>IF(A899="","",IFERROR(IF(SUMIF(N$2:N899,"CASA",K$2:K899)=0,"",SUMIF(N$2:N899,"CASA",K$2:K899)),""))</f>
        <v/>
      </c>
      <c r="N899" s="17" t="str">
        <f>IF(J899="","",IF(J899=0.2,"CASA",IF(Dati!G899="","",Dati!G899)))</f>
        <v/>
      </c>
    </row>
    <row r="900" spans="1:14" ht="15" customHeight="1" x14ac:dyDescent="0.2">
      <c r="A900" s="23" t="str">
        <f>IF(Dati!A900="","",Dati!A900)</f>
        <v/>
      </c>
      <c r="B900" s="17" t="str">
        <f>IF(Dati!B900="","",Dati!B900)</f>
        <v/>
      </c>
      <c r="C900" s="17" t="str">
        <f>IF(B900="","",IF(ISNUMBER(B899),IF(B900-B899&lt;0,B900,IF(B900-B899=0,"",B900-B899)),B900))</f>
        <v/>
      </c>
      <c r="D900" s="18" t="str">
        <f>IF(Dati!C900="","",IF(Dati!C900&gt;1,Dati!C900/100,Dati!C900))</f>
        <v/>
      </c>
      <c r="E900" s="18" t="str">
        <f>IF(Dati!D900="","",IF(Dati!D900&gt;1,Dati!D900/100,Dati!D900))</f>
        <v/>
      </c>
      <c r="F900" s="18" t="str">
        <f>IF(OR(D900="",E900=""),"",IF(OR(D900&gt;1,E900&gt;1),(E900-D900)/100,E900-D900))</f>
        <v/>
      </c>
      <c r="G900" s="17" t="str">
        <f>IF(F900="","",IF(64*F900=0,"",64*F900))</f>
        <v/>
      </c>
      <c r="H900" s="19" t="str">
        <f>IF(Dati!E900="","",Dati!E900)</f>
        <v/>
      </c>
      <c r="I900" s="19" t="str">
        <f>IFERROR(IF(OR(C900="",C900=0),"",H900/C900*100),"")</f>
        <v/>
      </c>
      <c r="J900" s="20" t="str">
        <f>IF(Dati!F900="","",Dati!F900)</f>
        <v/>
      </c>
      <c r="K900" s="19" t="str">
        <f>IF(OR(H900="",J900=""),"",IF(H900*J900=0,"",H900*J900))</f>
        <v/>
      </c>
      <c r="L900" s="19" t="str">
        <f>IF(A900="","",IFERROR(IF(SUMPRODUCT((ISNUMBER(A$2:A900))*(A$2:A900&gt;1000)*(MONTH(IF(ISNUMBER(A$2:A900),A$2:A900,1))=MONTH(A900))*(YEAR(IF(ISNUMBER(A$2:A900),A$2:A900,1))=YEAR(A900))*IF(ISNUMBER(K$2:K900),K$2:K900,0))=0,"",SUMPRODUCT((ISNUMBER(A$2:A900))*(A$2:A900&gt;1000)*(MONTH(IF(ISNUMBER(A$2:A900),A$2:A900,1))=MONTH(A900))*(YEAR(IF(ISNUMBER(A$2:A900),A$2:A900,1))=YEAR(A900))*IF(ISNUMBER(K$2:K900),K$2:K900,0))),""))</f>
        <v/>
      </c>
      <c r="M900" s="21" t="str">
        <f>IF(A900="","",IFERROR(IF(SUMIF(N$2:N900,"CASA",K$2:K900)=0,"",SUMIF(N$2:N900,"CASA",K$2:K900)),""))</f>
        <v/>
      </c>
      <c r="N900" s="17" t="str">
        <f>IF(J900="","",IF(J900=0.2,"CASA",IF(Dati!G900="","",Dati!G900)))</f>
        <v/>
      </c>
    </row>
    <row r="901" spans="1:14" ht="15" customHeight="1" x14ac:dyDescent="0.2">
      <c r="A901" s="23" t="str">
        <f>IF(Dati!A901="","",Dati!A901)</f>
        <v/>
      </c>
      <c r="B901" s="17" t="str">
        <f>IF(Dati!B901="","",Dati!B901)</f>
        <v/>
      </c>
      <c r="C901" s="17" t="str">
        <f>IF(B901="","",IF(ISNUMBER(B900),IF(B901-B900&lt;0,B901,IF(B901-B900=0,"",B901-B900)),B901))</f>
        <v/>
      </c>
      <c r="D901" s="18" t="str">
        <f>IF(Dati!C901="","",IF(Dati!C901&gt;1,Dati!C901/100,Dati!C901))</f>
        <v/>
      </c>
      <c r="E901" s="18" t="str">
        <f>IF(Dati!D901="","",IF(Dati!D901&gt;1,Dati!D901/100,Dati!D901))</f>
        <v/>
      </c>
      <c r="F901" s="18" t="str">
        <f>IF(OR(D901="",E901=""),"",IF(OR(D901&gt;1,E901&gt;1),(E901-D901)/100,E901-D901))</f>
        <v/>
      </c>
      <c r="G901" s="17" t="str">
        <f>IF(F901="","",IF(64*F901=0,"",64*F901))</f>
        <v/>
      </c>
      <c r="H901" s="19" t="str">
        <f>IF(Dati!E901="","",Dati!E901)</f>
        <v/>
      </c>
      <c r="I901" s="19" t="str">
        <f>IFERROR(IF(OR(C901="",C901=0),"",H901/C901*100),"")</f>
        <v/>
      </c>
      <c r="J901" s="20" t="str">
        <f>IF(Dati!F901="","",Dati!F901)</f>
        <v/>
      </c>
      <c r="K901" s="19" t="str">
        <f>IF(OR(H901="",J901=""),"",IF(H901*J901=0,"",H901*J901))</f>
        <v/>
      </c>
      <c r="L901" s="19" t="str">
        <f>IF(A901="","",IFERROR(IF(SUMPRODUCT((ISNUMBER(A$2:A901))*(A$2:A901&gt;1000)*(MONTH(IF(ISNUMBER(A$2:A901),A$2:A901,1))=MONTH(A901))*(YEAR(IF(ISNUMBER(A$2:A901),A$2:A901,1))=YEAR(A901))*IF(ISNUMBER(K$2:K901),K$2:K901,0))=0,"",SUMPRODUCT((ISNUMBER(A$2:A901))*(A$2:A901&gt;1000)*(MONTH(IF(ISNUMBER(A$2:A901),A$2:A901,1))=MONTH(A901))*(YEAR(IF(ISNUMBER(A$2:A901),A$2:A901,1))=YEAR(A901))*IF(ISNUMBER(K$2:K901),K$2:K901,0))),""))</f>
        <v/>
      </c>
      <c r="M901" s="21" t="str">
        <f>IF(A901="","",IFERROR(IF(SUMIF(N$2:N901,"CASA",K$2:K901)=0,"",SUMIF(N$2:N901,"CASA",K$2:K901)),""))</f>
        <v/>
      </c>
      <c r="N901" s="17" t="str">
        <f>IF(J901="","",IF(J901=0.2,"CASA",IF(Dati!G901="","",Dati!G901)))</f>
        <v/>
      </c>
    </row>
    <row r="902" spans="1:14" ht="15" customHeight="1" x14ac:dyDescent="0.2">
      <c r="A902" s="23" t="str">
        <f>IF(Dati!A902="","",Dati!A902)</f>
        <v/>
      </c>
      <c r="B902" s="17" t="str">
        <f>IF(Dati!B902="","",Dati!B902)</f>
        <v/>
      </c>
      <c r="C902" s="17" t="str">
        <f>IF(B902="","",IF(ISNUMBER(B901),IF(B902-B901&lt;0,B902,IF(B902-B901=0,"",B902-B901)),B902))</f>
        <v/>
      </c>
      <c r="D902" s="18" t="str">
        <f>IF(Dati!C902="","",IF(Dati!C902&gt;1,Dati!C902/100,Dati!C902))</f>
        <v/>
      </c>
      <c r="E902" s="18" t="str">
        <f>IF(Dati!D902="","",IF(Dati!D902&gt;1,Dati!D902/100,Dati!D902))</f>
        <v/>
      </c>
      <c r="F902" s="18" t="str">
        <f>IF(OR(D902="",E902=""),"",IF(OR(D902&gt;1,E902&gt;1),(E902-D902)/100,E902-D902))</f>
        <v/>
      </c>
      <c r="G902" s="17" t="str">
        <f>IF(F902="","",IF(64*F902=0,"",64*F902))</f>
        <v/>
      </c>
      <c r="H902" s="19" t="str">
        <f>IF(Dati!E902="","",Dati!E902)</f>
        <v/>
      </c>
      <c r="I902" s="19" t="str">
        <f>IFERROR(IF(OR(C902="",C902=0),"",H902/C902*100),"")</f>
        <v/>
      </c>
      <c r="J902" s="20" t="str">
        <f>IF(Dati!F902="","",Dati!F902)</f>
        <v/>
      </c>
      <c r="K902" s="19" t="str">
        <f>IF(OR(H902="",J902=""),"",IF(H902*J902=0,"",H902*J902))</f>
        <v/>
      </c>
      <c r="L902" s="19" t="str">
        <f>IF(A902="","",IFERROR(IF(SUMPRODUCT((ISNUMBER(A$2:A902))*(A$2:A902&gt;1000)*(MONTH(IF(ISNUMBER(A$2:A902),A$2:A902,1))=MONTH(A902))*(YEAR(IF(ISNUMBER(A$2:A902),A$2:A902,1))=YEAR(A902))*IF(ISNUMBER(K$2:K902),K$2:K902,0))=0,"",SUMPRODUCT((ISNUMBER(A$2:A902))*(A$2:A902&gt;1000)*(MONTH(IF(ISNUMBER(A$2:A902),A$2:A902,1))=MONTH(A902))*(YEAR(IF(ISNUMBER(A$2:A902),A$2:A902,1))=YEAR(A902))*IF(ISNUMBER(K$2:K902),K$2:K902,0))),""))</f>
        <v/>
      </c>
      <c r="M902" s="21" t="str">
        <f>IF(A902="","",IFERROR(IF(SUMIF(N$2:N902,"CASA",K$2:K902)=0,"",SUMIF(N$2:N902,"CASA",K$2:K902)),""))</f>
        <v/>
      </c>
      <c r="N902" s="17" t="str">
        <f>IF(J902="","",IF(J902=0.2,"CASA",IF(Dati!G902="","",Dati!G902)))</f>
        <v/>
      </c>
    </row>
    <row r="903" spans="1:14" ht="15" customHeight="1" x14ac:dyDescent="0.2">
      <c r="A903" s="23" t="str">
        <f>IF(Dati!A903="","",Dati!A903)</f>
        <v/>
      </c>
      <c r="B903" s="17" t="str">
        <f>IF(Dati!B903="","",Dati!B903)</f>
        <v/>
      </c>
      <c r="C903" s="17" t="str">
        <f>IF(B903="","",IF(ISNUMBER(B902),IF(B903-B902&lt;0,B903,IF(B903-B902=0,"",B903-B902)),B903))</f>
        <v/>
      </c>
      <c r="D903" s="18" t="str">
        <f>IF(Dati!C903="","",IF(Dati!C903&gt;1,Dati!C903/100,Dati!C903))</f>
        <v/>
      </c>
      <c r="E903" s="18" t="str">
        <f>IF(Dati!D903="","",IF(Dati!D903&gt;1,Dati!D903/100,Dati!D903))</f>
        <v/>
      </c>
      <c r="F903" s="18" t="str">
        <f>IF(OR(D903="",E903=""),"",IF(OR(D903&gt;1,E903&gt;1),(E903-D903)/100,E903-D903))</f>
        <v/>
      </c>
      <c r="G903" s="17" t="str">
        <f>IF(F903="","",IF(64*F903=0,"",64*F903))</f>
        <v/>
      </c>
      <c r="H903" s="19" t="str">
        <f>IF(Dati!E903="","",Dati!E903)</f>
        <v/>
      </c>
      <c r="I903" s="19" t="str">
        <f>IFERROR(IF(OR(C903="",C903=0),"",H903/C903*100),"")</f>
        <v/>
      </c>
      <c r="J903" s="20" t="str">
        <f>IF(Dati!F903="","",Dati!F903)</f>
        <v/>
      </c>
      <c r="K903" s="19" t="str">
        <f>IF(OR(H903="",J903=""),"",IF(H903*J903=0,"",H903*J903))</f>
        <v/>
      </c>
      <c r="L903" s="19" t="str">
        <f>IF(A903="","",IFERROR(IF(SUMPRODUCT((ISNUMBER(A$2:A903))*(A$2:A903&gt;1000)*(MONTH(IF(ISNUMBER(A$2:A903),A$2:A903,1))=MONTH(A903))*(YEAR(IF(ISNUMBER(A$2:A903),A$2:A903,1))=YEAR(A903))*IF(ISNUMBER(K$2:K903),K$2:K903,0))=0,"",SUMPRODUCT((ISNUMBER(A$2:A903))*(A$2:A903&gt;1000)*(MONTH(IF(ISNUMBER(A$2:A903),A$2:A903,1))=MONTH(A903))*(YEAR(IF(ISNUMBER(A$2:A903),A$2:A903,1))=YEAR(A903))*IF(ISNUMBER(K$2:K903),K$2:K903,0))),""))</f>
        <v/>
      </c>
      <c r="M903" s="21" t="str">
        <f>IF(A903="","",IFERROR(IF(SUMIF(N$2:N903,"CASA",K$2:K903)=0,"",SUMIF(N$2:N903,"CASA",K$2:K903)),""))</f>
        <v/>
      </c>
      <c r="N903" s="17" t="str">
        <f>IF(J903="","",IF(J903=0.2,"CASA",IF(Dati!G903="","",Dati!G903)))</f>
        <v/>
      </c>
    </row>
    <row r="904" spans="1:14" ht="15" customHeight="1" x14ac:dyDescent="0.2">
      <c r="A904" s="23" t="str">
        <f>IF(Dati!A904="","",Dati!A904)</f>
        <v/>
      </c>
      <c r="B904" s="17" t="str">
        <f>IF(Dati!B904="","",Dati!B904)</f>
        <v/>
      </c>
      <c r="C904" s="17" t="str">
        <f>IF(B904="","",IF(ISNUMBER(B903),IF(B904-B903&lt;0,B904,IF(B904-B903=0,"",B904-B903)),B904))</f>
        <v/>
      </c>
      <c r="D904" s="18" t="str">
        <f>IF(Dati!C904="","",IF(Dati!C904&gt;1,Dati!C904/100,Dati!C904))</f>
        <v/>
      </c>
      <c r="E904" s="18" t="str">
        <f>IF(Dati!D904="","",IF(Dati!D904&gt;1,Dati!D904/100,Dati!D904))</f>
        <v/>
      </c>
      <c r="F904" s="18" t="str">
        <f>IF(OR(D904="",E904=""),"",IF(OR(D904&gt;1,E904&gt;1),(E904-D904)/100,E904-D904))</f>
        <v/>
      </c>
      <c r="G904" s="17" t="str">
        <f>IF(F904="","",IF(64*F904=0,"",64*F904))</f>
        <v/>
      </c>
      <c r="H904" s="19" t="str">
        <f>IF(Dati!E904="","",Dati!E904)</f>
        <v/>
      </c>
      <c r="I904" s="19" t="str">
        <f>IFERROR(IF(OR(C904="",C904=0),"",H904/C904*100),"")</f>
        <v/>
      </c>
      <c r="J904" s="20" t="str">
        <f>IF(Dati!F904="","",Dati!F904)</f>
        <v/>
      </c>
      <c r="K904" s="19" t="str">
        <f>IF(OR(H904="",J904=""),"",IF(H904*J904=0,"",H904*J904))</f>
        <v/>
      </c>
      <c r="L904" s="19" t="str">
        <f>IF(A904="","",IFERROR(IF(SUMPRODUCT((ISNUMBER(A$2:A904))*(A$2:A904&gt;1000)*(MONTH(IF(ISNUMBER(A$2:A904),A$2:A904,1))=MONTH(A904))*(YEAR(IF(ISNUMBER(A$2:A904),A$2:A904,1))=YEAR(A904))*IF(ISNUMBER(K$2:K904),K$2:K904,0))=0,"",SUMPRODUCT((ISNUMBER(A$2:A904))*(A$2:A904&gt;1000)*(MONTH(IF(ISNUMBER(A$2:A904),A$2:A904,1))=MONTH(A904))*(YEAR(IF(ISNUMBER(A$2:A904),A$2:A904,1))=YEAR(A904))*IF(ISNUMBER(K$2:K904),K$2:K904,0))),""))</f>
        <v/>
      </c>
      <c r="M904" s="21" t="str">
        <f>IF(A904="","",IFERROR(IF(SUMIF(N$2:N904,"CASA",K$2:K904)=0,"",SUMIF(N$2:N904,"CASA",K$2:K904)),""))</f>
        <v/>
      </c>
      <c r="N904" s="17" t="str">
        <f>IF(J904="","",IF(J904=0.2,"CASA",IF(Dati!G904="","",Dati!G904)))</f>
        <v/>
      </c>
    </row>
    <row r="905" spans="1:14" ht="15" customHeight="1" x14ac:dyDescent="0.2">
      <c r="A905" s="23" t="str">
        <f>IF(Dati!A905="","",Dati!A905)</f>
        <v/>
      </c>
      <c r="B905" s="17" t="str">
        <f>IF(Dati!B905="","",Dati!B905)</f>
        <v/>
      </c>
      <c r="C905" s="17" t="str">
        <f>IF(B905="","",IF(ISNUMBER(B904),IF(B905-B904&lt;0,B905,IF(B905-B904=0,"",B905-B904)),B905))</f>
        <v/>
      </c>
      <c r="D905" s="18" t="str">
        <f>IF(Dati!C905="","",IF(Dati!C905&gt;1,Dati!C905/100,Dati!C905))</f>
        <v/>
      </c>
      <c r="E905" s="18" t="str">
        <f>IF(Dati!D905="","",IF(Dati!D905&gt;1,Dati!D905/100,Dati!D905))</f>
        <v/>
      </c>
      <c r="F905" s="18" t="str">
        <f>IF(OR(D905="",E905=""),"",IF(OR(D905&gt;1,E905&gt;1),(E905-D905)/100,E905-D905))</f>
        <v/>
      </c>
      <c r="G905" s="17" t="str">
        <f>IF(F905="","",IF(64*F905=0,"",64*F905))</f>
        <v/>
      </c>
      <c r="H905" s="19" t="str">
        <f>IF(Dati!E905="","",Dati!E905)</f>
        <v/>
      </c>
      <c r="I905" s="19" t="str">
        <f>IFERROR(IF(OR(C905="",C905=0),"",H905/C905*100),"")</f>
        <v/>
      </c>
      <c r="J905" s="20" t="str">
        <f>IF(Dati!F905="","",Dati!F905)</f>
        <v/>
      </c>
      <c r="K905" s="19" t="str">
        <f>IF(OR(H905="",J905=""),"",IF(H905*J905=0,"",H905*J905))</f>
        <v/>
      </c>
      <c r="L905" s="19" t="str">
        <f>IF(A905="","",IFERROR(IF(SUMPRODUCT((ISNUMBER(A$2:A905))*(A$2:A905&gt;1000)*(MONTH(IF(ISNUMBER(A$2:A905),A$2:A905,1))=MONTH(A905))*(YEAR(IF(ISNUMBER(A$2:A905),A$2:A905,1))=YEAR(A905))*IF(ISNUMBER(K$2:K905),K$2:K905,0))=0,"",SUMPRODUCT((ISNUMBER(A$2:A905))*(A$2:A905&gt;1000)*(MONTH(IF(ISNUMBER(A$2:A905),A$2:A905,1))=MONTH(A905))*(YEAR(IF(ISNUMBER(A$2:A905),A$2:A905,1))=YEAR(A905))*IF(ISNUMBER(K$2:K905),K$2:K905,0))),""))</f>
        <v/>
      </c>
      <c r="M905" s="21" t="str">
        <f>IF(A905="","",IFERROR(IF(SUMIF(N$2:N905,"CASA",K$2:K905)=0,"",SUMIF(N$2:N905,"CASA",K$2:K905)),""))</f>
        <v/>
      </c>
      <c r="N905" s="17" t="str">
        <f>IF(J905="","",IF(J905=0.2,"CASA",IF(Dati!G905="","",Dati!G905)))</f>
        <v/>
      </c>
    </row>
    <row r="906" spans="1:14" ht="15" customHeight="1" x14ac:dyDescent="0.2">
      <c r="A906" s="23" t="str">
        <f>IF(Dati!A906="","",Dati!A906)</f>
        <v/>
      </c>
      <c r="B906" s="17" t="str">
        <f>IF(Dati!B906="","",Dati!B906)</f>
        <v/>
      </c>
      <c r="C906" s="17" t="str">
        <f>IF(B906="","",IF(ISNUMBER(B905),IF(B906-B905&lt;0,B906,IF(B906-B905=0,"",B906-B905)),B906))</f>
        <v/>
      </c>
      <c r="D906" s="18" t="str">
        <f>IF(Dati!C906="","",IF(Dati!C906&gt;1,Dati!C906/100,Dati!C906))</f>
        <v/>
      </c>
      <c r="E906" s="18" t="str">
        <f>IF(Dati!D906="","",IF(Dati!D906&gt;1,Dati!D906/100,Dati!D906))</f>
        <v/>
      </c>
      <c r="F906" s="18" t="str">
        <f>IF(OR(D906="",E906=""),"",IF(OR(D906&gt;1,E906&gt;1),(E906-D906)/100,E906-D906))</f>
        <v/>
      </c>
      <c r="G906" s="17" t="str">
        <f>IF(F906="","",IF(64*F906=0,"",64*F906))</f>
        <v/>
      </c>
      <c r="H906" s="19" t="str">
        <f>IF(Dati!E906="","",Dati!E906)</f>
        <v/>
      </c>
      <c r="I906" s="19" t="str">
        <f>IFERROR(IF(OR(C906="",C906=0),"",H906/C906*100),"")</f>
        <v/>
      </c>
      <c r="J906" s="20" t="str">
        <f>IF(Dati!F906="","",Dati!F906)</f>
        <v/>
      </c>
      <c r="K906" s="19" t="str">
        <f>IF(OR(H906="",J906=""),"",IF(H906*J906=0,"",H906*J906))</f>
        <v/>
      </c>
      <c r="L906" s="19" t="str">
        <f>IF(A906="","",IFERROR(IF(SUMPRODUCT((ISNUMBER(A$2:A906))*(A$2:A906&gt;1000)*(MONTH(IF(ISNUMBER(A$2:A906),A$2:A906,1))=MONTH(A906))*(YEAR(IF(ISNUMBER(A$2:A906),A$2:A906,1))=YEAR(A906))*IF(ISNUMBER(K$2:K906),K$2:K906,0))=0,"",SUMPRODUCT((ISNUMBER(A$2:A906))*(A$2:A906&gt;1000)*(MONTH(IF(ISNUMBER(A$2:A906),A$2:A906,1))=MONTH(A906))*(YEAR(IF(ISNUMBER(A$2:A906),A$2:A906,1))=YEAR(A906))*IF(ISNUMBER(K$2:K906),K$2:K906,0))),""))</f>
        <v/>
      </c>
      <c r="M906" s="21" t="str">
        <f>IF(A906="","",IFERROR(IF(SUMIF(N$2:N906,"CASA",K$2:K906)=0,"",SUMIF(N$2:N906,"CASA",K$2:K906)),""))</f>
        <v/>
      </c>
      <c r="N906" s="17" t="str">
        <f>IF(J906="","",IF(J906=0.2,"CASA",IF(Dati!G906="","",Dati!G906)))</f>
        <v/>
      </c>
    </row>
    <row r="907" spans="1:14" ht="15" customHeight="1" x14ac:dyDescent="0.2">
      <c r="A907" s="23" t="str">
        <f>IF(Dati!A907="","",Dati!A907)</f>
        <v/>
      </c>
      <c r="B907" s="17" t="str">
        <f>IF(Dati!B907="","",Dati!B907)</f>
        <v/>
      </c>
      <c r="C907" s="17" t="str">
        <f>IF(B907="","",IF(ISNUMBER(B906),IF(B907-B906&lt;0,B907,IF(B907-B906=0,"",B907-B906)),B907))</f>
        <v/>
      </c>
      <c r="D907" s="18" t="str">
        <f>IF(Dati!C907="","",IF(Dati!C907&gt;1,Dati!C907/100,Dati!C907))</f>
        <v/>
      </c>
      <c r="E907" s="18" t="str">
        <f>IF(Dati!D907="","",IF(Dati!D907&gt;1,Dati!D907/100,Dati!D907))</f>
        <v/>
      </c>
      <c r="F907" s="18" t="str">
        <f>IF(OR(D907="",E907=""),"",IF(OR(D907&gt;1,E907&gt;1),(E907-D907)/100,E907-D907))</f>
        <v/>
      </c>
      <c r="G907" s="17" t="str">
        <f>IF(F907="","",IF(64*F907=0,"",64*F907))</f>
        <v/>
      </c>
      <c r="H907" s="19" t="str">
        <f>IF(Dati!E907="","",Dati!E907)</f>
        <v/>
      </c>
      <c r="I907" s="19" t="str">
        <f>IFERROR(IF(OR(C907="",C907=0),"",H907/C907*100),"")</f>
        <v/>
      </c>
      <c r="J907" s="20" t="str">
        <f>IF(Dati!F907="","",Dati!F907)</f>
        <v/>
      </c>
      <c r="K907" s="19" t="str">
        <f>IF(OR(H907="",J907=""),"",IF(H907*J907=0,"",H907*J907))</f>
        <v/>
      </c>
      <c r="L907" s="19" t="str">
        <f>IF(A907="","",IFERROR(IF(SUMPRODUCT((ISNUMBER(A$2:A907))*(A$2:A907&gt;1000)*(MONTH(IF(ISNUMBER(A$2:A907),A$2:A907,1))=MONTH(A907))*(YEAR(IF(ISNUMBER(A$2:A907),A$2:A907,1))=YEAR(A907))*IF(ISNUMBER(K$2:K907),K$2:K907,0))=0,"",SUMPRODUCT((ISNUMBER(A$2:A907))*(A$2:A907&gt;1000)*(MONTH(IF(ISNUMBER(A$2:A907),A$2:A907,1))=MONTH(A907))*(YEAR(IF(ISNUMBER(A$2:A907),A$2:A907,1))=YEAR(A907))*IF(ISNUMBER(K$2:K907),K$2:K907,0))),""))</f>
        <v/>
      </c>
      <c r="M907" s="21" t="str">
        <f>IF(A907="","",IFERROR(IF(SUMIF(N$2:N907,"CASA",K$2:K907)=0,"",SUMIF(N$2:N907,"CASA",K$2:K907)),""))</f>
        <v/>
      </c>
      <c r="N907" s="17" t="str">
        <f>IF(J907="","",IF(J907=0.2,"CASA",IF(Dati!G907="","",Dati!G907)))</f>
        <v/>
      </c>
    </row>
    <row r="908" spans="1:14" ht="15" customHeight="1" x14ac:dyDescent="0.2">
      <c r="A908" s="23" t="str">
        <f>IF(Dati!A908="","",Dati!A908)</f>
        <v/>
      </c>
      <c r="B908" s="17" t="str">
        <f>IF(Dati!B908="","",Dati!B908)</f>
        <v/>
      </c>
      <c r="C908" s="17" t="str">
        <f>IF(B908="","",IF(ISNUMBER(B907),IF(B908-B907&lt;0,B908,IF(B908-B907=0,"",B908-B907)),B908))</f>
        <v/>
      </c>
      <c r="D908" s="18" t="str">
        <f>IF(Dati!C908="","",IF(Dati!C908&gt;1,Dati!C908/100,Dati!C908))</f>
        <v/>
      </c>
      <c r="E908" s="18" t="str">
        <f>IF(Dati!D908="","",IF(Dati!D908&gt;1,Dati!D908/100,Dati!D908))</f>
        <v/>
      </c>
      <c r="F908" s="18" t="str">
        <f>IF(OR(D908="",E908=""),"",IF(OR(D908&gt;1,E908&gt;1),(E908-D908)/100,E908-D908))</f>
        <v/>
      </c>
      <c r="G908" s="17" t="str">
        <f>IF(F908="","",IF(64*F908=0,"",64*F908))</f>
        <v/>
      </c>
      <c r="H908" s="19" t="str">
        <f>IF(Dati!E908="","",Dati!E908)</f>
        <v/>
      </c>
      <c r="I908" s="19" t="str">
        <f>IFERROR(IF(OR(C908="",C908=0),"",H908/C908*100),"")</f>
        <v/>
      </c>
      <c r="J908" s="20" t="str">
        <f>IF(Dati!F908="","",Dati!F908)</f>
        <v/>
      </c>
      <c r="K908" s="19" t="str">
        <f>IF(OR(H908="",J908=""),"",IF(H908*J908=0,"",H908*J908))</f>
        <v/>
      </c>
      <c r="L908" s="19" t="str">
        <f>IF(A908="","",IFERROR(IF(SUMPRODUCT((ISNUMBER(A$2:A908))*(A$2:A908&gt;1000)*(MONTH(IF(ISNUMBER(A$2:A908),A$2:A908,1))=MONTH(A908))*(YEAR(IF(ISNUMBER(A$2:A908),A$2:A908,1))=YEAR(A908))*IF(ISNUMBER(K$2:K908),K$2:K908,0))=0,"",SUMPRODUCT((ISNUMBER(A$2:A908))*(A$2:A908&gt;1000)*(MONTH(IF(ISNUMBER(A$2:A908),A$2:A908,1))=MONTH(A908))*(YEAR(IF(ISNUMBER(A$2:A908),A$2:A908,1))=YEAR(A908))*IF(ISNUMBER(K$2:K908),K$2:K908,0))),""))</f>
        <v/>
      </c>
      <c r="M908" s="21" t="str">
        <f>IF(A908="","",IFERROR(IF(SUMIF(N$2:N908,"CASA",K$2:K908)=0,"",SUMIF(N$2:N908,"CASA",K$2:K908)),""))</f>
        <v/>
      </c>
      <c r="N908" s="17" t="str">
        <f>IF(J908="","",IF(J908=0.2,"CASA",IF(Dati!G908="","",Dati!G908)))</f>
        <v/>
      </c>
    </row>
    <row r="909" spans="1:14" ht="15" customHeight="1" x14ac:dyDescent="0.2">
      <c r="A909" s="23" t="str">
        <f>IF(Dati!A909="","",Dati!A909)</f>
        <v/>
      </c>
      <c r="B909" s="17" t="str">
        <f>IF(Dati!B909="","",Dati!B909)</f>
        <v/>
      </c>
      <c r="C909" s="17" t="str">
        <f>IF(B909="","",IF(ISNUMBER(B908),IF(B909-B908&lt;0,B909,IF(B909-B908=0,"",B909-B908)),B909))</f>
        <v/>
      </c>
      <c r="D909" s="18" t="str">
        <f>IF(Dati!C909="","",IF(Dati!C909&gt;1,Dati!C909/100,Dati!C909))</f>
        <v/>
      </c>
      <c r="E909" s="18" t="str">
        <f>IF(Dati!D909="","",IF(Dati!D909&gt;1,Dati!D909/100,Dati!D909))</f>
        <v/>
      </c>
      <c r="F909" s="18" t="str">
        <f>IF(OR(D909="",E909=""),"",IF(OR(D909&gt;1,E909&gt;1),(E909-D909)/100,E909-D909))</f>
        <v/>
      </c>
      <c r="G909" s="17" t="str">
        <f>IF(F909="","",IF(64*F909=0,"",64*F909))</f>
        <v/>
      </c>
      <c r="H909" s="19" t="str">
        <f>IF(Dati!E909="","",Dati!E909)</f>
        <v/>
      </c>
      <c r="I909" s="19" t="str">
        <f>IFERROR(IF(OR(C909="",C909=0),"",H909/C909*100),"")</f>
        <v/>
      </c>
      <c r="J909" s="20" t="str">
        <f>IF(Dati!F909="","",Dati!F909)</f>
        <v/>
      </c>
      <c r="K909" s="19" t="str">
        <f>IF(OR(H909="",J909=""),"",IF(H909*J909=0,"",H909*J909))</f>
        <v/>
      </c>
      <c r="L909" s="19" t="str">
        <f>IF(A909="","",IFERROR(IF(SUMPRODUCT((ISNUMBER(A$2:A909))*(A$2:A909&gt;1000)*(MONTH(IF(ISNUMBER(A$2:A909),A$2:A909,1))=MONTH(A909))*(YEAR(IF(ISNUMBER(A$2:A909),A$2:A909,1))=YEAR(A909))*IF(ISNUMBER(K$2:K909),K$2:K909,0))=0,"",SUMPRODUCT((ISNUMBER(A$2:A909))*(A$2:A909&gt;1000)*(MONTH(IF(ISNUMBER(A$2:A909),A$2:A909,1))=MONTH(A909))*(YEAR(IF(ISNUMBER(A$2:A909),A$2:A909,1))=YEAR(A909))*IF(ISNUMBER(K$2:K909),K$2:K909,0))),""))</f>
        <v/>
      </c>
      <c r="M909" s="21" t="str">
        <f>IF(A909="","",IFERROR(IF(SUMIF(N$2:N909,"CASA",K$2:K909)=0,"",SUMIF(N$2:N909,"CASA",K$2:K909)),""))</f>
        <v/>
      </c>
      <c r="N909" s="17" t="str">
        <f>IF(J909="","",IF(J909=0.2,"CASA",IF(Dati!G909="","",Dati!G909)))</f>
        <v/>
      </c>
    </row>
    <row r="910" spans="1:14" ht="15" customHeight="1" x14ac:dyDescent="0.2">
      <c r="A910" s="23" t="str">
        <f>IF(Dati!A910="","",Dati!A910)</f>
        <v/>
      </c>
      <c r="B910" s="17" t="str">
        <f>IF(Dati!B910="","",Dati!B910)</f>
        <v/>
      </c>
      <c r="C910" s="17" t="str">
        <f>IF(B910="","",IF(ISNUMBER(B909),IF(B910-B909&lt;0,B910,IF(B910-B909=0,"",B910-B909)),B910))</f>
        <v/>
      </c>
      <c r="D910" s="18" t="str">
        <f>IF(Dati!C910="","",IF(Dati!C910&gt;1,Dati!C910/100,Dati!C910))</f>
        <v/>
      </c>
      <c r="E910" s="18" t="str">
        <f>IF(Dati!D910="","",IF(Dati!D910&gt;1,Dati!D910/100,Dati!D910))</f>
        <v/>
      </c>
      <c r="F910" s="18" t="str">
        <f>IF(OR(D910="",E910=""),"",IF(OR(D910&gt;1,E910&gt;1),(E910-D910)/100,E910-D910))</f>
        <v/>
      </c>
      <c r="G910" s="17" t="str">
        <f>IF(F910="","",IF(64*F910=0,"",64*F910))</f>
        <v/>
      </c>
      <c r="H910" s="19" t="str">
        <f>IF(Dati!E910="","",Dati!E910)</f>
        <v/>
      </c>
      <c r="I910" s="19" t="str">
        <f>IFERROR(IF(OR(C910="",C910=0),"",H910/C910*100),"")</f>
        <v/>
      </c>
      <c r="J910" s="20" t="str">
        <f>IF(Dati!F910="","",Dati!F910)</f>
        <v/>
      </c>
      <c r="K910" s="19" t="str">
        <f>IF(OR(H910="",J910=""),"",IF(H910*J910=0,"",H910*J910))</f>
        <v/>
      </c>
      <c r="L910" s="19" t="str">
        <f>IF(A910="","",IFERROR(IF(SUMPRODUCT((ISNUMBER(A$2:A910))*(A$2:A910&gt;1000)*(MONTH(IF(ISNUMBER(A$2:A910),A$2:A910,1))=MONTH(A910))*(YEAR(IF(ISNUMBER(A$2:A910),A$2:A910,1))=YEAR(A910))*IF(ISNUMBER(K$2:K910),K$2:K910,0))=0,"",SUMPRODUCT((ISNUMBER(A$2:A910))*(A$2:A910&gt;1000)*(MONTH(IF(ISNUMBER(A$2:A910),A$2:A910,1))=MONTH(A910))*(YEAR(IF(ISNUMBER(A$2:A910),A$2:A910,1))=YEAR(A910))*IF(ISNUMBER(K$2:K910),K$2:K910,0))),""))</f>
        <v/>
      </c>
      <c r="M910" s="21" t="str">
        <f>IF(A910="","",IFERROR(IF(SUMIF(N$2:N910,"CASA",K$2:K910)=0,"",SUMIF(N$2:N910,"CASA",K$2:K910)),""))</f>
        <v/>
      </c>
      <c r="N910" s="17" t="str">
        <f>IF(J910="","",IF(J910=0.2,"CASA",IF(Dati!G910="","",Dati!G910)))</f>
        <v/>
      </c>
    </row>
    <row r="911" spans="1:14" ht="15" customHeight="1" x14ac:dyDescent="0.2">
      <c r="A911" s="23" t="str">
        <f>IF(Dati!A911="","",Dati!A911)</f>
        <v/>
      </c>
      <c r="B911" s="17" t="str">
        <f>IF(Dati!B911="","",Dati!B911)</f>
        <v/>
      </c>
      <c r="C911" s="17" t="str">
        <f>IF(B911="","",IF(ISNUMBER(B910),IF(B911-B910&lt;0,B911,IF(B911-B910=0,"",B911-B910)),B911))</f>
        <v/>
      </c>
      <c r="D911" s="18" t="str">
        <f>IF(Dati!C911="","",IF(Dati!C911&gt;1,Dati!C911/100,Dati!C911))</f>
        <v/>
      </c>
      <c r="E911" s="18" t="str">
        <f>IF(Dati!D911="","",IF(Dati!D911&gt;1,Dati!D911/100,Dati!D911))</f>
        <v/>
      </c>
      <c r="F911" s="18" t="str">
        <f>IF(OR(D911="",E911=""),"",IF(OR(D911&gt;1,E911&gt;1),(E911-D911)/100,E911-D911))</f>
        <v/>
      </c>
      <c r="G911" s="17" t="str">
        <f>IF(F911="","",IF(64*F911=0,"",64*F911))</f>
        <v/>
      </c>
      <c r="H911" s="19" t="str">
        <f>IF(Dati!E911="","",Dati!E911)</f>
        <v/>
      </c>
      <c r="I911" s="19" t="str">
        <f>IFERROR(IF(OR(C911="",C911=0),"",H911/C911*100),"")</f>
        <v/>
      </c>
      <c r="J911" s="20" t="str">
        <f>IF(Dati!F911="","",Dati!F911)</f>
        <v/>
      </c>
      <c r="K911" s="19" t="str">
        <f>IF(OR(H911="",J911=""),"",IF(H911*J911=0,"",H911*J911))</f>
        <v/>
      </c>
      <c r="L911" s="19" t="str">
        <f>IF(A911="","",IFERROR(IF(SUMPRODUCT((ISNUMBER(A$2:A911))*(A$2:A911&gt;1000)*(MONTH(IF(ISNUMBER(A$2:A911),A$2:A911,1))=MONTH(A911))*(YEAR(IF(ISNUMBER(A$2:A911),A$2:A911,1))=YEAR(A911))*IF(ISNUMBER(K$2:K911),K$2:K911,0))=0,"",SUMPRODUCT((ISNUMBER(A$2:A911))*(A$2:A911&gt;1000)*(MONTH(IF(ISNUMBER(A$2:A911),A$2:A911,1))=MONTH(A911))*(YEAR(IF(ISNUMBER(A$2:A911),A$2:A911,1))=YEAR(A911))*IF(ISNUMBER(K$2:K911),K$2:K911,0))),""))</f>
        <v/>
      </c>
      <c r="M911" s="21" t="str">
        <f>IF(A911="","",IFERROR(IF(SUMIF(N$2:N911,"CASA",K$2:K911)=0,"",SUMIF(N$2:N911,"CASA",K$2:K911)),""))</f>
        <v/>
      </c>
      <c r="N911" s="17" t="str">
        <f>IF(J911="","",IF(J911=0.2,"CASA",IF(Dati!G911="","",Dati!G911)))</f>
        <v/>
      </c>
    </row>
    <row r="912" spans="1:14" ht="15" customHeight="1" x14ac:dyDescent="0.2">
      <c r="A912" s="23" t="str">
        <f>IF(Dati!A912="","",Dati!A912)</f>
        <v/>
      </c>
      <c r="B912" s="17" t="str">
        <f>IF(Dati!B912="","",Dati!B912)</f>
        <v/>
      </c>
      <c r="C912" s="17" t="str">
        <f>IF(B912="","",IF(ISNUMBER(B911),IF(B912-B911&lt;0,B912,IF(B912-B911=0,"",B912-B911)),B912))</f>
        <v/>
      </c>
      <c r="D912" s="18" t="str">
        <f>IF(Dati!C912="","",IF(Dati!C912&gt;1,Dati!C912/100,Dati!C912))</f>
        <v/>
      </c>
      <c r="E912" s="18" t="str">
        <f>IF(Dati!D912="","",IF(Dati!D912&gt;1,Dati!D912/100,Dati!D912))</f>
        <v/>
      </c>
      <c r="F912" s="18" t="str">
        <f>IF(OR(D912="",E912=""),"",IF(OR(D912&gt;1,E912&gt;1),(E912-D912)/100,E912-D912))</f>
        <v/>
      </c>
      <c r="G912" s="17" t="str">
        <f>IF(F912="","",IF(64*F912=0,"",64*F912))</f>
        <v/>
      </c>
      <c r="H912" s="19" t="str">
        <f>IF(Dati!E912="","",Dati!E912)</f>
        <v/>
      </c>
      <c r="I912" s="19" t="str">
        <f>IFERROR(IF(OR(C912="",C912=0),"",H912/C912*100),"")</f>
        <v/>
      </c>
      <c r="J912" s="20" t="str">
        <f>IF(Dati!F912="","",Dati!F912)</f>
        <v/>
      </c>
      <c r="K912" s="19" t="str">
        <f>IF(OR(H912="",J912=""),"",IF(H912*J912=0,"",H912*J912))</f>
        <v/>
      </c>
      <c r="L912" s="19" t="str">
        <f>IF(A912="","",IFERROR(IF(SUMPRODUCT((ISNUMBER(A$2:A912))*(A$2:A912&gt;1000)*(MONTH(IF(ISNUMBER(A$2:A912),A$2:A912,1))=MONTH(A912))*(YEAR(IF(ISNUMBER(A$2:A912),A$2:A912,1))=YEAR(A912))*IF(ISNUMBER(K$2:K912),K$2:K912,0))=0,"",SUMPRODUCT((ISNUMBER(A$2:A912))*(A$2:A912&gt;1000)*(MONTH(IF(ISNUMBER(A$2:A912),A$2:A912,1))=MONTH(A912))*(YEAR(IF(ISNUMBER(A$2:A912),A$2:A912,1))=YEAR(A912))*IF(ISNUMBER(K$2:K912),K$2:K912,0))),""))</f>
        <v/>
      </c>
      <c r="M912" s="21" t="str">
        <f>IF(A912="","",IFERROR(IF(SUMIF(N$2:N912,"CASA",K$2:K912)=0,"",SUMIF(N$2:N912,"CASA",K$2:K912)),""))</f>
        <v/>
      </c>
      <c r="N912" s="17" t="str">
        <f>IF(J912="","",IF(J912=0.2,"CASA",IF(Dati!G912="","",Dati!G912)))</f>
        <v/>
      </c>
    </row>
    <row r="913" spans="1:14" ht="15" customHeight="1" x14ac:dyDescent="0.2">
      <c r="A913" s="23" t="str">
        <f>IF(Dati!A913="","",Dati!A913)</f>
        <v/>
      </c>
      <c r="B913" s="17" t="str">
        <f>IF(Dati!B913="","",Dati!B913)</f>
        <v/>
      </c>
      <c r="C913" s="17" t="str">
        <f>IF(B913="","",IF(ISNUMBER(B912),IF(B913-B912&lt;0,B913,IF(B913-B912=0,"",B913-B912)),B913))</f>
        <v/>
      </c>
      <c r="D913" s="18" t="str">
        <f>IF(Dati!C913="","",IF(Dati!C913&gt;1,Dati!C913/100,Dati!C913))</f>
        <v/>
      </c>
      <c r="E913" s="18" t="str">
        <f>IF(Dati!D913="","",IF(Dati!D913&gt;1,Dati!D913/100,Dati!D913))</f>
        <v/>
      </c>
      <c r="F913" s="18" t="str">
        <f>IF(OR(D913="",E913=""),"",IF(OR(D913&gt;1,E913&gt;1),(E913-D913)/100,E913-D913))</f>
        <v/>
      </c>
      <c r="G913" s="17" t="str">
        <f>IF(F913="","",IF(64*F913=0,"",64*F913))</f>
        <v/>
      </c>
      <c r="H913" s="19" t="str">
        <f>IF(Dati!E913="","",Dati!E913)</f>
        <v/>
      </c>
      <c r="I913" s="19" t="str">
        <f>IFERROR(IF(OR(C913="",C913=0),"",H913/C913*100),"")</f>
        <v/>
      </c>
      <c r="J913" s="20" t="str">
        <f>IF(Dati!F913="","",Dati!F913)</f>
        <v/>
      </c>
      <c r="K913" s="19" t="str">
        <f>IF(OR(H913="",J913=""),"",IF(H913*J913=0,"",H913*J913))</f>
        <v/>
      </c>
      <c r="L913" s="19" t="str">
        <f>IF(A913="","",IFERROR(IF(SUMPRODUCT((ISNUMBER(A$2:A913))*(A$2:A913&gt;1000)*(MONTH(IF(ISNUMBER(A$2:A913),A$2:A913,1))=MONTH(A913))*(YEAR(IF(ISNUMBER(A$2:A913),A$2:A913,1))=YEAR(A913))*IF(ISNUMBER(K$2:K913),K$2:K913,0))=0,"",SUMPRODUCT((ISNUMBER(A$2:A913))*(A$2:A913&gt;1000)*(MONTH(IF(ISNUMBER(A$2:A913),A$2:A913,1))=MONTH(A913))*(YEAR(IF(ISNUMBER(A$2:A913),A$2:A913,1))=YEAR(A913))*IF(ISNUMBER(K$2:K913),K$2:K913,0))),""))</f>
        <v/>
      </c>
      <c r="M913" s="21" t="str">
        <f>IF(A913="","",IFERROR(IF(SUMIF(N$2:N913,"CASA",K$2:K913)=0,"",SUMIF(N$2:N913,"CASA",K$2:K913)),""))</f>
        <v/>
      </c>
      <c r="N913" s="17" t="str">
        <f>IF(J913="","",IF(J913=0.2,"CASA",IF(Dati!G913="","",Dati!G913)))</f>
        <v/>
      </c>
    </row>
    <row r="914" spans="1:14" ht="15" customHeight="1" x14ac:dyDescent="0.2">
      <c r="A914" s="23" t="str">
        <f>IF(Dati!A914="","",Dati!A914)</f>
        <v/>
      </c>
      <c r="B914" s="17" t="str">
        <f>IF(Dati!B914="","",Dati!B914)</f>
        <v/>
      </c>
      <c r="C914" s="17" t="str">
        <f>IF(B914="","",IF(ISNUMBER(B913),IF(B914-B913&lt;0,B914,IF(B914-B913=0,"",B914-B913)),B914))</f>
        <v/>
      </c>
      <c r="D914" s="18" t="str">
        <f>IF(Dati!C914="","",IF(Dati!C914&gt;1,Dati!C914/100,Dati!C914))</f>
        <v/>
      </c>
      <c r="E914" s="18" t="str">
        <f>IF(Dati!D914="","",IF(Dati!D914&gt;1,Dati!D914/100,Dati!D914))</f>
        <v/>
      </c>
      <c r="F914" s="18" t="str">
        <f>IF(OR(D914="",E914=""),"",IF(OR(D914&gt;1,E914&gt;1),(E914-D914)/100,E914-D914))</f>
        <v/>
      </c>
      <c r="G914" s="17" t="str">
        <f>IF(F914="","",IF(64*F914=0,"",64*F914))</f>
        <v/>
      </c>
      <c r="H914" s="19" t="str">
        <f>IF(Dati!E914="","",Dati!E914)</f>
        <v/>
      </c>
      <c r="I914" s="19" t="str">
        <f>IFERROR(IF(OR(C914="",C914=0),"",H914/C914*100),"")</f>
        <v/>
      </c>
      <c r="J914" s="20" t="str">
        <f>IF(Dati!F914="","",Dati!F914)</f>
        <v/>
      </c>
      <c r="K914" s="19" t="str">
        <f>IF(OR(H914="",J914=""),"",IF(H914*J914=0,"",H914*J914))</f>
        <v/>
      </c>
      <c r="L914" s="19" t="str">
        <f>IF(A914="","",IFERROR(IF(SUMPRODUCT((ISNUMBER(A$2:A914))*(A$2:A914&gt;1000)*(MONTH(IF(ISNUMBER(A$2:A914),A$2:A914,1))=MONTH(A914))*(YEAR(IF(ISNUMBER(A$2:A914),A$2:A914,1))=YEAR(A914))*IF(ISNUMBER(K$2:K914),K$2:K914,0))=0,"",SUMPRODUCT((ISNUMBER(A$2:A914))*(A$2:A914&gt;1000)*(MONTH(IF(ISNUMBER(A$2:A914),A$2:A914,1))=MONTH(A914))*(YEAR(IF(ISNUMBER(A$2:A914),A$2:A914,1))=YEAR(A914))*IF(ISNUMBER(K$2:K914),K$2:K914,0))),""))</f>
        <v/>
      </c>
      <c r="M914" s="21" t="str">
        <f>IF(A914="","",IFERROR(IF(SUMIF(N$2:N914,"CASA",K$2:K914)=0,"",SUMIF(N$2:N914,"CASA",K$2:K914)),""))</f>
        <v/>
      </c>
      <c r="N914" s="17" t="str">
        <f>IF(J914="","",IF(J914=0.2,"CASA",IF(Dati!G914="","",Dati!G914)))</f>
        <v/>
      </c>
    </row>
    <row r="915" spans="1:14" ht="15" customHeight="1" x14ac:dyDescent="0.2">
      <c r="A915" s="23" t="str">
        <f>IF(Dati!A915="","",Dati!A915)</f>
        <v/>
      </c>
      <c r="B915" s="17" t="str">
        <f>IF(Dati!B915="","",Dati!B915)</f>
        <v/>
      </c>
      <c r="C915" s="17" t="str">
        <f>IF(B915="","",IF(ISNUMBER(B914),IF(B915-B914&lt;0,B915,IF(B915-B914=0,"",B915-B914)),B915))</f>
        <v/>
      </c>
      <c r="D915" s="18" t="str">
        <f>IF(Dati!C915="","",IF(Dati!C915&gt;1,Dati!C915/100,Dati!C915))</f>
        <v/>
      </c>
      <c r="E915" s="18" t="str">
        <f>IF(Dati!D915="","",IF(Dati!D915&gt;1,Dati!D915/100,Dati!D915))</f>
        <v/>
      </c>
      <c r="F915" s="18" t="str">
        <f>IF(OR(D915="",E915=""),"",IF(OR(D915&gt;1,E915&gt;1),(E915-D915)/100,E915-D915))</f>
        <v/>
      </c>
      <c r="G915" s="17" t="str">
        <f>IF(F915="","",IF(64*F915=0,"",64*F915))</f>
        <v/>
      </c>
      <c r="H915" s="19" t="str">
        <f>IF(Dati!E915="","",Dati!E915)</f>
        <v/>
      </c>
      <c r="I915" s="19" t="str">
        <f>IFERROR(IF(OR(C915="",C915=0),"",H915/C915*100),"")</f>
        <v/>
      </c>
      <c r="J915" s="20" t="str">
        <f>IF(Dati!F915="","",Dati!F915)</f>
        <v/>
      </c>
      <c r="K915" s="19" t="str">
        <f>IF(OR(H915="",J915=""),"",IF(H915*J915=0,"",H915*J915))</f>
        <v/>
      </c>
      <c r="L915" s="19" t="str">
        <f>IF(A915="","",IFERROR(IF(SUMPRODUCT((ISNUMBER(A$2:A915))*(A$2:A915&gt;1000)*(MONTH(IF(ISNUMBER(A$2:A915),A$2:A915,1))=MONTH(A915))*(YEAR(IF(ISNUMBER(A$2:A915),A$2:A915,1))=YEAR(A915))*IF(ISNUMBER(K$2:K915),K$2:K915,0))=0,"",SUMPRODUCT((ISNUMBER(A$2:A915))*(A$2:A915&gt;1000)*(MONTH(IF(ISNUMBER(A$2:A915),A$2:A915,1))=MONTH(A915))*(YEAR(IF(ISNUMBER(A$2:A915),A$2:A915,1))=YEAR(A915))*IF(ISNUMBER(K$2:K915),K$2:K915,0))),""))</f>
        <v/>
      </c>
      <c r="M915" s="21" t="str">
        <f>IF(A915="","",IFERROR(IF(SUMIF(N$2:N915,"CASA",K$2:K915)=0,"",SUMIF(N$2:N915,"CASA",K$2:K915)),""))</f>
        <v/>
      </c>
      <c r="N915" s="17" t="str">
        <f>IF(J915="","",IF(J915=0.2,"CASA",IF(Dati!G915="","",Dati!G915)))</f>
        <v/>
      </c>
    </row>
    <row r="916" spans="1:14" ht="15" customHeight="1" x14ac:dyDescent="0.2">
      <c r="A916" s="23" t="str">
        <f>IF(Dati!A916="","",Dati!A916)</f>
        <v/>
      </c>
      <c r="B916" s="17" t="str">
        <f>IF(Dati!B916="","",Dati!B916)</f>
        <v/>
      </c>
      <c r="C916" s="17" t="str">
        <f>IF(B916="","",IF(ISNUMBER(B915),IF(B916-B915&lt;0,B916,IF(B916-B915=0,"",B916-B915)),B916))</f>
        <v/>
      </c>
      <c r="D916" s="18" t="str">
        <f>IF(Dati!C916="","",IF(Dati!C916&gt;1,Dati!C916/100,Dati!C916))</f>
        <v/>
      </c>
      <c r="E916" s="18" t="str">
        <f>IF(Dati!D916="","",IF(Dati!D916&gt;1,Dati!D916/100,Dati!D916))</f>
        <v/>
      </c>
      <c r="F916" s="18" t="str">
        <f>IF(OR(D916="",E916=""),"",IF(OR(D916&gt;1,E916&gt;1),(E916-D916)/100,E916-D916))</f>
        <v/>
      </c>
      <c r="G916" s="17" t="str">
        <f>IF(F916="","",IF(64*F916=0,"",64*F916))</f>
        <v/>
      </c>
      <c r="H916" s="19" t="str">
        <f>IF(Dati!E916="","",Dati!E916)</f>
        <v/>
      </c>
      <c r="I916" s="19" t="str">
        <f>IFERROR(IF(OR(C916="",C916=0),"",H916/C916*100),"")</f>
        <v/>
      </c>
      <c r="J916" s="20" t="str">
        <f>IF(Dati!F916="","",Dati!F916)</f>
        <v/>
      </c>
      <c r="K916" s="19" t="str">
        <f>IF(OR(H916="",J916=""),"",IF(H916*J916=0,"",H916*J916))</f>
        <v/>
      </c>
      <c r="L916" s="19" t="str">
        <f>IF(A916="","",IFERROR(IF(SUMPRODUCT((ISNUMBER(A$2:A916))*(A$2:A916&gt;1000)*(MONTH(IF(ISNUMBER(A$2:A916),A$2:A916,1))=MONTH(A916))*(YEAR(IF(ISNUMBER(A$2:A916),A$2:A916,1))=YEAR(A916))*IF(ISNUMBER(K$2:K916),K$2:K916,0))=0,"",SUMPRODUCT((ISNUMBER(A$2:A916))*(A$2:A916&gt;1000)*(MONTH(IF(ISNUMBER(A$2:A916),A$2:A916,1))=MONTH(A916))*(YEAR(IF(ISNUMBER(A$2:A916),A$2:A916,1))=YEAR(A916))*IF(ISNUMBER(K$2:K916),K$2:K916,0))),""))</f>
        <v/>
      </c>
      <c r="M916" s="21" t="str">
        <f>IF(A916="","",IFERROR(IF(SUMIF(N$2:N916,"CASA",K$2:K916)=0,"",SUMIF(N$2:N916,"CASA",K$2:K916)),""))</f>
        <v/>
      </c>
      <c r="N916" s="17" t="str">
        <f>IF(J916="","",IF(J916=0.2,"CASA",IF(Dati!G916="","",Dati!G916)))</f>
        <v/>
      </c>
    </row>
    <row r="917" spans="1:14" ht="15" customHeight="1" x14ac:dyDescent="0.2">
      <c r="A917" s="23" t="str">
        <f>IF(Dati!A917="","",Dati!A917)</f>
        <v/>
      </c>
      <c r="B917" s="17" t="str">
        <f>IF(Dati!B917="","",Dati!B917)</f>
        <v/>
      </c>
      <c r="C917" s="17" t="str">
        <f>IF(B917="","",IF(ISNUMBER(B916),IF(B917-B916&lt;0,B917,IF(B917-B916=0,"",B917-B916)),B917))</f>
        <v/>
      </c>
      <c r="D917" s="18" t="str">
        <f>IF(Dati!C917="","",IF(Dati!C917&gt;1,Dati!C917/100,Dati!C917))</f>
        <v/>
      </c>
      <c r="E917" s="18" t="str">
        <f>IF(Dati!D917="","",IF(Dati!D917&gt;1,Dati!D917/100,Dati!D917))</f>
        <v/>
      </c>
      <c r="F917" s="18" t="str">
        <f>IF(OR(D917="",E917=""),"",IF(OR(D917&gt;1,E917&gt;1),(E917-D917)/100,E917-D917))</f>
        <v/>
      </c>
      <c r="G917" s="17" t="str">
        <f>IF(F917="","",IF(64*F917=0,"",64*F917))</f>
        <v/>
      </c>
      <c r="H917" s="19" t="str">
        <f>IF(Dati!E917="","",Dati!E917)</f>
        <v/>
      </c>
      <c r="I917" s="19" t="str">
        <f>IFERROR(IF(OR(C917="",C917=0),"",H917/C917*100),"")</f>
        <v/>
      </c>
      <c r="J917" s="20" t="str">
        <f>IF(Dati!F917="","",Dati!F917)</f>
        <v/>
      </c>
      <c r="K917" s="19" t="str">
        <f>IF(OR(H917="",J917=""),"",IF(H917*J917=0,"",H917*J917))</f>
        <v/>
      </c>
      <c r="L917" s="19" t="str">
        <f>IF(A917="","",IFERROR(IF(SUMPRODUCT((ISNUMBER(A$2:A917))*(A$2:A917&gt;1000)*(MONTH(IF(ISNUMBER(A$2:A917),A$2:A917,1))=MONTH(A917))*(YEAR(IF(ISNUMBER(A$2:A917),A$2:A917,1))=YEAR(A917))*IF(ISNUMBER(K$2:K917),K$2:K917,0))=0,"",SUMPRODUCT((ISNUMBER(A$2:A917))*(A$2:A917&gt;1000)*(MONTH(IF(ISNUMBER(A$2:A917),A$2:A917,1))=MONTH(A917))*(YEAR(IF(ISNUMBER(A$2:A917),A$2:A917,1))=YEAR(A917))*IF(ISNUMBER(K$2:K917),K$2:K917,0))),""))</f>
        <v/>
      </c>
      <c r="M917" s="21" t="str">
        <f>IF(A917="","",IFERROR(IF(SUMIF(N$2:N917,"CASA",K$2:K917)=0,"",SUMIF(N$2:N917,"CASA",K$2:K917)),""))</f>
        <v/>
      </c>
      <c r="N917" s="17" t="str">
        <f>IF(J917="","",IF(J917=0.2,"CASA",IF(Dati!G917="","",Dati!G917)))</f>
        <v/>
      </c>
    </row>
    <row r="918" spans="1:14" ht="15" customHeight="1" x14ac:dyDescent="0.2">
      <c r="A918" s="23" t="str">
        <f>IF(Dati!A918="","",Dati!A918)</f>
        <v/>
      </c>
      <c r="B918" s="17" t="str">
        <f>IF(Dati!B918="","",Dati!B918)</f>
        <v/>
      </c>
      <c r="C918" s="17" t="str">
        <f>IF(B918="","",IF(ISNUMBER(B917),IF(B918-B917&lt;0,B918,IF(B918-B917=0,"",B918-B917)),B918))</f>
        <v/>
      </c>
      <c r="D918" s="18" t="str">
        <f>IF(Dati!C918="","",IF(Dati!C918&gt;1,Dati!C918/100,Dati!C918))</f>
        <v/>
      </c>
      <c r="E918" s="18" t="str">
        <f>IF(Dati!D918="","",IF(Dati!D918&gt;1,Dati!D918/100,Dati!D918))</f>
        <v/>
      </c>
      <c r="F918" s="18" t="str">
        <f>IF(OR(D918="",E918=""),"",IF(OR(D918&gt;1,E918&gt;1),(E918-D918)/100,E918-D918))</f>
        <v/>
      </c>
      <c r="G918" s="17" t="str">
        <f>IF(F918="","",IF(64*F918=0,"",64*F918))</f>
        <v/>
      </c>
      <c r="H918" s="19" t="str">
        <f>IF(Dati!E918="","",Dati!E918)</f>
        <v/>
      </c>
      <c r="I918" s="19" t="str">
        <f>IFERROR(IF(OR(C918="",C918=0),"",H918/C918*100),"")</f>
        <v/>
      </c>
      <c r="J918" s="20" t="str">
        <f>IF(Dati!F918="","",Dati!F918)</f>
        <v/>
      </c>
      <c r="K918" s="19" t="str">
        <f>IF(OR(H918="",J918=""),"",IF(H918*J918=0,"",H918*J918))</f>
        <v/>
      </c>
      <c r="L918" s="19" t="str">
        <f>IF(A918="","",IFERROR(IF(SUMPRODUCT((ISNUMBER(A$2:A918))*(A$2:A918&gt;1000)*(MONTH(IF(ISNUMBER(A$2:A918),A$2:A918,1))=MONTH(A918))*(YEAR(IF(ISNUMBER(A$2:A918),A$2:A918,1))=YEAR(A918))*IF(ISNUMBER(K$2:K918),K$2:K918,0))=0,"",SUMPRODUCT((ISNUMBER(A$2:A918))*(A$2:A918&gt;1000)*(MONTH(IF(ISNUMBER(A$2:A918),A$2:A918,1))=MONTH(A918))*(YEAR(IF(ISNUMBER(A$2:A918),A$2:A918,1))=YEAR(A918))*IF(ISNUMBER(K$2:K918),K$2:K918,0))),""))</f>
        <v/>
      </c>
      <c r="M918" s="21" t="str">
        <f>IF(A918="","",IFERROR(IF(SUMIF(N$2:N918,"CASA",K$2:K918)=0,"",SUMIF(N$2:N918,"CASA",K$2:K918)),""))</f>
        <v/>
      </c>
      <c r="N918" s="17" t="str">
        <f>IF(J918="","",IF(J918=0.2,"CASA",IF(Dati!G918="","",Dati!G918)))</f>
        <v/>
      </c>
    </row>
    <row r="919" spans="1:14" ht="15" customHeight="1" x14ac:dyDescent="0.2">
      <c r="A919" s="23" t="str">
        <f>IF(Dati!A919="","",Dati!A919)</f>
        <v/>
      </c>
      <c r="B919" s="17" t="str">
        <f>IF(Dati!B919="","",Dati!B919)</f>
        <v/>
      </c>
      <c r="C919" s="17" t="str">
        <f>IF(B919="","",IF(ISNUMBER(B918),IF(B919-B918&lt;0,B919,IF(B919-B918=0,"",B919-B918)),B919))</f>
        <v/>
      </c>
      <c r="D919" s="18" t="str">
        <f>IF(Dati!C919="","",IF(Dati!C919&gt;1,Dati!C919/100,Dati!C919))</f>
        <v/>
      </c>
      <c r="E919" s="18" t="str">
        <f>IF(Dati!D919="","",IF(Dati!D919&gt;1,Dati!D919/100,Dati!D919))</f>
        <v/>
      </c>
      <c r="F919" s="18" t="str">
        <f>IF(OR(D919="",E919=""),"",IF(OR(D919&gt;1,E919&gt;1),(E919-D919)/100,E919-D919))</f>
        <v/>
      </c>
      <c r="G919" s="17" t="str">
        <f>IF(F919="","",IF(64*F919=0,"",64*F919))</f>
        <v/>
      </c>
      <c r="H919" s="19" t="str">
        <f>IF(Dati!E919="","",Dati!E919)</f>
        <v/>
      </c>
      <c r="I919" s="19" t="str">
        <f>IFERROR(IF(OR(C919="",C919=0),"",H919/C919*100),"")</f>
        <v/>
      </c>
      <c r="J919" s="20" t="str">
        <f>IF(Dati!F919="","",Dati!F919)</f>
        <v/>
      </c>
      <c r="K919" s="19" t="str">
        <f>IF(OR(H919="",J919=""),"",IF(H919*J919=0,"",H919*J919))</f>
        <v/>
      </c>
      <c r="L919" s="19" t="str">
        <f>IF(A919="","",IFERROR(IF(SUMPRODUCT((ISNUMBER(A$2:A919))*(A$2:A919&gt;1000)*(MONTH(IF(ISNUMBER(A$2:A919),A$2:A919,1))=MONTH(A919))*(YEAR(IF(ISNUMBER(A$2:A919),A$2:A919,1))=YEAR(A919))*IF(ISNUMBER(K$2:K919),K$2:K919,0))=0,"",SUMPRODUCT((ISNUMBER(A$2:A919))*(A$2:A919&gt;1000)*(MONTH(IF(ISNUMBER(A$2:A919),A$2:A919,1))=MONTH(A919))*(YEAR(IF(ISNUMBER(A$2:A919),A$2:A919,1))=YEAR(A919))*IF(ISNUMBER(K$2:K919),K$2:K919,0))),""))</f>
        <v/>
      </c>
      <c r="M919" s="21" t="str">
        <f>IF(A919="","",IFERROR(IF(SUMIF(N$2:N919,"CASA",K$2:K919)=0,"",SUMIF(N$2:N919,"CASA",K$2:K919)),""))</f>
        <v/>
      </c>
      <c r="N919" s="17" t="str">
        <f>IF(J919="","",IF(J919=0.2,"CASA",IF(Dati!G919="","",Dati!G919)))</f>
        <v/>
      </c>
    </row>
    <row r="920" spans="1:14" ht="15" customHeight="1" x14ac:dyDescent="0.2">
      <c r="A920" s="23" t="str">
        <f>IF(Dati!A920="","",Dati!A920)</f>
        <v/>
      </c>
      <c r="B920" s="17" t="str">
        <f>IF(Dati!B920="","",Dati!B920)</f>
        <v/>
      </c>
      <c r="C920" s="17" t="str">
        <f>IF(B920="","",IF(ISNUMBER(B919),IF(B920-B919&lt;0,B920,IF(B920-B919=0,"",B920-B919)),B920))</f>
        <v/>
      </c>
      <c r="D920" s="18" t="str">
        <f>IF(Dati!C920="","",IF(Dati!C920&gt;1,Dati!C920/100,Dati!C920))</f>
        <v/>
      </c>
      <c r="E920" s="18" t="str">
        <f>IF(Dati!D920="","",IF(Dati!D920&gt;1,Dati!D920/100,Dati!D920))</f>
        <v/>
      </c>
      <c r="F920" s="18" t="str">
        <f>IF(OR(D920="",E920=""),"",IF(OR(D920&gt;1,E920&gt;1),(E920-D920)/100,E920-D920))</f>
        <v/>
      </c>
      <c r="G920" s="17" t="str">
        <f>IF(F920="","",IF(64*F920=0,"",64*F920))</f>
        <v/>
      </c>
      <c r="H920" s="19" t="str">
        <f>IF(Dati!E920="","",Dati!E920)</f>
        <v/>
      </c>
      <c r="I920" s="19" t="str">
        <f>IFERROR(IF(OR(C920="",C920=0),"",H920/C920*100),"")</f>
        <v/>
      </c>
      <c r="J920" s="20" t="str">
        <f>IF(Dati!F920="","",Dati!F920)</f>
        <v/>
      </c>
      <c r="K920" s="19" t="str">
        <f>IF(OR(H920="",J920=""),"",IF(H920*J920=0,"",H920*J920))</f>
        <v/>
      </c>
      <c r="L920" s="19" t="str">
        <f>IF(A920="","",IFERROR(IF(SUMPRODUCT((ISNUMBER(A$2:A920))*(A$2:A920&gt;1000)*(MONTH(IF(ISNUMBER(A$2:A920),A$2:A920,1))=MONTH(A920))*(YEAR(IF(ISNUMBER(A$2:A920),A$2:A920,1))=YEAR(A920))*IF(ISNUMBER(K$2:K920),K$2:K920,0))=0,"",SUMPRODUCT((ISNUMBER(A$2:A920))*(A$2:A920&gt;1000)*(MONTH(IF(ISNUMBER(A$2:A920),A$2:A920,1))=MONTH(A920))*(YEAR(IF(ISNUMBER(A$2:A920),A$2:A920,1))=YEAR(A920))*IF(ISNUMBER(K$2:K920),K$2:K920,0))),""))</f>
        <v/>
      </c>
      <c r="M920" s="21" t="str">
        <f>IF(A920="","",IFERROR(IF(SUMIF(N$2:N920,"CASA",K$2:K920)=0,"",SUMIF(N$2:N920,"CASA",K$2:K920)),""))</f>
        <v/>
      </c>
      <c r="N920" s="17" t="str">
        <f>IF(J920="","",IF(J920=0.2,"CASA",IF(Dati!G920="","",Dati!G920)))</f>
        <v/>
      </c>
    </row>
    <row r="921" spans="1:14" ht="15" customHeight="1" x14ac:dyDescent="0.2">
      <c r="A921" s="23" t="str">
        <f>IF(Dati!A921="","",Dati!A921)</f>
        <v/>
      </c>
      <c r="B921" s="17" t="str">
        <f>IF(Dati!B921="","",Dati!B921)</f>
        <v/>
      </c>
      <c r="C921" s="17" t="str">
        <f>IF(B921="","",IF(ISNUMBER(B920),IF(B921-B920&lt;0,B921,IF(B921-B920=0,"",B921-B920)),B921))</f>
        <v/>
      </c>
      <c r="D921" s="18" t="str">
        <f>IF(Dati!C921="","",IF(Dati!C921&gt;1,Dati!C921/100,Dati!C921))</f>
        <v/>
      </c>
      <c r="E921" s="18" t="str">
        <f>IF(Dati!D921="","",IF(Dati!D921&gt;1,Dati!D921/100,Dati!D921))</f>
        <v/>
      </c>
      <c r="F921" s="18" t="str">
        <f>IF(OR(D921="",E921=""),"",IF(OR(D921&gt;1,E921&gt;1),(E921-D921)/100,E921-D921))</f>
        <v/>
      </c>
      <c r="G921" s="17" t="str">
        <f>IF(F921="","",IF(64*F921=0,"",64*F921))</f>
        <v/>
      </c>
      <c r="H921" s="19" t="str">
        <f>IF(Dati!E921="","",Dati!E921)</f>
        <v/>
      </c>
      <c r="I921" s="19" t="str">
        <f>IFERROR(IF(OR(C921="",C921=0),"",H921/C921*100),"")</f>
        <v/>
      </c>
      <c r="J921" s="20" t="str">
        <f>IF(Dati!F921="","",Dati!F921)</f>
        <v/>
      </c>
      <c r="K921" s="19" t="str">
        <f>IF(OR(H921="",J921=""),"",IF(H921*J921=0,"",H921*J921))</f>
        <v/>
      </c>
      <c r="L921" s="19" t="str">
        <f>IF(A921="","",IFERROR(IF(SUMPRODUCT((ISNUMBER(A$2:A921))*(A$2:A921&gt;1000)*(MONTH(IF(ISNUMBER(A$2:A921),A$2:A921,1))=MONTH(A921))*(YEAR(IF(ISNUMBER(A$2:A921),A$2:A921,1))=YEAR(A921))*IF(ISNUMBER(K$2:K921),K$2:K921,0))=0,"",SUMPRODUCT((ISNUMBER(A$2:A921))*(A$2:A921&gt;1000)*(MONTH(IF(ISNUMBER(A$2:A921),A$2:A921,1))=MONTH(A921))*(YEAR(IF(ISNUMBER(A$2:A921),A$2:A921,1))=YEAR(A921))*IF(ISNUMBER(K$2:K921),K$2:K921,0))),""))</f>
        <v/>
      </c>
      <c r="M921" s="21" t="str">
        <f>IF(A921="","",IFERROR(IF(SUMIF(N$2:N921,"CASA",K$2:K921)=0,"",SUMIF(N$2:N921,"CASA",K$2:K921)),""))</f>
        <v/>
      </c>
      <c r="N921" s="17" t="str">
        <f>IF(J921="","",IF(J921=0.2,"CASA",IF(Dati!G921="","",Dati!G921)))</f>
        <v/>
      </c>
    </row>
    <row r="922" spans="1:14" ht="15" customHeight="1" x14ac:dyDescent="0.2">
      <c r="A922" s="23" t="str">
        <f>IF(Dati!A922="","",Dati!A922)</f>
        <v/>
      </c>
      <c r="B922" s="17" t="str">
        <f>IF(Dati!B922="","",Dati!B922)</f>
        <v/>
      </c>
      <c r="C922" s="17" t="str">
        <f>IF(B922="","",IF(ISNUMBER(B921),IF(B922-B921&lt;0,B922,IF(B922-B921=0,"",B922-B921)),B922))</f>
        <v/>
      </c>
      <c r="D922" s="18" t="str">
        <f>IF(Dati!C922="","",IF(Dati!C922&gt;1,Dati!C922/100,Dati!C922))</f>
        <v/>
      </c>
      <c r="E922" s="18" t="str">
        <f>IF(Dati!D922="","",IF(Dati!D922&gt;1,Dati!D922/100,Dati!D922))</f>
        <v/>
      </c>
      <c r="F922" s="18" t="str">
        <f>IF(OR(D922="",E922=""),"",IF(OR(D922&gt;1,E922&gt;1),(E922-D922)/100,E922-D922))</f>
        <v/>
      </c>
      <c r="G922" s="17" t="str">
        <f>IF(F922="","",IF(64*F922=0,"",64*F922))</f>
        <v/>
      </c>
      <c r="H922" s="19" t="str">
        <f>IF(Dati!E922="","",Dati!E922)</f>
        <v/>
      </c>
      <c r="I922" s="19" t="str">
        <f>IFERROR(IF(OR(C922="",C922=0),"",H922/C922*100),"")</f>
        <v/>
      </c>
      <c r="J922" s="20" t="str">
        <f>IF(Dati!F922="","",Dati!F922)</f>
        <v/>
      </c>
      <c r="K922" s="19" t="str">
        <f>IF(OR(H922="",J922=""),"",IF(H922*J922=0,"",H922*J922))</f>
        <v/>
      </c>
      <c r="L922" s="19" t="str">
        <f>IF(A922="","",IFERROR(IF(SUMPRODUCT((ISNUMBER(A$2:A922))*(A$2:A922&gt;1000)*(MONTH(IF(ISNUMBER(A$2:A922),A$2:A922,1))=MONTH(A922))*(YEAR(IF(ISNUMBER(A$2:A922),A$2:A922,1))=YEAR(A922))*IF(ISNUMBER(K$2:K922),K$2:K922,0))=0,"",SUMPRODUCT((ISNUMBER(A$2:A922))*(A$2:A922&gt;1000)*(MONTH(IF(ISNUMBER(A$2:A922),A$2:A922,1))=MONTH(A922))*(YEAR(IF(ISNUMBER(A$2:A922),A$2:A922,1))=YEAR(A922))*IF(ISNUMBER(K$2:K922),K$2:K922,0))),""))</f>
        <v/>
      </c>
      <c r="M922" s="21" t="str">
        <f>IF(A922="","",IFERROR(IF(SUMIF(N$2:N922,"CASA",K$2:K922)=0,"",SUMIF(N$2:N922,"CASA",K$2:K922)),""))</f>
        <v/>
      </c>
      <c r="N922" s="17" t="str">
        <f>IF(J922="","",IF(J922=0.2,"CASA",IF(Dati!G922="","",Dati!G922)))</f>
        <v/>
      </c>
    </row>
    <row r="923" spans="1:14" ht="15" customHeight="1" x14ac:dyDescent="0.2">
      <c r="A923" s="23" t="str">
        <f>IF(Dati!A923="","",Dati!A923)</f>
        <v/>
      </c>
      <c r="B923" s="17" t="str">
        <f>IF(Dati!B923="","",Dati!B923)</f>
        <v/>
      </c>
      <c r="C923" s="17" t="str">
        <f>IF(B923="","",IF(ISNUMBER(B922),IF(B923-B922&lt;0,B923,IF(B923-B922=0,"",B923-B922)),B923))</f>
        <v/>
      </c>
      <c r="D923" s="18" t="str">
        <f>IF(Dati!C923="","",IF(Dati!C923&gt;1,Dati!C923/100,Dati!C923))</f>
        <v/>
      </c>
      <c r="E923" s="18" t="str">
        <f>IF(Dati!D923="","",IF(Dati!D923&gt;1,Dati!D923/100,Dati!D923))</f>
        <v/>
      </c>
      <c r="F923" s="18" t="str">
        <f>IF(OR(D923="",E923=""),"",IF(OR(D923&gt;1,E923&gt;1),(E923-D923)/100,E923-D923))</f>
        <v/>
      </c>
      <c r="G923" s="17" t="str">
        <f>IF(F923="","",IF(64*F923=0,"",64*F923))</f>
        <v/>
      </c>
      <c r="H923" s="19" t="str">
        <f>IF(Dati!E923="","",Dati!E923)</f>
        <v/>
      </c>
      <c r="I923" s="19" t="str">
        <f>IFERROR(IF(OR(C923="",C923=0),"",H923/C923*100),"")</f>
        <v/>
      </c>
      <c r="J923" s="20" t="str">
        <f>IF(Dati!F923="","",Dati!F923)</f>
        <v/>
      </c>
      <c r="K923" s="19" t="str">
        <f>IF(OR(H923="",J923=""),"",IF(H923*J923=0,"",H923*J923))</f>
        <v/>
      </c>
      <c r="L923" s="19" t="str">
        <f>IF(A923="","",IFERROR(IF(SUMPRODUCT((ISNUMBER(A$2:A923))*(A$2:A923&gt;1000)*(MONTH(IF(ISNUMBER(A$2:A923),A$2:A923,1))=MONTH(A923))*(YEAR(IF(ISNUMBER(A$2:A923),A$2:A923,1))=YEAR(A923))*IF(ISNUMBER(K$2:K923),K$2:K923,0))=0,"",SUMPRODUCT((ISNUMBER(A$2:A923))*(A$2:A923&gt;1000)*(MONTH(IF(ISNUMBER(A$2:A923),A$2:A923,1))=MONTH(A923))*(YEAR(IF(ISNUMBER(A$2:A923),A$2:A923,1))=YEAR(A923))*IF(ISNUMBER(K$2:K923),K$2:K923,0))),""))</f>
        <v/>
      </c>
      <c r="M923" s="21" t="str">
        <f>IF(A923="","",IFERROR(IF(SUMIF(N$2:N923,"CASA",K$2:K923)=0,"",SUMIF(N$2:N923,"CASA",K$2:K923)),""))</f>
        <v/>
      </c>
      <c r="N923" s="17" t="str">
        <f>IF(J923="","",IF(J923=0.2,"CASA",IF(Dati!G923="","",Dati!G923)))</f>
        <v/>
      </c>
    </row>
    <row r="924" spans="1:14" ht="15" customHeight="1" x14ac:dyDescent="0.2">
      <c r="A924" s="23" t="str">
        <f>IF(Dati!A924="","",Dati!A924)</f>
        <v/>
      </c>
      <c r="B924" s="17" t="str">
        <f>IF(Dati!B924="","",Dati!B924)</f>
        <v/>
      </c>
      <c r="C924" s="17" t="str">
        <f>IF(B924="","",IF(ISNUMBER(B923),IF(B924-B923&lt;0,B924,IF(B924-B923=0,"",B924-B923)),B924))</f>
        <v/>
      </c>
      <c r="D924" s="18" t="str">
        <f>IF(Dati!C924="","",IF(Dati!C924&gt;1,Dati!C924/100,Dati!C924))</f>
        <v/>
      </c>
      <c r="E924" s="18" t="str">
        <f>IF(Dati!D924="","",IF(Dati!D924&gt;1,Dati!D924/100,Dati!D924))</f>
        <v/>
      </c>
      <c r="F924" s="18" t="str">
        <f>IF(OR(D924="",E924=""),"",IF(OR(D924&gt;1,E924&gt;1),(E924-D924)/100,E924-D924))</f>
        <v/>
      </c>
      <c r="G924" s="17" t="str">
        <f>IF(F924="","",IF(64*F924=0,"",64*F924))</f>
        <v/>
      </c>
      <c r="H924" s="19" t="str">
        <f>IF(Dati!E924="","",Dati!E924)</f>
        <v/>
      </c>
      <c r="I924" s="19" t="str">
        <f>IFERROR(IF(OR(C924="",C924=0),"",H924/C924*100),"")</f>
        <v/>
      </c>
      <c r="J924" s="20" t="str">
        <f>IF(Dati!F924="","",Dati!F924)</f>
        <v/>
      </c>
      <c r="K924" s="19" t="str">
        <f>IF(OR(H924="",J924=""),"",IF(H924*J924=0,"",H924*J924))</f>
        <v/>
      </c>
      <c r="L924" s="19" t="str">
        <f>IF(A924="","",IFERROR(IF(SUMPRODUCT((ISNUMBER(A$2:A924))*(A$2:A924&gt;1000)*(MONTH(IF(ISNUMBER(A$2:A924),A$2:A924,1))=MONTH(A924))*(YEAR(IF(ISNUMBER(A$2:A924),A$2:A924,1))=YEAR(A924))*IF(ISNUMBER(K$2:K924),K$2:K924,0))=0,"",SUMPRODUCT((ISNUMBER(A$2:A924))*(A$2:A924&gt;1000)*(MONTH(IF(ISNUMBER(A$2:A924),A$2:A924,1))=MONTH(A924))*(YEAR(IF(ISNUMBER(A$2:A924),A$2:A924,1))=YEAR(A924))*IF(ISNUMBER(K$2:K924),K$2:K924,0))),""))</f>
        <v/>
      </c>
      <c r="M924" s="21" t="str">
        <f>IF(A924="","",IFERROR(IF(SUMIF(N$2:N924,"CASA",K$2:K924)=0,"",SUMIF(N$2:N924,"CASA",K$2:K924)),""))</f>
        <v/>
      </c>
      <c r="N924" s="17" t="str">
        <f>IF(J924="","",IF(J924=0.2,"CASA",IF(Dati!G924="","",Dati!G924)))</f>
        <v/>
      </c>
    </row>
    <row r="925" spans="1:14" ht="15" customHeight="1" x14ac:dyDescent="0.2">
      <c r="A925" s="23" t="str">
        <f>IF(Dati!A925="","",Dati!A925)</f>
        <v/>
      </c>
      <c r="B925" s="17" t="str">
        <f>IF(Dati!B925="","",Dati!B925)</f>
        <v/>
      </c>
      <c r="C925" s="17" t="str">
        <f>IF(B925="","",IF(ISNUMBER(B924),IF(B925-B924&lt;0,B925,IF(B925-B924=0,"",B925-B924)),B925))</f>
        <v/>
      </c>
      <c r="D925" s="18" t="str">
        <f>IF(Dati!C925="","",IF(Dati!C925&gt;1,Dati!C925/100,Dati!C925))</f>
        <v/>
      </c>
      <c r="E925" s="18" t="str">
        <f>IF(Dati!D925="","",IF(Dati!D925&gt;1,Dati!D925/100,Dati!D925))</f>
        <v/>
      </c>
      <c r="F925" s="18" t="str">
        <f>IF(OR(D925="",E925=""),"",IF(OR(D925&gt;1,E925&gt;1),(E925-D925)/100,E925-D925))</f>
        <v/>
      </c>
      <c r="G925" s="17" t="str">
        <f>IF(F925="","",IF(64*F925=0,"",64*F925))</f>
        <v/>
      </c>
      <c r="H925" s="19" t="str">
        <f>IF(Dati!E925="","",Dati!E925)</f>
        <v/>
      </c>
      <c r="I925" s="19" t="str">
        <f>IFERROR(IF(OR(C925="",C925=0),"",H925/C925*100),"")</f>
        <v/>
      </c>
      <c r="J925" s="20" t="str">
        <f>IF(Dati!F925="","",Dati!F925)</f>
        <v/>
      </c>
      <c r="K925" s="19" t="str">
        <f>IF(OR(H925="",J925=""),"",IF(H925*J925=0,"",H925*J925))</f>
        <v/>
      </c>
      <c r="L925" s="19" t="str">
        <f>IF(A925="","",IFERROR(IF(SUMPRODUCT((ISNUMBER(A$2:A925))*(A$2:A925&gt;1000)*(MONTH(IF(ISNUMBER(A$2:A925),A$2:A925,1))=MONTH(A925))*(YEAR(IF(ISNUMBER(A$2:A925),A$2:A925,1))=YEAR(A925))*IF(ISNUMBER(K$2:K925),K$2:K925,0))=0,"",SUMPRODUCT((ISNUMBER(A$2:A925))*(A$2:A925&gt;1000)*(MONTH(IF(ISNUMBER(A$2:A925),A$2:A925,1))=MONTH(A925))*(YEAR(IF(ISNUMBER(A$2:A925),A$2:A925,1))=YEAR(A925))*IF(ISNUMBER(K$2:K925),K$2:K925,0))),""))</f>
        <v/>
      </c>
      <c r="M925" s="21" t="str">
        <f>IF(A925="","",IFERROR(IF(SUMIF(N$2:N925,"CASA",K$2:K925)=0,"",SUMIF(N$2:N925,"CASA",K$2:K925)),""))</f>
        <v/>
      </c>
      <c r="N925" s="17" t="str">
        <f>IF(J925="","",IF(J925=0.2,"CASA",IF(Dati!G925="","",Dati!G925)))</f>
        <v/>
      </c>
    </row>
    <row r="926" spans="1:14" ht="15" customHeight="1" x14ac:dyDescent="0.2">
      <c r="A926" s="23" t="str">
        <f>IF(Dati!A926="","",Dati!A926)</f>
        <v/>
      </c>
      <c r="B926" s="17" t="str">
        <f>IF(Dati!B926="","",Dati!B926)</f>
        <v/>
      </c>
      <c r="C926" s="17" t="str">
        <f>IF(B926="","",IF(ISNUMBER(B925),IF(B926-B925&lt;0,B926,IF(B926-B925=0,"",B926-B925)),B926))</f>
        <v/>
      </c>
      <c r="D926" s="18" t="str">
        <f>IF(Dati!C926="","",IF(Dati!C926&gt;1,Dati!C926/100,Dati!C926))</f>
        <v/>
      </c>
      <c r="E926" s="18" t="str">
        <f>IF(Dati!D926="","",IF(Dati!D926&gt;1,Dati!D926/100,Dati!D926))</f>
        <v/>
      </c>
      <c r="F926" s="18" t="str">
        <f>IF(OR(D926="",E926=""),"",IF(OR(D926&gt;1,E926&gt;1),(E926-D926)/100,E926-D926))</f>
        <v/>
      </c>
      <c r="G926" s="17" t="str">
        <f>IF(F926="","",IF(64*F926=0,"",64*F926))</f>
        <v/>
      </c>
      <c r="H926" s="19" t="str">
        <f>IF(Dati!E926="","",Dati!E926)</f>
        <v/>
      </c>
      <c r="I926" s="19" t="str">
        <f>IFERROR(IF(OR(C926="",C926=0),"",H926/C926*100),"")</f>
        <v/>
      </c>
      <c r="J926" s="20" t="str">
        <f>IF(Dati!F926="","",Dati!F926)</f>
        <v/>
      </c>
      <c r="K926" s="19" t="str">
        <f>IF(OR(H926="",J926=""),"",IF(H926*J926=0,"",H926*J926))</f>
        <v/>
      </c>
      <c r="L926" s="19" t="str">
        <f>IF(A926="","",IFERROR(IF(SUMPRODUCT((ISNUMBER(A$2:A926))*(A$2:A926&gt;1000)*(MONTH(IF(ISNUMBER(A$2:A926),A$2:A926,1))=MONTH(A926))*(YEAR(IF(ISNUMBER(A$2:A926),A$2:A926,1))=YEAR(A926))*IF(ISNUMBER(K$2:K926),K$2:K926,0))=0,"",SUMPRODUCT((ISNUMBER(A$2:A926))*(A$2:A926&gt;1000)*(MONTH(IF(ISNUMBER(A$2:A926),A$2:A926,1))=MONTH(A926))*(YEAR(IF(ISNUMBER(A$2:A926),A$2:A926,1))=YEAR(A926))*IF(ISNUMBER(K$2:K926),K$2:K926,0))),""))</f>
        <v/>
      </c>
      <c r="M926" s="21" t="str">
        <f>IF(A926="","",IFERROR(IF(SUMIF(N$2:N926,"CASA",K$2:K926)=0,"",SUMIF(N$2:N926,"CASA",K$2:K926)),""))</f>
        <v/>
      </c>
      <c r="N926" s="17" t="str">
        <f>IF(J926="","",IF(J926=0.2,"CASA",IF(Dati!G926="","",Dati!G926)))</f>
        <v/>
      </c>
    </row>
    <row r="927" spans="1:14" ht="15" customHeight="1" x14ac:dyDescent="0.2">
      <c r="A927" s="23" t="str">
        <f>IF(Dati!A927="","",Dati!A927)</f>
        <v/>
      </c>
      <c r="B927" s="17" t="str">
        <f>IF(Dati!B927="","",Dati!B927)</f>
        <v/>
      </c>
      <c r="C927" s="17" t="str">
        <f>IF(B927="","",IF(ISNUMBER(B926),IF(B927-B926&lt;0,B927,IF(B927-B926=0,"",B927-B926)),B927))</f>
        <v/>
      </c>
      <c r="D927" s="18" t="str">
        <f>IF(Dati!C927="","",IF(Dati!C927&gt;1,Dati!C927/100,Dati!C927))</f>
        <v/>
      </c>
      <c r="E927" s="18" t="str">
        <f>IF(Dati!D927="","",IF(Dati!D927&gt;1,Dati!D927/100,Dati!D927))</f>
        <v/>
      </c>
      <c r="F927" s="18" t="str">
        <f>IF(OR(D927="",E927=""),"",IF(OR(D927&gt;1,E927&gt;1),(E927-D927)/100,E927-D927))</f>
        <v/>
      </c>
      <c r="G927" s="17" t="str">
        <f>IF(F927="","",IF(64*F927=0,"",64*F927))</f>
        <v/>
      </c>
      <c r="H927" s="19" t="str">
        <f>IF(Dati!E927="","",Dati!E927)</f>
        <v/>
      </c>
      <c r="I927" s="19" t="str">
        <f>IFERROR(IF(OR(C927="",C927=0),"",H927/C927*100),"")</f>
        <v/>
      </c>
      <c r="J927" s="20" t="str">
        <f>IF(Dati!F927="","",Dati!F927)</f>
        <v/>
      </c>
      <c r="K927" s="19" t="str">
        <f>IF(OR(H927="",J927=""),"",IF(H927*J927=0,"",H927*J927))</f>
        <v/>
      </c>
      <c r="L927" s="19" t="str">
        <f>IF(A927="","",IFERROR(IF(SUMPRODUCT((ISNUMBER(A$2:A927))*(A$2:A927&gt;1000)*(MONTH(IF(ISNUMBER(A$2:A927),A$2:A927,1))=MONTH(A927))*(YEAR(IF(ISNUMBER(A$2:A927),A$2:A927,1))=YEAR(A927))*IF(ISNUMBER(K$2:K927),K$2:K927,0))=0,"",SUMPRODUCT((ISNUMBER(A$2:A927))*(A$2:A927&gt;1000)*(MONTH(IF(ISNUMBER(A$2:A927),A$2:A927,1))=MONTH(A927))*(YEAR(IF(ISNUMBER(A$2:A927),A$2:A927,1))=YEAR(A927))*IF(ISNUMBER(K$2:K927),K$2:K927,0))),""))</f>
        <v/>
      </c>
      <c r="M927" s="21" t="str">
        <f>IF(A927="","",IFERROR(IF(SUMIF(N$2:N927,"CASA",K$2:K927)=0,"",SUMIF(N$2:N927,"CASA",K$2:K927)),""))</f>
        <v/>
      </c>
      <c r="N927" s="17" t="str">
        <f>IF(J927="","",IF(J927=0.2,"CASA",IF(Dati!G927="","",Dati!G927)))</f>
        <v/>
      </c>
    </row>
    <row r="928" spans="1:14" ht="15" customHeight="1" x14ac:dyDescent="0.2">
      <c r="A928" s="23" t="str">
        <f>IF(Dati!A928="","",Dati!A928)</f>
        <v/>
      </c>
      <c r="B928" s="17" t="str">
        <f>IF(Dati!B928="","",Dati!B928)</f>
        <v/>
      </c>
      <c r="C928" s="17" t="str">
        <f>IF(B928="","",IF(ISNUMBER(B927),IF(B928-B927&lt;0,B928,IF(B928-B927=0,"",B928-B927)),B928))</f>
        <v/>
      </c>
      <c r="D928" s="18" t="str">
        <f>IF(Dati!C928="","",IF(Dati!C928&gt;1,Dati!C928/100,Dati!C928))</f>
        <v/>
      </c>
      <c r="E928" s="18" t="str">
        <f>IF(Dati!D928="","",IF(Dati!D928&gt;1,Dati!D928/100,Dati!D928))</f>
        <v/>
      </c>
      <c r="F928" s="18" t="str">
        <f>IF(OR(D928="",E928=""),"",IF(OR(D928&gt;1,E928&gt;1),(E928-D928)/100,E928-D928))</f>
        <v/>
      </c>
      <c r="G928" s="17" t="str">
        <f>IF(F928="","",IF(64*F928=0,"",64*F928))</f>
        <v/>
      </c>
      <c r="H928" s="19" t="str">
        <f>IF(Dati!E928="","",Dati!E928)</f>
        <v/>
      </c>
      <c r="I928" s="19" t="str">
        <f>IFERROR(IF(OR(C928="",C928=0),"",H928/C928*100),"")</f>
        <v/>
      </c>
      <c r="J928" s="20" t="str">
        <f>IF(Dati!F928="","",Dati!F928)</f>
        <v/>
      </c>
      <c r="K928" s="19" t="str">
        <f>IF(OR(H928="",J928=""),"",IF(H928*J928=0,"",H928*J928))</f>
        <v/>
      </c>
      <c r="L928" s="19" t="str">
        <f>IF(A928="","",IFERROR(IF(SUMPRODUCT((ISNUMBER(A$2:A928))*(A$2:A928&gt;1000)*(MONTH(IF(ISNUMBER(A$2:A928),A$2:A928,1))=MONTH(A928))*(YEAR(IF(ISNUMBER(A$2:A928),A$2:A928,1))=YEAR(A928))*IF(ISNUMBER(K$2:K928),K$2:K928,0))=0,"",SUMPRODUCT((ISNUMBER(A$2:A928))*(A$2:A928&gt;1000)*(MONTH(IF(ISNUMBER(A$2:A928),A$2:A928,1))=MONTH(A928))*(YEAR(IF(ISNUMBER(A$2:A928),A$2:A928,1))=YEAR(A928))*IF(ISNUMBER(K$2:K928),K$2:K928,0))),""))</f>
        <v/>
      </c>
      <c r="M928" s="21" t="str">
        <f>IF(A928="","",IFERROR(IF(SUMIF(N$2:N928,"CASA",K$2:K928)=0,"",SUMIF(N$2:N928,"CASA",K$2:K928)),""))</f>
        <v/>
      </c>
      <c r="N928" s="17" t="str">
        <f>IF(J928="","",IF(J928=0.2,"CASA",IF(Dati!G928="","",Dati!G928)))</f>
        <v/>
      </c>
    </row>
    <row r="929" spans="1:14" ht="15" customHeight="1" x14ac:dyDescent="0.2">
      <c r="A929" s="23" t="str">
        <f>IF(Dati!A929="","",Dati!A929)</f>
        <v/>
      </c>
      <c r="B929" s="17" t="str">
        <f>IF(Dati!B929="","",Dati!B929)</f>
        <v/>
      </c>
      <c r="C929" s="17" t="str">
        <f>IF(B929="","",IF(ISNUMBER(B928),IF(B929-B928&lt;0,B929,IF(B929-B928=0,"",B929-B928)),B929))</f>
        <v/>
      </c>
      <c r="D929" s="18" t="str">
        <f>IF(Dati!C929="","",IF(Dati!C929&gt;1,Dati!C929/100,Dati!C929))</f>
        <v/>
      </c>
      <c r="E929" s="18" t="str">
        <f>IF(Dati!D929="","",IF(Dati!D929&gt;1,Dati!D929/100,Dati!D929))</f>
        <v/>
      </c>
      <c r="F929" s="18" t="str">
        <f>IF(OR(D929="",E929=""),"",IF(OR(D929&gt;1,E929&gt;1),(E929-D929)/100,E929-D929))</f>
        <v/>
      </c>
      <c r="G929" s="17" t="str">
        <f>IF(F929="","",IF(64*F929=0,"",64*F929))</f>
        <v/>
      </c>
      <c r="H929" s="19" t="str">
        <f>IF(Dati!E929="","",Dati!E929)</f>
        <v/>
      </c>
      <c r="I929" s="19" t="str">
        <f>IFERROR(IF(OR(C929="",C929=0),"",H929/C929*100),"")</f>
        <v/>
      </c>
      <c r="J929" s="20" t="str">
        <f>IF(Dati!F929="","",Dati!F929)</f>
        <v/>
      </c>
      <c r="K929" s="19" t="str">
        <f>IF(OR(H929="",J929=""),"",IF(H929*J929=0,"",H929*J929))</f>
        <v/>
      </c>
      <c r="L929" s="19" t="str">
        <f>IF(A929="","",IFERROR(IF(SUMPRODUCT((ISNUMBER(A$2:A929))*(A$2:A929&gt;1000)*(MONTH(IF(ISNUMBER(A$2:A929),A$2:A929,1))=MONTH(A929))*(YEAR(IF(ISNUMBER(A$2:A929),A$2:A929,1))=YEAR(A929))*IF(ISNUMBER(K$2:K929),K$2:K929,0))=0,"",SUMPRODUCT((ISNUMBER(A$2:A929))*(A$2:A929&gt;1000)*(MONTH(IF(ISNUMBER(A$2:A929),A$2:A929,1))=MONTH(A929))*(YEAR(IF(ISNUMBER(A$2:A929),A$2:A929,1))=YEAR(A929))*IF(ISNUMBER(K$2:K929),K$2:K929,0))),""))</f>
        <v/>
      </c>
      <c r="M929" s="21" t="str">
        <f>IF(A929="","",IFERROR(IF(SUMIF(N$2:N929,"CASA",K$2:K929)=0,"",SUMIF(N$2:N929,"CASA",K$2:K929)),""))</f>
        <v/>
      </c>
      <c r="N929" s="17" t="str">
        <f>IF(J929="","",IF(J929=0.2,"CASA",IF(Dati!G929="","",Dati!G929)))</f>
        <v/>
      </c>
    </row>
    <row r="930" spans="1:14" ht="15" customHeight="1" x14ac:dyDescent="0.2">
      <c r="A930" s="23" t="str">
        <f>IF(Dati!A930="","",Dati!A930)</f>
        <v/>
      </c>
      <c r="B930" s="17" t="str">
        <f>IF(Dati!B930="","",Dati!B930)</f>
        <v/>
      </c>
      <c r="C930" s="17" t="str">
        <f>IF(B930="","",IF(ISNUMBER(B929),IF(B930-B929&lt;0,B930,IF(B930-B929=0,"",B930-B929)),B930))</f>
        <v/>
      </c>
      <c r="D930" s="18" t="str">
        <f>IF(Dati!C930="","",IF(Dati!C930&gt;1,Dati!C930/100,Dati!C930))</f>
        <v/>
      </c>
      <c r="E930" s="18" t="str">
        <f>IF(Dati!D930="","",IF(Dati!D930&gt;1,Dati!D930/100,Dati!D930))</f>
        <v/>
      </c>
      <c r="F930" s="18" t="str">
        <f>IF(OR(D930="",E930=""),"",IF(OR(D930&gt;1,E930&gt;1),(E930-D930)/100,E930-D930))</f>
        <v/>
      </c>
      <c r="G930" s="17" t="str">
        <f>IF(F930="","",IF(64*F930=0,"",64*F930))</f>
        <v/>
      </c>
      <c r="H930" s="19" t="str">
        <f>IF(Dati!E930="","",Dati!E930)</f>
        <v/>
      </c>
      <c r="I930" s="19" t="str">
        <f>IFERROR(IF(OR(C930="",C930=0),"",H930/C930*100),"")</f>
        <v/>
      </c>
      <c r="J930" s="20" t="str">
        <f>IF(Dati!F930="","",Dati!F930)</f>
        <v/>
      </c>
      <c r="K930" s="19" t="str">
        <f>IF(OR(H930="",J930=""),"",IF(H930*J930=0,"",H930*J930))</f>
        <v/>
      </c>
      <c r="L930" s="19" t="str">
        <f>IF(A930="","",IFERROR(IF(SUMPRODUCT((ISNUMBER(A$2:A930))*(A$2:A930&gt;1000)*(MONTH(IF(ISNUMBER(A$2:A930),A$2:A930,1))=MONTH(A930))*(YEAR(IF(ISNUMBER(A$2:A930),A$2:A930,1))=YEAR(A930))*IF(ISNUMBER(K$2:K930),K$2:K930,0))=0,"",SUMPRODUCT((ISNUMBER(A$2:A930))*(A$2:A930&gt;1000)*(MONTH(IF(ISNUMBER(A$2:A930),A$2:A930,1))=MONTH(A930))*(YEAR(IF(ISNUMBER(A$2:A930),A$2:A930,1))=YEAR(A930))*IF(ISNUMBER(K$2:K930),K$2:K930,0))),""))</f>
        <v/>
      </c>
      <c r="M930" s="21" t="str">
        <f>IF(A930="","",IFERROR(IF(SUMIF(N$2:N930,"CASA",K$2:K930)=0,"",SUMIF(N$2:N930,"CASA",K$2:K930)),""))</f>
        <v/>
      </c>
      <c r="N930" s="17" t="str">
        <f>IF(J930="","",IF(J930=0.2,"CASA",IF(Dati!G930="","",Dati!G930)))</f>
        <v/>
      </c>
    </row>
    <row r="931" spans="1:14" ht="15" customHeight="1" x14ac:dyDescent="0.2">
      <c r="A931" s="23" t="str">
        <f>IF(Dati!A931="","",Dati!A931)</f>
        <v/>
      </c>
      <c r="B931" s="17" t="str">
        <f>IF(Dati!B931="","",Dati!B931)</f>
        <v/>
      </c>
      <c r="C931" s="17" t="str">
        <f>IF(B931="","",IF(ISNUMBER(B930),IF(B931-B930&lt;0,B931,IF(B931-B930=0,"",B931-B930)),B931))</f>
        <v/>
      </c>
      <c r="D931" s="18" t="str">
        <f>IF(Dati!C931="","",IF(Dati!C931&gt;1,Dati!C931/100,Dati!C931))</f>
        <v/>
      </c>
      <c r="E931" s="18" t="str">
        <f>IF(Dati!D931="","",IF(Dati!D931&gt;1,Dati!D931/100,Dati!D931))</f>
        <v/>
      </c>
      <c r="F931" s="18" t="str">
        <f>IF(OR(D931="",E931=""),"",IF(OR(D931&gt;1,E931&gt;1),(E931-D931)/100,E931-D931))</f>
        <v/>
      </c>
      <c r="G931" s="17" t="str">
        <f>IF(F931="","",IF(64*F931=0,"",64*F931))</f>
        <v/>
      </c>
      <c r="H931" s="19" t="str">
        <f>IF(Dati!E931="","",Dati!E931)</f>
        <v/>
      </c>
      <c r="I931" s="19" t="str">
        <f>IFERROR(IF(OR(C931="",C931=0),"",H931/C931*100),"")</f>
        <v/>
      </c>
      <c r="J931" s="20" t="str">
        <f>IF(Dati!F931="","",Dati!F931)</f>
        <v/>
      </c>
      <c r="K931" s="19" t="str">
        <f>IF(OR(H931="",J931=""),"",IF(H931*J931=0,"",H931*J931))</f>
        <v/>
      </c>
      <c r="L931" s="19" t="str">
        <f>IF(A931="","",IFERROR(IF(SUMPRODUCT((ISNUMBER(A$2:A931))*(A$2:A931&gt;1000)*(MONTH(IF(ISNUMBER(A$2:A931),A$2:A931,1))=MONTH(A931))*(YEAR(IF(ISNUMBER(A$2:A931),A$2:A931,1))=YEAR(A931))*IF(ISNUMBER(K$2:K931),K$2:K931,0))=0,"",SUMPRODUCT((ISNUMBER(A$2:A931))*(A$2:A931&gt;1000)*(MONTH(IF(ISNUMBER(A$2:A931),A$2:A931,1))=MONTH(A931))*(YEAR(IF(ISNUMBER(A$2:A931),A$2:A931,1))=YEAR(A931))*IF(ISNUMBER(K$2:K931),K$2:K931,0))),""))</f>
        <v/>
      </c>
      <c r="M931" s="21" t="str">
        <f>IF(A931="","",IFERROR(IF(SUMIF(N$2:N931,"CASA",K$2:K931)=0,"",SUMIF(N$2:N931,"CASA",K$2:K931)),""))</f>
        <v/>
      </c>
      <c r="N931" s="17" t="str">
        <f>IF(J931="","",IF(J931=0.2,"CASA",IF(Dati!G931="","",Dati!G931)))</f>
        <v/>
      </c>
    </row>
    <row r="932" spans="1:14" ht="15" customHeight="1" x14ac:dyDescent="0.2">
      <c r="A932" s="23" t="str">
        <f>IF(Dati!A932="","",Dati!A932)</f>
        <v/>
      </c>
      <c r="B932" s="17" t="str">
        <f>IF(Dati!B932="","",Dati!B932)</f>
        <v/>
      </c>
      <c r="C932" s="17" t="str">
        <f>IF(B932="","",IF(ISNUMBER(B931),IF(B932-B931&lt;0,B932,IF(B932-B931=0,"",B932-B931)),B932))</f>
        <v/>
      </c>
      <c r="D932" s="18" t="str">
        <f>IF(Dati!C932="","",IF(Dati!C932&gt;1,Dati!C932/100,Dati!C932))</f>
        <v/>
      </c>
      <c r="E932" s="18" t="str">
        <f>IF(Dati!D932="","",IF(Dati!D932&gt;1,Dati!D932/100,Dati!D932))</f>
        <v/>
      </c>
      <c r="F932" s="18" t="str">
        <f>IF(OR(D932="",E932=""),"",IF(OR(D932&gt;1,E932&gt;1),(E932-D932)/100,E932-D932))</f>
        <v/>
      </c>
      <c r="G932" s="17" t="str">
        <f>IF(F932="","",IF(64*F932=0,"",64*F932))</f>
        <v/>
      </c>
      <c r="H932" s="19" t="str">
        <f>IF(Dati!E932="","",Dati!E932)</f>
        <v/>
      </c>
      <c r="I932" s="19" t="str">
        <f>IFERROR(IF(OR(C932="",C932=0),"",H932/C932*100),"")</f>
        <v/>
      </c>
      <c r="J932" s="20" t="str">
        <f>IF(Dati!F932="","",Dati!F932)</f>
        <v/>
      </c>
      <c r="K932" s="19" t="str">
        <f>IF(OR(H932="",J932=""),"",IF(H932*J932=0,"",H932*J932))</f>
        <v/>
      </c>
      <c r="L932" s="19" t="str">
        <f>IF(A932="","",IFERROR(IF(SUMPRODUCT((ISNUMBER(A$2:A932))*(A$2:A932&gt;1000)*(MONTH(IF(ISNUMBER(A$2:A932),A$2:A932,1))=MONTH(A932))*(YEAR(IF(ISNUMBER(A$2:A932),A$2:A932,1))=YEAR(A932))*IF(ISNUMBER(K$2:K932),K$2:K932,0))=0,"",SUMPRODUCT((ISNUMBER(A$2:A932))*(A$2:A932&gt;1000)*(MONTH(IF(ISNUMBER(A$2:A932),A$2:A932,1))=MONTH(A932))*(YEAR(IF(ISNUMBER(A$2:A932),A$2:A932,1))=YEAR(A932))*IF(ISNUMBER(K$2:K932),K$2:K932,0))),""))</f>
        <v/>
      </c>
      <c r="M932" s="21" t="str">
        <f>IF(A932="","",IFERROR(IF(SUMIF(N$2:N932,"CASA",K$2:K932)=0,"",SUMIF(N$2:N932,"CASA",K$2:K932)),""))</f>
        <v/>
      </c>
      <c r="N932" s="17" t="str">
        <f>IF(J932="","",IF(J932=0.2,"CASA",IF(Dati!G932="","",Dati!G932)))</f>
        <v/>
      </c>
    </row>
    <row r="933" spans="1:14" ht="15" customHeight="1" x14ac:dyDescent="0.2">
      <c r="A933" s="23" t="str">
        <f>IF(Dati!A933="","",Dati!A933)</f>
        <v/>
      </c>
      <c r="B933" s="17" t="str">
        <f>IF(Dati!B933="","",Dati!B933)</f>
        <v/>
      </c>
      <c r="C933" s="17" t="str">
        <f>IF(B933="","",IF(ISNUMBER(B932),IF(B933-B932&lt;0,B933,IF(B933-B932=0,"",B933-B932)),B933))</f>
        <v/>
      </c>
      <c r="D933" s="18" t="str">
        <f>IF(Dati!C933="","",IF(Dati!C933&gt;1,Dati!C933/100,Dati!C933))</f>
        <v/>
      </c>
      <c r="E933" s="18" t="str">
        <f>IF(Dati!D933="","",IF(Dati!D933&gt;1,Dati!D933/100,Dati!D933))</f>
        <v/>
      </c>
      <c r="F933" s="18" t="str">
        <f>IF(OR(D933="",E933=""),"",IF(OR(D933&gt;1,E933&gt;1),(E933-D933)/100,E933-D933))</f>
        <v/>
      </c>
      <c r="G933" s="17" t="str">
        <f>IF(F933="","",IF(64*F933=0,"",64*F933))</f>
        <v/>
      </c>
      <c r="H933" s="19" t="str">
        <f>IF(Dati!E933="","",Dati!E933)</f>
        <v/>
      </c>
      <c r="I933" s="19" t="str">
        <f>IFERROR(IF(OR(C933="",C933=0),"",H933/C933*100),"")</f>
        <v/>
      </c>
      <c r="J933" s="20" t="str">
        <f>IF(Dati!F933="","",Dati!F933)</f>
        <v/>
      </c>
      <c r="K933" s="19" t="str">
        <f>IF(OR(H933="",J933=""),"",IF(H933*J933=0,"",H933*J933))</f>
        <v/>
      </c>
      <c r="L933" s="19" t="str">
        <f>IF(A933="","",IFERROR(IF(SUMPRODUCT((ISNUMBER(A$2:A933))*(A$2:A933&gt;1000)*(MONTH(IF(ISNUMBER(A$2:A933),A$2:A933,1))=MONTH(A933))*(YEAR(IF(ISNUMBER(A$2:A933),A$2:A933,1))=YEAR(A933))*IF(ISNUMBER(K$2:K933),K$2:K933,0))=0,"",SUMPRODUCT((ISNUMBER(A$2:A933))*(A$2:A933&gt;1000)*(MONTH(IF(ISNUMBER(A$2:A933),A$2:A933,1))=MONTH(A933))*(YEAR(IF(ISNUMBER(A$2:A933),A$2:A933,1))=YEAR(A933))*IF(ISNUMBER(K$2:K933),K$2:K933,0))),""))</f>
        <v/>
      </c>
      <c r="M933" s="21" t="str">
        <f>IF(A933="","",IFERROR(IF(SUMIF(N$2:N933,"CASA",K$2:K933)=0,"",SUMIF(N$2:N933,"CASA",K$2:K933)),""))</f>
        <v/>
      </c>
      <c r="N933" s="17" t="str">
        <f>IF(J933="","",IF(J933=0.2,"CASA",IF(Dati!G933="","",Dati!G933)))</f>
        <v/>
      </c>
    </row>
    <row r="934" spans="1:14" ht="15" customHeight="1" x14ac:dyDescent="0.2">
      <c r="A934" s="23" t="str">
        <f>IF(Dati!A934="","",Dati!A934)</f>
        <v/>
      </c>
      <c r="B934" s="17" t="str">
        <f>IF(Dati!B934="","",Dati!B934)</f>
        <v/>
      </c>
      <c r="C934" s="17" t="str">
        <f>IF(B934="","",IF(ISNUMBER(B933),IF(B934-B933&lt;0,B934,IF(B934-B933=0,"",B934-B933)),B934))</f>
        <v/>
      </c>
      <c r="D934" s="18" t="str">
        <f>IF(Dati!C934="","",IF(Dati!C934&gt;1,Dati!C934/100,Dati!C934))</f>
        <v/>
      </c>
      <c r="E934" s="18" t="str">
        <f>IF(Dati!D934="","",IF(Dati!D934&gt;1,Dati!D934/100,Dati!D934))</f>
        <v/>
      </c>
      <c r="F934" s="18" t="str">
        <f>IF(OR(D934="",E934=""),"",IF(OR(D934&gt;1,E934&gt;1),(E934-D934)/100,E934-D934))</f>
        <v/>
      </c>
      <c r="G934" s="17" t="str">
        <f>IF(F934="","",IF(64*F934=0,"",64*F934))</f>
        <v/>
      </c>
      <c r="H934" s="19" t="str">
        <f>IF(Dati!E934="","",Dati!E934)</f>
        <v/>
      </c>
      <c r="I934" s="19" t="str">
        <f>IFERROR(IF(OR(C934="",C934=0),"",H934/C934*100),"")</f>
        <v/>
      </c>
      <c r="J934" s="20" t="str">
        <f>IF(Dati!F934="","",Dati!F934)</f>
        <v/>
      </c>
      <c r="K934" s="19" t="str">
        <f>IF(OR(H934="",J934=""),"",IF(H934*J934=0,"",H934*J934))</f>
        <v/>
      </c>
      <c r="L934" s="19" t="str">
        <f>IF(A934="","",IFERROR(IF(SUMPRODUCT((ISNUMBER(A$2:A934))*(A$2:A934&gt;1000)*(MONTH(IF(ISNUMBER(A$2:A934),A$2:A934,1))=MONTH(A934))*(YEAR(IF(ISNUMBER(A$2:A934),A$2:A934,1))=YEAR(A934))*IF(ISNUMBER(K$2:K934),K$2:K934,0))=0,"",SUMPRODUCT((ISNUMBER(A$2:A934))*(A$2:A934&gt;1000)*(MONTH(IF(ISNUMBER(A$2:A934),A$2:A934,1))=MONTH(A934))*(YEAR(IF(ISNUMBER(A$2:A934),A$2:A934,1))=YEAR(A934))*IF(ISNUMBER(K$2:K934),K$2:K934,0))),""))</f>
        <v/>
      </c>
      <c r="M934" s="21" t="str">
        <f>IF(A934="","",IFERROR(IF(SUMIF(N$2:N934,"CASA",K$2:K934)=0,"",SUMIF(N$2:N934,"CASA",K$2:K934)),""))</f>
        <v/>
      </c>
      <c r="N934" s="17" t="str">
        <f>IF(J934="","",IF(J934=0.2,"CASA",IF(Dati!G934="","",Dati!G934)))</f>
        <v/>
      </c>
    </row>
    <row r="935" spans="1:14" ht="15" customHeight="1" x14ac:dyDescent="0.2">
      <c r="A935" s="23" t="str">
        <f>IF(Dati!A935="","",Dati!A935)</f>
        <v/>
      </c>
      <c r="B935" s="17" t="str">
        <f>IF(Dati!B935="","",Dati!B935)</f>
        <v/>
      </c>
      <c r="C935" s="17" t="str">
        <f>IF(B935="","",IF(ISNUMBER(B934),IF(B935-B934&lt;0,B935,IF(B935-B934=0,"",B935-B934)),B935))</f>
        <v/>
      </c>
      <c r="D935" s="18" t="str">
        <f>IF(Dati!C935="","",IF(Dati!C935&gt;1,Dati!C935/100,Dati!C935))</f>
        <v/>
      </c>
      <c r="E935" s="18" t="str">
        <f>IF(Dati!D935="","",IF(Dati!D935&gt;1,Dati!D935/100,Dati!D935))</f>
        <v/>
      </c>
      <c r="F935" s="18" t="str">
        <f>IF(OR(D935="",E935=""),"",IF(OR(D935&gt;1,E935&gt;1),(E935-D935)/100,E935-D935))</f>
        <v/>
      </c>
      <c r="G935" s="17" t="str">
        <f>IF(F935="","",IF(64*F935=0,"",64*F935))</f>
        <v/>
      </c>
      <c r="H935" s="19" t="str">
        <f>IF(Dati!E935="","",Dati!E935)</f>
        <v/>
      </c>
      <c r="I935" s="19" t="str">
        <f>IFERROR(IF(OR(C935="",C935=0),"",H935/C935*100),"")</f>
        <v/>
      </c>
      <c r="J935" s="20" t="str">
        <f>IF(Dati!F935="","",Dati!F935)</f>
        <v/>
      </c>
      <c r="K935" s="19" t="str">
        <f>IF(OR(H935="",J935=""),"",IF(H935*J935=0,"",H935*J935))</f>
        <v/>
      </c>
      <c r="L935" s="19" t="str">
        <f>IF(A935="","",IFERROR(IF(SUMPRODUCT((ISNUMBER(A$2:A935))*(A$2:A935&gt;1000)*(MONTH(IF(ISNUMBER(A$2:A935),A$2:A935,1))=MONTH(A935))*(YEAR(IF(ISNUMBER(A$2:A935),A$2:A935,1))=YEAR(A935))*IF(ISNUMBER(K$2:K935),K$2:K935,0))=0,"",SUMPRODUCT((ISNUMBER(A$2:A935))*(A$2:A935&gt;1000)*(MONTH(IF(ISNUMBER(A$2:A935),A$2:A935,1))=MONTH(A935))*(YEAR(IF(ISNUMBER(A$2:A935),A$2:A935,1))=YEAR(A935))*IF(ISNUMBER(K$2:K935),K$2:K935,0))),""))</f>
        <v/>
      </c>
      <c r="M935" s="21" t="str">
        <f>IF(A935="","",IFERROR(IF(SUMIF(N$2:N935,"CASA",K$2:K935)=0,"",SUMIF(N$2:N935,"CASA",K$2:K935)),""))</f>
        <v/>
      </c>
      <c r="N935" s="17" t="str">
        <f>IF(J935="","",IF(J935=0.2,"CASA",IF(Dati!G935="","",Dati!G935)))</f>
        <v/>
      </c>
    </row>
    <row r="936" spans="1:14" ht="15" customHeight="1" x14ac:dyDescent="0.2">
      <c r="A936" s="23" t="str">
        <f>IF(Dati!A936="","",Dati!A936)</f>
        <v/>
      </c>
      <c r="B936" s="17" t="str">
        <f>IF(Dati!B936="","",Dati!B936)</f>
        <v/>
      </c>
      <c r="C936" s="17" t="str">
        <f>IF(B936="","",IF(ISNUMBER(B935),IF(B936-B935&lt;0,B936,IF(B936-B935=0,"",B936-B935)),B936))</f>
        <v/>
      </c>
      <c r="D936" s="18" t="str">
        <f>IF(Dati!C936="","",IF(Dati!C936&gt;1,Dati!C936/100,Dati!C936))</f>
        <v/>
      </c>
      <c r="E936" s="18" t="str">
        <f>IF(Dati!D936="","",IF(Dati!D936&gt;1,Dati!D936/100,Dati!D936))</f>
        <v/>
      </c>
      <c r="F936" s="18" t="str">
        <f>IF(OR(D936="",E936=""),"",IF(OR(D936&gt;1,E936&gt;1),(E936-D936)/100,E936-D936))</f>
        <v/>
      </c>
      <c r="G936" s="17" t="str">
        <f>IF(F936="","",IF(64*F936=0,"",64*F936))</f>
        <v/>
      </c>
      <c r="H936" s="19" t="str">
        <f>IF(Dati!E936="","",Dati!E936)</f>
        <v/>
      </c>
      <c r="I936" s="19" t="str">
        <f>IFERROR(IF(OR(C936="",C936=0),"",H936/C936*100),"")</f>
        <v/>
      </c>
      <c r="J936" s="20" t="str">
        <f>IF(Dati!F936="","",Dati!F936)</f>
        <v/>
      </c>
      <c r="K936" s="19" t="str">
        <f>IF(OR(H936="",J936=""),"",IF(H936*J936=0,"",H936*J936))</f>
        <v/>
      </c>
      <c r="L936" s="19" t="str">
        <f>IF(A936="","",IFERROR(IF(SUMPRODUCT((ISNUMBER(A$2:A936))*(A$2:A936&gt;1000)*(MONTH(IF(ISNUMBER(A$2:A936),A$2:A936,1))=MONTH(A936))*(YEAR(IF(ISNUMBER(A$2:A936),A$2:A936,1))=YEAR(A936))*IF(ISNUMBER(K$2:K936),K$2:K936,0))=0,"",SUMPRODUCT((ISNUMBER(A$2:A936))*(A$2:A936&gt;1000)*(MONTH(IF(ISNUMBER(A$2:A936),A$2:A936,1))=MONTH(A936))*(YEAR(IF(ISNUMBER(A$2:A936),A$2:A936,1))=YEAR(A936))*IF(ISNUMBER(K$2:K936),K$2:K936,0))),""))</f>
        <v/>
      </c>
      <c r="M936" s="21" t="str">
        <f>IF(A936="","",IFERROR(IF(SUMIF(N$2:N936,"CASA",K$2:K936)=0,"",SUMIF(N$2:N936,"CASA",K$2:K936)),""))</f>
        <v/>
      </c>
      <c r="N936" s="17" t="str">
        <f>IF(J936="","",IF(J936=0.2,"CASA",IF(Dati!G936="","",Dati!G936)))</f>
        <v/>
      </c>
    </row>
    <row r="937" spans="1:14" ht="15" customHeight="1" x14ac:dyDescent="0.2">
      <c r="A937" s="23" t="str">
        <f>IF(Dati!A937="","",Dati!A937)</f>
        <v/>
      </c>
      <c r="B937" s="17" t="str">
        <f>IF(Dati!B937="","",Dati!B937)</f>
        <v/>
      </c>
      <c r="C937" s="17" t="str">
        <f>IF(B937="","",IF(ISNUMBER(B936),IF(B937-B936&lt;0,B937,IF(B937-B936=0,"",B937-B936)),B937))</f>
        <v/>
      </c>
      <c r="D937" s="18" t="str">
        <f>IF(Dati!C937="","",IF(Dati!C937&gt;1,Dati!C937/100,Dati!C937))</f>
        <v/>
      </c>
      <c r="E937" s="18" t="str">
        <f>IF(Dati!D937="","",IF(Dati!D937&gt;1,Dati!D937/100,Dati!D937))</f>
        <v/>
      </c>
      <c r="F937" s="18" t="str">
        <f>IF(OR(D937="",E937=""),"",IF(OR(D937&gt;1,E937&gt;1),(E937-D937)/100,E937-D937))</f>
        <v/>
      </c>
      <c r="G937" s="17" t="str">
        <f>IF(F937="","",IF(64*F937=0,"",64*F937))</f>
        <v/>
      </c>
      <c r="H937" s="19" t="str">
        <f>IF(Dati!E937="","",Dati!E937)</f>
        <v/>
      </c>
      <c r="I937" s="19" t="str">
        <f>IFERROR(IF(OR(C937="",C937=0),"",H937/C937*100),"")</f>
        <v/>
      </c>
      <c r="J937" s="20" t="str">
        <f>IF(Dati!F937="","",Dati!F937)</f>
        <v/>
      </c>
      <c r="K937" s="19" t="str">
        <f>IF(OR(H937="",J937=""),"",IF(H937*J937=0,"",H937*J937))</f>
        <v/>
      </c>
      <c r="L937" s="19" t="str">
        <f>IF(A937="","",IFERROR(IF(SUMPRODUCT((ISNUMBER(A$2:A937))*(A$2:A937&gt;1000)*(MONTH(IF(ISNUMBER(A$2:A937),A$2:A937,1))=MONTH(A937))*(YEAR(IF(ISNUMBER(A$2:A937),A$2:A937,1))=YEAR(A937))*IF(ISNUMBER(K$2:K937),K$2:K937,0))=0,"",SUMPRODUCT((ISNUMBER(A$2:A937))*(A$2:A937&gt;1000)*(MONTH(IF(ISNUMBER(A$2:A937),A$2:A937,1))=MONTH(A937))*(YEAR(IF(ISNUMBER(A$2:A937),A$2:A937,1))=YEAR(A937))*IF(ISNUMBER(K$2:K937),K$2:K937,0))),""))</f>
        <v/>
      </c>
      <c r="M937" s="21" t="str">
        <f>IF(A937="","",IFERROR(IF(SUMIF(N$2:N937,"CASA",K$2:K937)=0,"",SUMIF(N$2:N937,"CASA",K$2:K937)),""))</f>
        <v/>
      </c>
      <c r="N937" s="17" t="str">
        <f>IF(J937="","",IF(J937=0.2,"CASA",IF(Dati!G937="","",Dati!G937)))</f>
        <v/>
      </c>
    </row>
    <row r="938" spans="1:14" ht="15" customHeight="1" x14ac:dyDescent="0.2">
      <c r="A938" s="23" t="str">
        <f>IF(Dati!A938="","",Dati!A938)</f>
        <v/>
      </c>
      <c r="B938" s="17" t="str">
        <f>IF(Dati!B938="","",Dati!B938)</f>
        <v/>
      </c>
      <c r="C938" s="17" t="str">
        <f>IF(B938="","",IF(ISNUMBER(B937),IF(B938-B937&lt;0,B938,IF(B938-B937=0,"",B938-B937)),B938))</f>
        <v/>
      </c>
      <c r="D938" s="18" t="str">
        <f>IF(Dati!C938="","",IF(Dati!C938&gt;1,Dati!C938/100,Dati!C938))</f>
        <v/>
      </c>
      <c r="E938" s="18" t="str">
        <f>IF(Dati!D938="","",IF(Dati!D938&gt;1,Dati!D938/100,Dati!D938))</f>
        <v/>
      </c>
      <c r="F938" s="18" t="str">
        <f>IF(OR(D938="",E938=""),"",IF(OR(D938&gt;1,E938&gt;1),(E938-D938)/100,E938-D938))</f>
        <v/>
      </c>
      <c r="G938" s="17" t="str">
        <f>IF(F938="","",IF(64*F938=0,"",64*F938))</f>
        <v/>
      </c>
      <c r="H938" s="19" t="str">
        <f>IF(Dati!E938="","",Dati!E938)</f>
        <v/>
      </c>
      <c r="I938" s="19" t="str">
        <f>IFERROR(IF(OR(C938="",C938=0),"",H938/C938*100),"")</f>
        <v/>
      </c>
      <c r="J938" s="20" t="str">
        <f>IF(Dati!F938="","",Dati!F938)</f>
        <v/>
      </c>
      <c r="K938" s="19" t="str">
        <f>IF(OR(H938="",J938=""),"",IF(H938*J938=0,"",H938*J938))</f>
        <v/>
      </c>
      <c r="L938" s="19" t="str">
        <f>IF(A938="","",IFERROR(IF(SUMPRODUCT((ISNUMBER(A$2:A938))*(A$2:A938&gt;1000)*(MONTH(IF(ISNUMBER(A$2:A938),A$2:A938,1))=MONTH(A938))*(YEAR(IF(ISNUMBER(A$2:A938),A$2:A938,1))=YEAR(A938))*IF(ISNUMBER(K$2:K938),K$2:K938,0))=0,"",SUMPRODUCT((ISNUMBER(A$2:A938))*(A$2:A938&gt;1000)*(MONTH(IF(ISNUMBER(A$2:A938),A$2:A938,1))=MONTH(A938))*(YEAR(IF(ISNUMBER(A$2:A938),A$2:A938,1))=YEAR(A938))*IF(ISNUMBER(K$2:K938),K$2:K938,0))),""))</f>
        <v/>
      </c>
      <c r="M938" s="21" t="str">
        <f>IF(A938="","",IFERROR(IF(SUMIF(N$2:N938,"CASA",K$2:K938)=0,"",SUMIF(N$2:N938,"CASA",K$2:K938)),""))</f>
        <v/>
      </c>
      <c r="N938" s="17" t="str">
        <f>IF(J938="","",IF(J938=0.2,"CASA",IF(Dati!G938="","",Dati!G938)))</f>
        <v/>
      </c>
    </row>
    <row r="939" spans="1:14" ht="15" customHeight="1" x14ac:dyDescent="0.2">
      <c r="A939" s="23" t="str">
        <f>IF(Dati!A939="","",Dati!A939)</f>
        <v/>
      </c>
      <c r="B939" s="17" t="str">
        <f>IF(Dati!B939="","",Dati!B939)</f>
        <v/>
      </c>
      <c r="C939" s="17" t="str">
        <f>IF(B939="","",IF(ISNUMBER(B938),IF(B939-B938&lt;0,B939,IF(B939-B938=0,"",B939-B938)),B939))</f>
        <v/>
      </c>
      <c r="D939" s="18" t="str">
        <f>IF(Dati!C939="","",IF(Dati!C939&gt;1,Dati!C939/100,Dati!C939))</f>
        <v/>
      </c>
      <c r="E939" s="18" t="str">
        <f>IF(Dati!D939="","",IF(Dati!D939&gt;1,Dati!D939/100,Dati!D939))</f>
        <v/>
      </c>
      <c r="F939" s="18" t="str">
        <f>IF(OR(D939="",E939=""),"",IF(OR(D939&gt;1,E939&gt;1),(E939-D939)/100,E939-D939))</f>
        <v/>
      </c>
      <c r="G939" s="17" t="str">
        <f>IF(F939="","",IF(64*F939=0,"",64*F939))</f>
        <v/>
      </c>
      <c r="H939" s="19" t="str">
        <f>IF(Dati!E939="","",Dati!E939)</f>
        <v/>
      </c>
      <c r="I939" s="19" t="str">
        <f>IFERROR(IF(OR(C939="",C939=0),"",H939/C939*100),"")</f>
        <v/>
      </c>
      <c r="J939" s="20" t="str">
        <f>IF(Dati!F939="","",Dati!F939)</f>
        <v/>
      </c>
      <c r="K939" s="19" t="str">
        <f>IF(OR(H939="",J939=""),"",IF(H939*J939=0,"",H939*J939))</f>
        <v/>
      </c>
      <c r="L939" s="19" t="str">
        <f>IF(A939="","",IFERROR(IF(SUMPRODUCT((ISNUMBER(A$2:A939))*(A$2:A939&gt;1000)*(MONTH(IF(ISNUMBER(A$2:A939),A$2:A939,1))=MONTH(A939))*(YEAR(IF(ISNUMBER(A$2:A939),A$2:A939,1))=YEAR(A939))*IF(ISNUMBER(K$2:K939),K$2:K939,0))=0,"",SUMPRODUCT((ISNUMBER(A$2:A939))*(A$2:A939&gt;1000)*(MONTH(IF(ISNUMBER(A$2:A939),A$2:A939,1))=MONTH(A939))*(YEAR(IF(ISNUMBER(A$2:A939),A$2:A939,1))=YEAR(A939))*IF(ISNUMBER(K$2:K939),K$2:K939,0))),""))</f>
        <v/>
      </c>
      <c r="M939" s="21" t="str">
        <f>IF(A939="","",IFERROR(IF(SUMIF(N$2:N939,"CASA",K$2:K939)=0,"",SUMIF(N$2:N939,"CASA",K$2:K939)),""))</f>
        <v/>
      </c>
      <c r="N939" s="17" t="str">
        <f>IF(J939="","",IF(J939=0.2,"CASA",IF(Dati!G939="","",Dati!G939)))</f>
        <v/>
      </c>
    </row>
    <row r="940" spans="1:14" ht="15" customHeight="1" x14ac:dyDescent="0.2">
      <c r="A940" s="23" t="str">
        <f>IF(Dati!A940="","",Dati!A940)</f>
        <v/>
      </c>
      <c r="B940" s="17" t="str">
        <f>IF(Dati!B940="","",Dati!B940)</f>
        <v/>
      </c>
      <c r="C940" s="17" t="str">
        <f>IF(B940="","",IF(ISNUMBER(B939),IF(B940-B939&lt;0,B940,IF(B940-B939=0,"",B940-B939)),B940))</f>
        <v/>
      </c>
      <c r="D940" s="18" t="str">
        <f>IF(Dati!C940="","",IF(Dati!C940&gt;1,Dati!C940/100,Dati!C940))</f>
        <v/>
      </c>
      <c r="E940" s="18" t="str">
        <f>IF(Dati!D940="","",IF(Dati!D940&gt;1,Dati!D940/100,Dati!D940))</f>
        <v/>
      </c>
      <c r="F940" s="18" t="str">
        <f>IF(OR(D940="",E940=""),"",IF(OR(D940&gt;1,E940&gt;1),(E940-D940)/100,E940-D940))</f>
        <v/>
      </c>
      <c r="G940" s="17" t="str">
        <f>IF(F940="","",IF(64*F940=0,"",64*F940))</f>
        <v/>
      </c>
      <c r="H940" s="19" t="str">
        <f>IF(Dati!E940="","",Dati!E940)</f>
        <v/>
      </c>
      <c r="I940" s="19" t="str">
        <f>IFERROR(IF(OR(C940="",C940=0),"",H940/C940*100),"")</f>
        <v/>
      </c>
      <c r="J940" s="20" t="str">
        <f>IF(Dati!F940="","",Dati!F940)</f>
        <v/>
      </c>
      <c r="K940" s="19" t="str">
        <f>IF(OR(H940="",J940=""),"",IF(H940*J940=0,"",H940*J940))</f>
        <v/>
      </c>
      <c r="L940" s="19" t="str">
        <f>IF(A940="","",IFERROR(IF(SUMPRODUCT((ISNUMBER(A$2:A940))*(A$2:A940&gt;1000)*(MONTH(IF(ISNUMBER(A$2:A940),A$2:A940,1))=MONTH(A940))*(YEAR(IF(ISNUMBER(A$2:A940),A$2:A940,1))=YEAR(A940))*IF(ISNUMBER(K$2:K940),K$2:K940,0))=0,"",SUMPRODUCT((ISNUMBER(A$2:A940))*(A$2:A940&gt;1000)*(MONTH(IF(ISNUMBER(A$2:A940),A$2:A940,1))=MONTH(A940))*(YEAR(IF(ISNUMBER(A$2:A940),A$2:A940,1))=YEAR(A940))*IF(ISNUMBER(K$2:K940),K$2:K940,0))),""))</f>
        <v/>
      </c>
      <c r="M940" s="21" t="str">
        <f>IF(A940="","",IFERROR(IF(SUMIF(N$2:N940,"CASA",K$2:K940)=0,"",SUMIF(N$2:N940,"CASA",K$2:K940)),""))</f>
        <v/>
      </c>
      <c r="N940" s="17" t="str">
        <f>IF(J940="","",IF(J940=0.2,"CASA",IF(Dati!G940="","",Dati!G940)))</f>
        <v/>
      </c>
    </row>
    <row r="941" spans="1:14" ht="15" customHeight="1" x14ac:dyDescent="0.2">
      <c r="A941" s="23" t="str">
        <f>IF(Dati!A941="","",Dati!A941)</f>
        <v/>
      </c>
      <c r="B941" s="17" t="str">
        <f>IF(Dati!B941="","",Dati!B941)</f>
        <v/>
      </c>
      <c r="C941" s="17" t="str">
        <f>IF(B941="","",IF(ISNUMBER(B940),IF(B941-B940&lt;0,B941,IF(B941-B940=0,"",B941-B940)),B941))</f>
        <v/>
      </c>
      <c r="D941" s="18" t="str">
        <f>IF(Dati!C941="","",IF(Dati!C941&gt;1,Dati!C941/100,Dati!C941))</f>
        <v/>
      </c>
      <c r="E941" s="18" t="str">
        <f>IF(Dati!D941="","",IF(Dati!D941&gt;1,Dati!D941/100,Dati!D941))</f>
        <v/>
      </c>
      <c r="F941" s="18" t="str">
        <f>IF(OR(D941="",E941=""),"",IF(OR(D941&gt;1,E941&gt;1),(E941-D941)/100,E941-D941))</f>
        <v/>
      </c>
      <c r="G941" s="17" t="str">
        <f>IF(F941="","",IF(64*F941=0,"",64*F941))</f>
        <v/>
      </c>
      <c r="H941" s="19" t="str">
        <f>IF(Dati!E941="","",Dati!E941)</f>
        <v/>
      </c>
      <c r="I941" s="19" t="str">
        <f>IFERROR(IF(OR(C941="",C941=0),"",H941/C941*100),"")</f>
        <v/>
      </c>
      <c r="J941" s="20" t="str">
        <f>IF(Dati!F941="","",Dati!F941)</f>
        <v/>
      </c>
      <c r="K941" s="19" t="str">
        <f>IF(OR(H941="",J941=""),"",IF(H941*J941=0,"",H941*J941))</f>
        <v/>
      </c>
      <c r="L941" s="19" t="str">
        <f>IF(A941="","",IFERROR(IF(SUMPRODUCT((ISNUMBER(A$2:A941))*(A$2:A941&gt;1000)*(MONTH(IF(ISNUMBER(A$2:A941),A$2:A941,1))=MONTH(A941))*(YEAR(IF(ISNUMBER(A$2:A941),A$2:A941,1))=YEAR(A941))*IF(ISNUMBER(K$2:K941),K$2:K941,0))=0,"",SUMPRODUCT((ISNUMBER(A$2:A941))*(A$2:A941&gt;1000)*(MONTH(IF(ISNUMBER(A$2:A941),A$2:A941,1))=MONTH(A941))*(YEAR(IF(ISNUMBER(A$2:A941),A$2:A941,1))=YEAR(A941))*IF(ISNUMBER(K$2:K941),K$2:K941,0))),""))</f>
        <v/>
      </c>
      <c r="M941" s="21" t="str">
        <f>IF(A941="","",IFERROR(IF(SUMIF(N$2:N941,"CASA",K$2:K941)=0,"",SUMIF(N$2:N941,"CASA",K$2:K941)),""))</f>
        <v/>
      </c>
      <c r="N941" s="17" t="str">
        <f>IF(J941="","",IF(J941=0.2,"CASA",IF(Dati!G941="","",Dati!G941)))</f>
        <v/>
      </c>
    </row>
    <row r="942" spans="1:14" ht="15" customHeight="1" x14ac:dyDescent="0.2">
      <c r="A942" s="23" t="str">
        <f>IF(Dati!A942="","",Dati!A942)</f>
        <v/>
      </c>
      <c r="B942" s="17" t="str">
        <f>IF(Dati!B942="","",Dati!B942)</f>
        <v/>
      </c>
      <c r="C942" s="17" t="str">
        <f>IF(B942="","",IF(ISNUMBER(B941),IF(B942-B941&lt;0,B942,IF(B942-B941=0,"",B942-B941)),B942))</f>
        <v/>
      </c>
      <c r="D942" s="18" t="str">
        <f>IF(Dati!C942="","",IF(Dati!C942&gt;1,Dati!C942/100,Dati!C942))</f>
        <v/>
      </c>
      <c r="E942" s="18" t="str">
        <f>IF(Dati!D942="","",IF(Dati!D942&gt;1,Dati!D942/100,Dati!D942))</f>
        <v/>
      </c>
      <c r="F942" s="18" t="str">
        <f>IF(OR(D942="",E942=""),"",IF(OR(D942&gt;1,E942&gt;1),(E942-D942)/100,E942-D942))</f>
        <v/>
      </c>
      <c r="G942" s="17" t="str">
        <f>IF(F942="","",IF(64*F942=0,"",64*F942))</f>
        <v/>
      </c>
      <c r="H942" s="19" t="str">
        <f>IF(Dati!E942="","",Dati!E942)</f>
        <v/>
      </c>
      <c r="I942" s="19" t="str">
        <f>IFERROR(IF(OR(C942="",C942=0),"",H942/C942*100),"")</f>
        <v/>
      </c>
      <c r="J942" s="20" t="str">
        <f>IF(Dati!F942="","",Dati!F942)</f>
        <v/>
      </c>
      <c r="K942" s="19" t="str">
        <f>IF(OR(H942="",J942=""),"",IF(H942*J942=0,"",H942*J942))</f>
        <v/>
      </c>
      <c r="L942" s="19" t="str">
        <f>IF(A942="","",IFERROR(IF(SUMPRODUCT((ISNUMBER(A$2:A942))*(A$2:A942&gt;1000)*(MONTH(IF(ISNUMBER(A$2:A942),A$2:A942,1))=MONTH(A942))*(YEAR(IF(ISNUMBER(A$2:A942),A$2:A942,1))=YEAR(A942))*IF(ISNUMBER(K$2:K942),K$2:K942,0))=0,"",SUMPRODUCT((ISNUMBER(A$2:A942))*(A$2:A942&gt;1000)*(MONTH(IF(ISNUMBER(A$2:A942),A$2:A942,1))=MONTH(A942))*(YEAR(IF(ISNUMBER(A$2:A942),A$2:A942,1))=YEAR(A942))*IF(ISNUMBER(K$2:K942),K$2:K942,0))),""))</f>
        <v/>
      </c>
      <c r="M942" s="21" t="str">
        <f>IF(A942="","",IFERROR(IF(SUMIF(N$2:N942,"CASA",K$2:K942)=0,"",SUMIF(N$2:N942,"CASA",K$2:K942)),""))</f>
        <v/>
      </c>
      <c r="N942" s="17" t="str">
        <f>IF(J942="","",IF(J942=0.2,"CASA",IF(Dati!G942="","",Dati!G942)))</f>
        <v/>
      </c>
    </row>
    <row r="943" spans="1:14" ht="15" customHeight="1" x14ac:dyDescent="0.2">
      <c r="A943" s="23" t="str">
        <f>IF(Dati!A943="","",Dati!A943)</f>
        <v/>
      </c>
      <c r="B943" s="17" t="str">
        <f>IF(Dati!B943="","",Dati!B943)</f>
        <v/>
      </c>
      <c r="C943" s="17" t="str">
        <f>IF(B943="","",IF(ISNUMBER(B942),IF(B943-B942&lt;0,B943,IF(B943-B942=0,"",B943-B942)),B943))</f>
        <v/>
      </c>
      <c r="D943" s="18" t="str">
        <f>IF(Dati!C943="","",IF(Dati!C943&gt;1,Dati!C943/100,Dati!C943))</f>
        <v/>
      </c>
      <c r="E943" s="18" t="str">
        <f>IF(Dati!D943="","",IF(Dati!D943&gt;1,Dati!D943/100,Dati!D943))</f>
        <v/>
      </c>
      <c r="F943" s="18" t="str">
        <f>IF(OR(D943="",E943=""),"",IF(OR(D943&gt;1,E943&gt;1),(E943-D943)/100,E943-D943))</f>
        <v/>
      </c>
      <c r="G943" s="17" t="str">
        <f>IF(F943="","",IF(64*F943=0,"",64*F943))</f>
        <v/>
      </c>
      <c r="H943" s="19" t="str">
        <f>IF(Dati!E943="","",Dati!E943)</f>
        <v/>
      </c>
      <c r="I943" s="19" t="str">
        <f>IFERROR(IF(OR(C943="",C943=0),"",H943/C943*100),"")</f>
        <v/>
      </c>
      <c r="J943" s="20" t="str">
        <f>IF(Dati!F943="","",Dati!F943)</f>
        <v/>
      </c>
      <c r="K943" s="19" t="str">
        <f>IF(OR(H943="",J943=""),"",IF(H943*J943=0,"",H943*J943))</f>
        <v/>
      </c>
      <c r="L943" s="19" t="str">
        <f>IF(A943="","",IFERROR(IF(SUMPRODUCT((ISNUMBER(A$2:A943))*(A$2:A943&gt;1000)*(MONTH(IF(ISNUMBER(A$2:A943),A$2:A943,1))=MONTH(A943))*(YEAR(IF(ISNUMBER(A$2:A943),A$2:A943,1))=YEAR(A943))*IF(ISNUMBER(K$2:K943),K$2:K943,0))=0,"",SUMPRODUCT((ISNUMBER(A$2:A943))*(A$2:A943&gt;1000)*(MONTH(IF(ISNUMBER(A$2:A943),A$2:A943,1))=MONTH(A943))*(YEAR(IF(ISNUMBER(A$2:A943),A$2:A943,1))=YEAR(A943))*IF(ISNUMBER(K$2:K943),K$2:K943,0))),""))</f>
        <v/>
      </c>
      <c r="M943" s="21" t="str">
        <f>IF(A943="","",IFERROR(IF(SUMIF(N$2:N943,"CASA",K$2:K943)=0,"",SUMIF(N$2:N943,"CASA",K$2:K943)),""))</f>
        <v/>
      </c>
      <c r="N943" s="17" t="str">
        <f>IF(J943="","",IF(J943=0.2,"CASA",IF(Dati!G943="","",Dati!G943)))</f>
        <v/>
      </c>
    </row>
    <row r="944" spans="1:14" ht="15" customHeight="1" x14ac:dyDescent="0.2">
      <c r="A944" s="23" t="str">
        <f>IF(Dati!A944="","",Dati!A944)</f>
        <v/>
      </c>
      <c r="B944" s="17" t="str">
        <f>IF(Dati!B944="","",Dati!B944)</f>
        <v/>
      </c>
      <c r="C944" s="17" t="str">
        <f>IF(B944="","",IF(ISNUMBER(B943),IF(B944-B943&lt;0,B944,IF(B944-B943=0,"",B944-B943)),B944))</f>
        <v/>
      </c>
      <c r="D944" s="18" t="str">
        <f>IF(Dati!C944="","",IF(Dati!C944&gt;1,Dati!C944/100,Dati!C944))</f>
        <v/>
      </c>
      <c r="E944" s="18" t="str">
        <f>IF(Dati!D944="","",IF(Dati!D944&gt;1,Dati!D944/100,Dati!D944))</f>
        <v/>
      </c>
      <c r="F944" s="18" t="str">
        <f>IF(OR(D944="",E944=""),"",IF(OR(D944&gt;1,E944&gt;1),(E944-D944)/100,E944-D944))</f>
        <v/>
      </c>
      <c r="G944" s="17" t="str">
        <f>IF(F944="","",IF(64*F944=0,"",64*F944))</f>
        <v/>
      </c>
      <c r="H944" s="19" t="str">
        <f>IF(Dati!E944="","",Dati!E944)</f>
        <v/>
      </c>
      <c r="I944" s="19" t="str">
        <f>IFERROR(IF(OR(C944="",C944=0),"",H944/C944*100),"")</f>
        <v/>
      </c>
      <c r="J944" s="20" t="str">
        <f>IF(Dati!F944="","",Dati!F944)</f>
        <v/>
      </c>
      <c r="K944" s="19" t="str">
        <f>IF(OR(H944="",J944=""),"",IF(H944*J944=0,"",H944*J944))</f>
        <v/>
      </c>
      <c r="L944" s="19" t="str">
        <f>IF(A944="","",IFERROR(IF(SUMPRODUCT((ISNUMBER(A$2:A944))*(A$2:A944&gt;1000)*(MONTH(IF(ISNUMBER(A$2:A944),A$2:A944,1))=MONTH(A944))*(YEAR(IF(ISNUMBER(A$2:A944),A$2:A944,1))=YEAR(A944))*IF(ISNUMBER(K$2:K944),K$2:K944,0))=0,"",SUMPRODUCT((ISNUMBER(A$2:A944))*(A$2:A944&gt;1000)*(MONTH(IF(ISNUMBER(A$2:A944),A$2:A944,1))=MONTH(A944))*(YEAR(IF(ISNUMBER(A$2:A944),A$2:A944,1))=YEAR(A944))*IF(ISNUMBER(K$2:K944),K$2:K944,0))),""))</f>
        <v/>
      </c>
      <c r="M944" s="21" t="str">
        <f>IF(A944="","",IFERROR(IF(SUMIF(N$2:N944,"CASA",K$2:K944)=0,"",SUMIF(N$2:N944,"CASA",K$2:K944)),""))</f>
        <v/>
      </c>
      <c r="N944" s="17" t="str">
        <f>IF(J944="","",IF(J944=0.2,"CASA",IF(Dati!G944="","",Dati!G944)))</f>
        <v/>
      </c>
    </row>
    <row r="945" spans="1:14" ht="15" customHeight="1" x14ac:dyDescent="0.2">
      <c r="A945" s="23" t="str">
        <f>IF(Dati!A945="","",Dati!A945)</f>
        <v/>
      </c>
      <c r="B945" s="17" t="str">
        <f>IF(Dati!B945="","",Dati!B945)</f>
        <v/>
      </c>
      <c r="C945" s="17" t="str">
        <f>IF(B945="","",IF(ISNUMBER(B944),IF(B945-B944&lt;0,B945,IF(B945-B944=0,"",B945-B944)),B945))</f>
        <v/>
      </c>
      <c r="D945" s="18" t="str">
        <f>IF(Dati!C945="","",IF(Dati!C945&gt;1,Dati!C945/100,Dati!C945))</f>
        <v/>
      </c>
      <c r="E945" s="18" t="str">
        <f>IF(Dati!D945="","",IF(Dati!D945&gt;1,Dati!D945/100,Dati!D945))</f>
        <v/>
      </c>
      <c r="F945" s="18" t="str">
        <f>IF(OR(D945="",E945=""),"",IF(OR(D945&gt;1,E945&gt;1),(E945-D945)/100,E945-D945))</f>
        <v/>
      </c>
      <c r="G945" s="17" t="str">
        <f>IF(F945="","",IF(64*F945=0,"",64*F945))</f>
        <v/>
      </c>
      <c r="H945" s="19" t="str">
        <f>IF(Dati!E945="","",Dati!E945)</f>
        <v/>
      </c>
      <c r="I945" s="19" t="str">
        <f>IFERROR(IF(OR(C945="",C945=0),"",H945/C945*100),"")</f>
        <v/>
      </c>
      <c r="J945" s="20" t="str">
        <f>IF(Dati!F945="","",Dati!F945)</f>
        <v/>
      </c>
      <c r="K945" s="19" t="str">
        <f>IF(OR(H945="",J945=""),"",IF(H945*J945=0,"",H945*J945))</f>
        <v/>
      </c>
      <c r="L945" s="19" t="str">
        <f>IF(A945="","",IFERROR(IF(SUMPRODUCT((ISNUMBER(A$2:A945))*(A$2:A945&gt;1000)*(MONTH(IF(ISNUMBER(A$2:A945),A$2:A945,1))=MONTH(A945))*(YEAR(IF(ISNUMBER(A$2:A945),A$2:A945,1))=YEAR(A945))*IF(ISNUMBER(K$2:K945),K$2:K945,0))=0,"",SUMPRODUCT((ISNUMBER(A$2:A945))*(A$2:A945&gt;1000)*(MONTH(IF(ISNUMBER(A$2:A945),A$2:A945,1))=MONTH(A945))*(YEAR(IF(ISNUMBER(A$2:A945),A$2:A945,1))=YEAR(A945))*IF(ISNUMBER(K$2:K945),K$2:K945,0))),""))</f>
        <v/>
      </c>
      <c r="M945" s="21" t="str">
        <f>IF(A945="","",IFERROR(IF(SUMIF(N$2:N945,"CASA",K$2:K945)=0,"",SUMIF(N$2:N945,"CASA",K$2:K945)),""))</f>
        <v/>
      </c>
      <c r="N945" s="17" t="str">
        <f>IF(J945="","",IF(J945=0.2,"CASA",IF(Dati!G945="","",Dati!G945)))</f>
        <v/>
      </c>
    </row>
    <row r="946" spans="1:14" ht="15" customHeight="1" x14ac:dyDescent="0.2">
      <c r="A946" s="23" t="str">
        <f>IF(Dati!A946="","",Dati!A946)</f>
        <v/>
      </c>
      <c r="B946" s="17" t="str">
        <f>IF(Dati!B946="","",Dati!B946)</f>
        <v/>
      </c>
      <c r="C946" s="17" t="str">
        <f>IF(B946="","",IF(ISNUMBER(B945),IF(B946-B945&lt;0,B946,IF(B946-B945=0,"",B946-B945)),B946))</f>
        <v/>
      </c>
      <c r="D946" s="18" t="str">
        <f>IF(Dati!C946="","",IF(Dati!C946&gt;1,Dati!C946/100,Dati!C946))</f>
        <v/>
      </c>
      <c r="E946" s="18" t="str">
        <f>IF(Dati!D946="","",IF(Dati!D946&gt;1,Dati!D946/100,Dati!D946))</f>
        <v/>
      </c>
      <c r="F946" s="18" t="str">
        <f>IF(OR(D946="",E946=""),"",IF(OR(D946&gt;1,E946&gt;1),(E946-D946)/100,E946-D946))</f>
        <v/>
      </c>
      <c r="G946" s="17" t="str">
        <f>IF(F946="","",IF(64*F946=0,"",64*F946))</f>
        <v/>
      </c>
      <c r="H946" s="19" t="str">
        <f>IF(Dati!E946="","",Dati!E946)</f>
        <v/>
      </c>
      <c r="I946" s="19" t="str">
        <f>IFERROR(IF(OR(C946="",C946=0),"",H946/C946*100),"")</f>
        <v/>
      </c>
      <c r="J946" s="20" t="str">
        <f>IF(Dati!F946="","",Dati!F946)</f>
        <v/>
      </c>
      <c r="K946" s="19" t="str">
        <f>IF(OR(H946="",J946=""),"",IF(H946*J946=0,"",H946*J946))</f>
        <v/>
      </c>
      <c r="L946" s="19" t="str">
        <f>IF(A946="","",IFERROR(IF(SUMPRODUCT((ISNUMBER(A$2:A946))*(A$2:A946&gt;1000)*(MONTH(IF(ISNUMBER(A$2:A946),A$2:A946,1))=MONTH(A946))*(YEAR(IF(ISNUMBER(A$2:A946),A$2:A946,1))=YEAR(A946))*IF(ISNUMBER(K$2:K946),K$2:K946,0))=0,"",SUMPRODUCT((ISNUMBER(A$2:A946))*(A$2:A946&gt;1000)*(MONTH(IF(ISNUMBER(A$2:A946),A$2:A946,1))=MONTH(A946))*(YEAR(IF(ISNUMBER(A$2:A946),A$2:A946,1))=YEAR(A946))*IF(ISNUMBER(K$2:K946),K$2:K946,0))),""))</f>
        <v/>
      </c>
      <c r="M946" s="21" t="str">
        <f>IF(A946="","",IFERROR(IF(SUMIF(N$2:N946,"CASA",K$2:K946)=0,"",SUMIF(N$2:N946,"CASA",K$2:K946)),""))</f>
        <v/>
      </c>
      <c r="N946" s="17" t="str">
        <f>IF(J946="","",IF(J946=0.2,"CASA",IF(Dati!G946="","",Dati!G946)))</f>
        <v/>
      </c>
    </row>
    <row r="947" spans="1:14" ht="15" customHeight="1" x14ac:dyDescent="0.2">
      <c r="A947" s="23" t="str">
        <f>IF(Dati!A947="","",Dati!A947)</f>
        <v/>
      </c>
      <c r="B947" s="17" t="str">
        <f>IF(Dati!B947="","",Dati!B947)</f>
        <v/>
      </c>
      <c r="C947" s="17" t="str">
        <f>IF(B947="","",IF(ISNUMBER(B946),IF(B947-B946&lt;0,B947,IF(B947-B946=0,"",B947-B946)),B947))</f>
        <v/>
      </c>
      <c r="D947" s="18" t="str">
        <f>IF(Dati!C947="","",IF(Dati!C947&gt;1,Dati!C947/100,Dati!C947))</f>
        <v/>
      </c>
      <c r="E947" s="18" t="str">
        <f>IF(Dati!D947="","",IF(Dati!D947&gt;1,Dati!D947/100,Dati!D947))</f>
        <v/>
      </c>
      <c r="F947" s="18" t="str">
        <f>IF(OR(D947="",E947=""),"",IF(OR(D947&gt;1,E947&gt;1),(E947-D947)/100,E947-D947))</f>
        <v/>
      </c>
      <c r="G947" s="17" t="str">
        <f>IF(F947="","",IF(64*F947=0,"",64*F947))</f>
        <v/>
      </c>
      <c r="H947" s="19" t="str">
        <f>IF(Dati!E947="","",Dati!E947)</f>
        <v/>
      </c>
      <c r="I947" s="19" t="str">
        <f>IFERROR(IF(OR(C947="",C947=0),"",H947/C947*100),"")</f>
        <v/>
      </c>
      <c r="J947" s="20" t="str">
        <f>IF(Dati!F947="","",Dati!F947)</f>
        <v/>
      </c>
      <c r="K947" s="19" t="str">
        <f>IF(OR(H947="",J947=""),"",IF(H947*J947=0,"",H947*J947))</f>
        <v/>
      </c>
      <c r="L947" s="19" t="str">
        <f>IF(A947="","",IFERROR(IF(SUMPRODUCT((ISNUMBER(A$2:A947))*(A$2:A947&gt;1000)*(MONTH(IF(ISNUMBER(A$2:A947),A$2:A947,1))=MONTH(A947))*(YEAR(IF(ISNUMBER(A$2:A947),A$2:A947,1))=YEAR(A947))*IF(ISNUMBER(K$2:K947),K$2:K947,0))=0,"",SUMPRODUCT((ISNUMBER(A$2:A947))*(A$2:A947&gt;1000)*(MONTH(IF(ISNUMBER(A$2:A947),A$2:A947,1))=MONTH(A947))*(YEAR(IF(ISNUMBER(A$2:A947),A$2:A947,1))=YEAR(A947))*IF(ISNUMBER(K$2:K947),K$2:K947,0))),""))</f>
        <v/>
      </c>
      <c r="M947" s="21" t="str">
        <f>IF(A947="","",IFERROR(IF(SUMIF(N$2:N947,"CASA",K$2:K947)=0,"",SUMIF(N$2:N947,"CASA",K$2:K947)),""))</f>
        <v/>
      </c>
      <c r="N947" s="17" t="str">
        <f>IF(J947="","",IF(J947=0.2,"CASA",IF(Dati!G947="","",Dati!G947)))</f>
        <v/>
      </c>
    </row>
    <row r="948" spans="1:14" ht="15" customHeight="1" x14ac:dyDescent="0.2">
      <c r="A948" s="23" t="str">
        <f>IF(Dati!A948="","",Dati!A948)</f>
        <v/>
      </c>
      <c r="B948" s="17" t="str">
        <f>IF(Dati!B948="","",Dati!B948)</f>
        <v/>
      </c>
      <c r="C948" s="17" t="str">
        <f>IF(B948="","",IF(ISNUMBER(B947),IF(B948-B947&lt;0,B948,IF(B948-B947=0,"",B948-B947)),B948))</f>
        <v/>
      </c>
      <c r="D948" s="18" t="str">
        <f>IF(Dati!C948="","",IF(Dati!C948&gt;1,Dati!C948/100,Dati!C948))</f>
        <v/>
      </c>
      <c r="E948" s="18" t="str">
        <f>IF(Dati!D948="","",IF(Dati!D948&gt;1,Dati!D948/100,Dati!D948))</f>
        <v/>
      </c>
      <c r="F948" s="18" t="str">
        <f>IF(OR(D948="",E948=""),"",IF(OR(D948&gt;1,E948&gt;1),(E948-D948)/100,E948-D948))</f>
        <v/>
      </c>
      <c r="G948" s="17" t="str">
        <f>IF(F948="","",IF(64*F948=0,"",64*F948))</f>
        <v/>
      </c>
      <c r="H948" s="19" t="str">
        <f>IF(Dati!E948="","",Dati!E948)</f>
        <v/>
      </c>
      <c r="I948" s="19" t="str">
        <f>IFERROR(IF(OR(C948="",C948=0),"",H948/C948*100),"")</f>
        <v/>
      </c>
      <c r="J948" s="20" t="str">
        <f>IF(Dati!F948="","",Dati!F948)</f>
        <v/>
      </c>
      <c r="K948" s="19" t="str">
        <f>IF(OR(H948="",J948=""),"",IF(H948*J948=0,"",H948*J948))</f>
        <v/>
      </c>
      <c r="L948" s="19" t="str">
        <f>IF(A948="","",IFERROR(IF(SUMPRODUCT((ISNUMBER(A$2:A948))*(A$2:A948&gt;1000)*(MONTH(IF(ISNUMBER(A$2:A948),A$2:A948,1))=MONTH(A948))*(YEAR(IF(ISNUMBER(A$2:A948),A$2:A948,1))=YEAR(A948))*IF(ISNUMBER(K$2:K948),K$2:K948,0))=0,"",SUMPRODUCT((ISNUMBER(A$2:A948))*(A$2:A948&gt;1000)*(MONTH(IF(ISNUMBER(A$2:A948),A$2:A948,1))=MONTH(A948))*(YEAR(IF(ISNUMBER(A$2:A948),A$2:A948,1))=YEAR(A948))*IF(ISNUMBER(K$2:K948),K$2:K948,0))),""))</f>
        <v/>
      </c>
      <c r="M948" s="21" t="str">
        <f>IF(A948="","",IFERROR(IF(SUMIF(N$2:N948,"CASA",K$2:K948)=0,"",SUMIF(N$2:N948,"CASA",K$2:K948)),""))</f>
        <v/>
      </c>
      <c r="N948" s="17" t="str">
        <f>IF(J948="","",IF(J948=0.2,"CASA",IF(Dati!G948="","",Dati!G948)))</f>
        <v/>
      </c>
    </row>
    <row r="949" spans="1:14" ht="15" customHeight="1" x14ac:dyDescent="0.2">
      <c r="A949" s="23" t="str">
        <f>IF(Dati!A949="","",Dati!A949)</f>
        <v/>
      </c>
      <c r="B949" s="17" t="str">
        <f>IF(Dati!B949="","",Dati!B949)</f>
        <v/>
      </c>
      <c r="C949" s="17" t="str">
        <f>IF(B949="","",IF(ISNUMBER(B948),IF(B949-B948&lt;0,B949,IF(B949-B948=0,"",B949-B948)),B949))</f>
        <v/>
      </c>
      <c r="D949" s="18" t="str">
        <f>IF(Dati!C949="","",IF(Dati!C949&gt;1,Dati!C949/100,Dati!C949))</f>
        <v/>
      </c>
      <c r="E949" s="18" t="str">
        <f>IF(Dati!D949="","",IF(Dati!D949&gt;1,Dati!D949/100,Dati!D949))</f>
        <v/>
      </c>
      <c r="F949" s="18" t="str">
        <f>IF(OR(D949="",E949=""),"",IF(OR(D949&gt;1,E949&gt;1),(E949-D949)/100,E949-D949))</f>
        <v/>
      </c>
      <c r="G949" s="17" t="str">
        <f>IF(F949="","",IF(64*F949=0,"",64*F949))</f>
        <v/>
      </c>
      <c r="H949" s="19" t="str">
        <f>IF(Dati!E949="","",Dati!E949)</f>
        <v/>
      </c>
      <c r="I949" s="19" t="str">
        <f>IFERROR(IF(OR(C949="",C949=0),"",H949/C949*100),"")</f>
        <v/>
      </c>
      <c r="J949" s="20" t="str">
        <f>IF(Dati!F949="","",Dati!F949)</f>
        <v/>
      </c>
      <c r="K949" s="19" t="str">
        <f>IF(OR(H949="",J949=""),"",IF(H949*J949=0,"",H949*J949))</f>
        <v/>
      </c>
      <c r="L949" s="19" t="str">
        <f>IF(A949="","",IFERROR(IF(SUMPRODUCT((ISNUMBER(A$2:A949))*(A$2:A949&gt;1000)*(MONTH(IF(ISNUMBER(A$2:A949),A$2:A949,1))=MONTH(A949))*(YEAR(IF(ISNUMBER(A$2:A949),A$2:A949,1))=YEAR(A949))*IF(ISNUMBER(K$2:K949),K$2:K949,0))=0,"",SUMPRODUCT((ISNUMBER(A$2:A949))*(A$2:A949&gt;1000)*(MONTH(IF(ISNUMBER(A$2:A949),A$2:A949,1))=MONTH(A949))*(YEAR(IF(ISNUMBER(A$2:A949),A$2:A949,1))=YEAR(A949))*IF(ISNUMBER(K$2:K949),K$2:K949,0))),""))</f>
        <v/>
      </c>
      <c r="M949" s="21" t="str">
        <f>IF(A949="","",IFERROR(IF(SUMIF(N$2:N949,"CASA",K$2:K949)=0,"",SUMIF(N$2:N949,"CASA",K$2:K949)),""))</f>
        <v/>
      </c>
      <c r="N949" s="17" t="str">
        <f>IF(J949="","",IF(J949=0.2,"CASA",IF(Dati!G949="","",Dati!G949)))</f>
        <v/>
      </c>
    </row>
    <row r="950" spans="1:14" ht="15" customHeight="1" x14ac:dyDescent="0.2">
      <c r="A950" s="23" t="str">
        <f>IF(Dati!A950="","",Dati!A950)</f>
        <v/>
      </c>
      <c r="B950" s="17" t="str">
        <f>IF(Dati!B950="","",Dati!B950)</f>
        <v/>
      </c>
      <c r="C950" s="17" t="str">
        <f>IF(B950="","",IF(ISNUMBER(B949),IF(B950-B949&lt;0,B950,IF(B950-B949=0,"",B950-B949)),B950))</f>
        <v/>
      </c>
      <c r="D950" s="18" t="str">
        <f>IF(Dati!C950="","",IF(Dati!C950&gt;1,Dati!C950/100,Dati!C950))</f>
        <v/>
      </c>
      <c r="E950" s="18" t="str">
        <f>IF(Dati!D950="","",IF(Dati!D950&gt;1,Dati!D950/100,Dati!D950))</f>
        <v/>
      </c>
      <c r="F950" s="18" t="str">
        <f>IF(OR(D950="",E950=""),"",IF(OR(D950&gt;1,E950&gt;1),(E950-D950)/100,E950-D950))</f>
        <v/>
      </c>
      <c r="G950" s="17" t="str">
        <f>IF(F950="","",IF(64*F950=0,"",64*F950))</f>
        <v/>
      </c>
      <c r="H950" s="19" t="str">
        <f>IF(Dati!E950="","",Dati!E950)</f>
        <v/>
      </c>
      <c r="I950" s="19" t="str">
        <f>IFERROR(IF(OR(C950="",C950=0),"",H950/C950*100),"")</f>
        <v/>
      </c>
      <c r="J950" s="20" t="str">
        <f>IF(Dati!F950="","",Dati!F950)</f>
        <v/>
      </c>
      <c r="K950" s="19" t="str">
        <f>IF(OR(H950="",J950=""),"",IF(H950*J950=0,"",H950*J950))</f>
        <v/>
      </c>
      <c r="L950" s="19" t="str">
        <f>IF(A950="","",IFERROR(IF(SUMPRODUCT((ISNUMBER(A$2:A950))*(A$2:A950&gt;1000)*(MONTH(IF(ISNUMBER(A$2:A950),A$2:A950,1))=MONTH(A950))*(YEAR(IF(ISNUMBER(A$2:A950),A$2:A950,1))=YEAR(A950))*IF(ISNUMBER(K$2:K950),K$2:K950,0))=0,"",SUMPRODUCT((ISNUMBER(A$2:A950))*(A$2:A950&gt;1000)*(MONTH(IF(ISNUMBER(A$2:A950),A$2:A950,1))=MONTH(A950))*(YEAR(IF(ISNUMBER(A$2:A950),A$2:A950,1))=YEAR(A950))*IF(ISNUMBER(K$2:K950),K$2:K950,0))),""))</f>
        <v/>
      </c>
      <c r="M950" s="21" t="str">
        <f>IF(A950="","",IFERROR(IF(SUMIF(N$2:N950,"CASA",K$2:K950)=0,"",SUMIF(N$2:N950,"CASA",K$2:K950)),""))</f>
        <v/>
      </c>
      <c r="N950" s="17" t="str">
        <f>IF(J950="","",IF(J950=0.2,"CASA",IF(Dati!G950="","",Dati!G950)))</f>
        <v/>
      </c>
    </row>
    <row r="951" spans="1:14" ht="15" customHeight="1" x14ac:dyDescent="0.2">
      <c r="A951" s="23" t="str">
        <f>IF(Dati!A951="","",Dati!A951)</f>
        <v/>
      </c>
      <c r="B951" s="17" t="str">
        <f>IF(Dati!B951="","",Dati!B951)</f>
        <v/>
      </c>
      <c r="C951" s="17" t="str">
        <f>IF(B951="","",IF(ISNUMBER(B950),IF(B951-B950&lt;0,B951,IF(B951-B950=0,"",B951-B950)),B951))</f>
        <v/>
      </c>
      <c r="D951" s="18" t="str">
        <f>IF(Dati!C951="","",IF(Dati!C951&gt;1,Dati!C951/100,Dati!C951))</f>
        <v/>
      </c>
      <c r="E951" s="18" t="str">
        <f>IF(Dati!D951="","",IF(Dati!D951&gt;1,Dati!D951/100,Dati!D951))</f>
        <v/>
      </c>
      <c r="F951" s="18" t="str">
        <f>IF(OR(D951="",E951=""),"",IF(OR(D951&gt;1,E951&gt;1),(E951-D951)/100,E951-D951))</f>
        <v/>
      </c>
      <c r="G951" s="17" t="str">
        <f>IF(F951="","",IF(64*F951=0,"",64*F951))</f>
        <v/>
      </c>
      <c r="H951" s="19" t="str">
        <f>IF(Dati!E951="","",Dati!E951)</f>
        <v/>
      </c>
      <c r="I951" s="19" t="str">
        <f>IFERROR(IF(OR(C951="",C951=0),"",H951/C951*100),"")</f>
        <v/>
      </c>
      <c r="J951" s="20" t="str">
        <f>IF(Dati!F951="","",Dati!F951)</f>
        <v/>
      </c>
      <c r="K951" s="19" t="str">
        <f>IF(OR(H951="",J951=""),"",IF(H951*J951=0,"",H951*J951))</f>
        <v/>
      </c>
      <c r="L951" s="19" t="str">
        <f>IF(A951="","",IFERROR(IF(SUMPRODUCT((ISNUMBER(A$2:A951))*(A$2:A951&gt;1000)*(MONTH(IF(ISNUMBER(A$2:A951),A$2:A951,1))=MONTH(A951))*(YEAR(IF(ISNUMBER(A$2:A951),A$2:A951,1))=YEAR(A951))*IF(ISNUMBER(K$2:K951),K$2:K951,0))=0,"",SUMPRODUCT((ISNUMBER(A$2:A951))*(A$2:A951&gt;1000)*(MONTH(IF(ISNUMBER(A$2:A951),A$2:A951,1))=MONTH(A951))*(YEAR(IF(ISNUMBER(A$2:A951),A$2:A951,1))=YEAR(A951))*IF(ISNUMBER(K$2:K951),K$2:K951,0))),""))</f>
        <v/>
      </c>
      <c r="M951" s="21" t="str">
        <f>IF(A951="","",IFERROR(IF(SUMIF(N$2:N951,"CASA",K$2:K951)=0,"",SUMIF(N$2:N951,"CASA",K$2:K951)),""))</f>
        <v/>
      </c>
      <c r="N951" s="17" t="str">
        <f>IF(J951="","",IF(J951=0.2,"CASA",IF(Dati!G951="","",Dati!G951)))</f>
        <v/>
      </c>
    </row>
    <row r="952" spans="1:14" ht="15" customHeight="1" x14ac:dyDescent="0.2">
      <c r="A952" s="23" t="str">
        <f>IF(Dati!A952="","",Dati!A952)</f>
        <v/>
      </c>
      <c r="B952" s="17" t="str">
        <f>IF(Dati!B952="","",Dati!B952)</f>
        <v/>
      </c>
      <c r="C952" s="17" t="str">
        <f>IF(B952="","",IF(ISNUMBER(B951),IF(B952-B951&lt;0,B952,IF(B952-B951=0,"",B952-B951)),B952))</f>
        <v/>
      </c>
      <c r="D952" s="18" t="str">
        <f>IF(Dati!C952="","",IF(Dati!C952&gt;1,Dati!C952/100,Dati!C952))</f>
        <v/>
      </c>
      <c r="E952" s="18" t="str">
        <f>IF(Dati!D952="","",IF(Dati!D952&gt;1,Dati!D952/100,Dati!D952))</f>
        <v/>
      </c>
      <c r="F952" s="18" t="str">
        <f>IF(OR(D952="",E952=""),"",IF(OR(D952&gt;1,E952&gt;1),(E952-D952)/100,E952-D952))</f>
        <v/>
      </c>
      <c r="G952" s="17" t="str">
        <f>IF(F952="","",IF(64*F952=0,"",64*F952))</f>
        <v/>
      </c>
      <c r="H952" s="19" t="str">
        <f>IF(Dati!E952="","",Dati!E952)</f>
        <v/>
      </c>
      <c r="I952" s="19" t="str">
        <f>IFERROR(IF(OR(C952="",C952=0),"",H952/C952*100),"")</f>
        <v/>
      </c>
      <c r="J952" s="20" t="str">
        <f>IF(Dati!F952="","",Dati!F952)</f>
        <v/>
      </c>
      <c r="K952" s="19" t="str">
        <f>IF(OR(H952="",J952=""),"",IF(H952*J952=0,"",H952*J952))</f>
        <v/>
      </c>
      <c r="L952" s="19" t="str">
        <f>IF(A952="","",IFERROR(IF(SUMPRODUCT((ISNUMBER(A$2:A952))*(A$2:A952&gt;1000)*(MONTH(IF(ISNUMBER(A$2:A952),A$2:A952,1))=MONTH(A952))*(YEAR(IF(ISNUMBER(A$2:A952),A$2:A952,1))=YEAR(A952))*IF(ISNUMBER(K$2:K952),K$2:K952,0))=0,"",SUMPRODUCT((ISNUMBER(A$2:A952))*(A$2:A952&gt;1000)*(MONTH(IF(ISNUMBER(A$2:A952),A$2:A952,1))=MONTH(A952))*(YEAR(IF(ISNUMBER(A$2:A952),A$2:A952,1))=YEAR(A952))*IF(ISNUMBER(K$2:K952),K$2:K952,0))),""))</f>
        <v/>
      </c>
      <c r="M952" s="21" t="str">
        <f>IF(A952="","",IFERROR(IF(SUMIF(N$2:N952,"CASA",K$2:K952)=0,"",SUMIF(N$2:N952,"CASA",K$2:K952)),""))</f>
        <v/>
      </c>
      <c r="N952" s="17" t="str">
        <f>IF(J952="","",IF(J952=0.2,"CASA",IF(Dati!G952="","",Dati!G952)))</f>
        <v/>
      </c>
    </row>
    <row r="953" spans="1:14" ht="15" customHeight="1" x14ac:dyDescent="0.2">
      <c r="A953" s="23" t="str">
        <f>IF(Dati!A953="","",Dati!A953)</f>
        <v/>
      </c>
      <c r="B953" s="17" t="str">
        <f>IF(Dati!B953="","",Dati!B953)</f>
        <v/>
      </c>
      <c r="C953" s="17" t="str">
        <f>IF(B953="","",IF(ISNUMBER(B952),IF(B953-B952&lt;0,B953,IF(B953-B952=0,"",B953-B952)),B953))</f>
        <v/>
      </c>
      <c r="D953" s="18" t="str">
        <f>IF(Dati!C953="","",IF(Dati!C953&gt;1,Dati!C953/100,Dati!C953))</f>
        <v/>
      </c>
      <c r="E953" s="18" t="str">
        <f>IF(Dati!D953="","",IF(Dati!D953&gt;1,Dati!D953/100,Dati!D953))</f>
        <v/>
      </c>
      <c r="F953" s="18" t="str">
        <f>IF(OR(D953="",E953=""),"",IF(OR(D953&gt;1,E953&gt;1),(E953-D953)/100,E953-D953))</f>
        <v/>
      </c>
      <c r="G953" s="17" t="str">
        <f>IF(F953="","",IF(64*F953=0,"",64*F953))</f>
        <v/>
      </c>
      <c r="H953" s="19" t="str">
        <f>IF(Dati!E953="","",Dati!E953)</f>
        <v/>
      </c>
      <c r="I953" s="19" t="str">
        <f>IFERROR(IF(OR(C953="",C953=0),"",H953/C953*100),"")</f>
        <v/>
      </c>
      <c r="J953" s="20" t="str">
        <f>IF(Dati!F953="","",Dati!F953)</f>
        <v/>
      </c>
      <c r="K953" s="19" t="str">
        <f>IF(OR(H953="",J953=""),"",IF(H953*J953=0,"",H953*J953))</f>
        <v/>
      </c>
      <c r="L953" s="19" t="str">
        <f>IF(A953="","",IFERROR(IF(SUMPRODUCT((ISNUMBER(A$2:A953))*(A$2:A953&gt;1000)*(MONTH(IF(ISNUMBER(A$2:A953),A$2:A953,1))=MONTH(A953))*(YEAR(IF(ISNUMBER(A$2:A953),A$2:A953,1))=YEAR(A953))*IF(ISNUMBER(K$2:K953),K$2:K953,0))=0,"",SUMPRODUCT((ISNUMBER(A$2:A953))*(A$2:A953&gt;1000)*(MONTH(IF(ISNUMBER(A$2:A953),A$2:A953,1))=MONTH(A953))*(YEAR(IF(ISNUMBER(A$2:A953),A$2:A953,1))=YEAR(A953))*IF(ISNUMBER(K$2:K953),K$2:K953,0))),""))</f>
        <v/>
      </c>
      <c r="M953" s="21" t="str">
        <f>IF(A953="","",IFERROR(IF(SUMIF(N$2:N953,"CASA",K$2:K953)=0,"",SUMIF(N$2:N953,"CASA",K$2:K953)),""))</f>
        <v/>
      </c>
      <c r="N953" s="17" t="str">
        <f>IF(J953="","",IF(J953=0.2,"CASA",IF(Dati!G953="","",Dati!G953)))</f>
        <v/>
      </c>
    </row>
    <row r="954" spans="1:14" ht="15" customHeight="1" x14ac:dyDescent="0.2">
      <c r="A954" s="23" t="str">
        <f>IF(Dati!A954="","",Dati!A954)</f>
        <v/>
      </c>
      <c r="B954" s="17" t="str">
        <f>IF(Dati!B954="","",Dati!B954)</f>
        <v/>
      </c>
      <c r="C954" s="17" t="str">
        <f>IF(B954="","",IF(ISNUMBER(B953),IF(B954-B953&lt;0,B954,IF(B954-B953=0,"",B954-B953)),B954))</f>
        <v/>
      </c>
      <c r="D954" s="18" t="str">
        <f>IF(Dati!C954="","",IF(Dati!C954&gt;1,Dati!C954/100,Dati!C954))</f>
        <v/>
      </c>
      <c r="E954" s="18" t="str">
        <f>IF(Dati!D954="","",IF(Dati!D954&gt;1,Dati!D954/100,Dati!D954))</f>
        <v/>
      </c>
      <c r="F954" s="18" t="str">
        <f>IF(OR(D954="",E954=""),"",IF(OR(D954&gt;1,E954&gt;1),(E954-D954)/100,E954-D954))</f>
        <v/>
      </c>
      <c r="G954" s="17" t="str">
        <f>IF(F954="","",IF(64*F954=0,"",64*F954))</f>
        <v/>
      </c>
      <c r="H954" s="19" t="str">
        <f>IF(Dati!E954="","",Dati!E954)</f>
        <v/>
      </c>
      <c r="I954" s="19" t="str">
        <f>IFERROR(IF(OR(C954="",C954=0),"",H954/C954*100),"")</f>
        <v/>
      </c>
      <c r="J954" s="20" t="str">
        <f>IF(Dati!F954="","",Dati!F954)</f>
        <v/>
      </c>
      <c r="K954" s="19" t="str">
        <f>IF(OR(H954="",J954=""),"",IF(H954*J954=0,"",H954*J954))</f>
        <v/>
      </c>
      <c r="L954" s="19" t="str">
        <f>IF(A954="","",IFERROR(IF(SUMPRODUCT((ISNUMBER(A$2:A954))*(A$2:A954&gt;1000)*(MONTH(IF(ISNUMBER(A$2:A954),A$2:A954,1))=MONTH(A954))*(YEAR(IF(ISNUMBER(A$2:A954),A$2:A954,1))=YEAR(A954))*IF(ISNUMBER(K$2:K954),K$2:K954,0))=0,"",SUMPRODUCT((ISNUMBER(A$2:A954))*(A$2:A954&gt;1000)*(MONTH(IF(ISNUMBER(A$2:A954),A$2:A954,1))=MONTH(A954))*(YEAR(IF(ISNUMBER(A$2:A954),A$2:A954,1))=YEAR(A954))*IF(ISNUMBER(K$2:K954),K$2:K954,0))),""))</f>
        <v/>
      </c>
      <c r="M954" s="21" t="str">
        <f>IF(A954="","",IFERROR(IF(SUMIF(N$2:N954,"CASA",K$2:K954)=0,"",SUMIF(N$2:N954,"CASA",K$2:K954)),""))</f>
        <v/>
      </c>
      <c r="N954" s="17" t="str">
        <f>IF(J954="","",IF(J954=0.2,"CASA",IF(Dati!G954="","",Dati!G954)))</f>
        <v/>
      </c>
    </row>
    <row r="955" spans="1:14" ht="15" customHeight="1" x14ac:dyDescent="0.2">
      <c r="A955" s="23" t="str">
        <f>IF(Dati!A955="","",Dati!A955)</f>
        <v/>
      </c>
      <c r="B955" s="17" t="str">
        <f>IF(Dati!B955="","",Dati!B955)</f>
        <v/>
      </c>
      <c r="C955" s="17" t="str">
        <f>IF(B955="","",IF(ISNUMBER(B954),IF(B955-B954&lt;0,B955,IF(B955-B954=0,"",B955-B954)),B955))</f>
        <v/>
      </c>
      <c r="D955" s="18" t="str">
        <f>IF(Dati!C955="","",IF(Dati!C955&gt;1,Dati!C955/100,Dati!C955))</f>
        <v/>
      </c>
      <c r="E955" s="18" t="str">
        <f>IF(Dati!D955="","",IF(Dati!D955&gt;1,Dati!D955/100,Dati!D955))</f>
        <v/>
      </c>
      <c r="F955" s="18" t="str">
        <f>IF(OR(D955="",E955=""),"",IF(OR(D955&gt;1,E955&gt;1),(E955-D955)/100,E955-D955))</f>
        <v/>
      </c>
      <c r="G955" s="17" t="str">
        <f>IF(F955="","",IF(64*F955=0,"",64*F955))</f>
        <v/>
      </c>
      <c r="H955" s="19" t="str">
        <f>IF(Dati!E955="","",Dati!E955)</f>
        <v/>
      </c>
      <c r="I955" s="19" t="str">
        <f>IFERROR(IF(OR(C955="",C955=0),"",H955/C955*100),"")</f>
        <v/>
      </c>
      <c r="J955" s="20" t="str">
        <f>IF(Dati!F955="","",Dati!F955)</f>
        <v/>
      </c>
      <c r="K955" s="19" t="str">
        <f>IF(OR(H955="",J955=""),"",IF(H955*J955=0,"",H955*J955))</f>
        <v/>
      </c>
      <c r="L955" s="19" t="str">
        <f>IF(A955="","",IFERROR(IF(SUMPRODUCT((ISNUMBER(A$2:A955))*(A$2:A955&gt;1000)*(MONTH(IF(ISNUMBER(A$2:A955),A$2:A955,1))=MONTH(A955))*(YEAR(IF(ISNUMBER(A$2:A955),A$2:A955,1))=YEAR(A955))*IF(ISNUMBER(K$2:K955),K$2:K955,0))=0,"",SUMPRODUCT((ISNUMBER(A$2:A955))*(A$2:A955&gt;1000)*(MONTH(IF(ISNUMBER(A$2:A955),A$2:A955,1))=MONTH(A955))*(YEAR(IF(ISNUMBER(A$2:A955),A$2:A955,1))=YEAR(A955))*IF(ISNUMBER(K$2:K955),K$2:K955,0))),""))</f>
        <v/>
      </c>
      <c r="M955" s="21" t="str">
        <f>IF(A955="","",IFERROR(IF(SUMIF(N$2:N955,"CASA",K$2:K955)=0,"",SUMIF(N$2:N955,"CASA",K$2:K955)),""))</f>
        <v/>
      </c>
      <c r="N955" s="17" t="str">
        <f>IF(J955="","",IF(J955=0.2,"CASA",IF(Dati!G955="","",Dati!G955)))</f>
        <v/>
      </c>
    </row>
    <row r="956" spans="1:14" ht="15" customHeight="1" x14ac:dyDescent="0.2">
      <c r="A956" s="23" t="str">
        <f>IF(Dati!A956="","",Dati!A956)</f>
        <v/>
      </c>
      <c r="B956" s="17" t="str">
        <f>IF(Dati!B956="","",Dati!B956)</f>
        <v/>
      </c>
      <c r="C956" s="17" t="str">
        <f>IF(B956="","",IF(ISNUMBER(B955),IF(B956-B955&lt;0,B956,IF(B956-B955=0,"",B956-B955)),B956))</f>
        <v/>
      </c>
      <c r="D956" s="18" t="str">
        <f>IF(Dati!C956="","",IF(Dati!C956&gt;1,Dati!C956/100,Dati!C956))</f>
        <v/>
      </c>
      <c r="E956" s="18" t="str">
        <f>IF(Dati!D956="","",IF(Dati!D956&gt;1,Dati!D956/100,Dati!D956))</f>
        <v/>
      </c>
      <c r="F956" s="18" t="str">
        <f>IF(OR(D956="",E956=""),"",IF(OR(D956&gt;1,E956&gt;1),(E956-D956)/100,E956-D956))</f>
        <v/>
      </c>
      <c r="G956" s="17" t="str">
        <f>IF(F956="","",IF(64*F956=0,"",64*F956))</f>
        <v/>
      </c>
      <c r="H956" s="19" t="str">
        <f>IF(Dati!E956="","",Dati!E956)</f>
        <v/>
      </c>
      <c r="I956" s="19" t="str">
        <f>IFERROR(IF(OR(C956="",C956=0),"",H956/C956*100),"")</f>
        <v/>
      </c>
      <c r="J956" s="20" t="str">
        <f>IF(Dati!F956="","",Dati!F956)</f>
        <v/>
      </c>
      <c r="K956" s="19" t="str">
        <f>IF(OR(H956="",J956=""),"",IF(H956*J956=0,"",H956*J956))</f>
        <v/>
      </c>
      <c r="L956" s="19" t="str">
        <f>IF(A956="","",IFERROR(IF(SUMPRODUCT((ISNUMBER(A$2:A956))*(A$2:A956&gt;1000)*(MONTH(IF(ISNUMBER(A$2:A956),A$2:A956,1))=MONTH(A956))*(YEAR(IF(ISNUMBER(A$2:A956),A$2:A956,1))=YEAR(A956))*IF(ISNUMBER(K$2:K956),K$2:K956,0))=0,"",SUMPRODUCT((ISNUMBER(A$2:A956))*(A$2:A956&gt;1000)*(MONTH(IF(ISNUMBER(A$2:A956),A$2:A956,1))=MONTH(A956))*(YEAR(IF(ISNUMBER(A$2:A956),A$2:A956,1))=YEAR(A956))*IF(ISNUMBER(K$2:K956),K$2:K956,0))),""))</f>
        <v/>
      </c>
      <c r="M956" s="21" t="str">
        <f>IF(A956="","",IFERROR(IF(SUMIF(N$2:N956,"CASA",K$2:K956)=0,"",SUMIF(N$2:N956,"CASA",K$2:K956)),""))</f>
        <v/>
      </c>
      <c r="N956" s="17" t="str">
        <f>IF(J956="","",IF(J956=0.2,"CASA",IF(Dati!G956="","",Dati!G956)))</f>
        <v/>
      </c>
    </row>
    <row r="957" spans="1:14" ht="15" customHeight="1" x14ac:dyDescent="0.2">
      <c r="A957" s="23" t="str">
        <f>IF(Dati!A957="","",Dati!A957)</f>
        <v/>
      </c>
      <c r="B957" s="17" t="str">
        <f>IF(Dati!B957="","",Dati!B957)</f>
        <v/>
      </c>
      <c r="C957" s="17" t="str">
        <f>IF(B957="","",IF(ISNUMBER(B956),IF(B957-B956&lt;0,B957,IF(B957-B956=0,"",B957-B956)),B957))</f>
        <v/>
      </c>
      <c r="D957" s="18" t="str">
        <f>IF(Dati!C957="","",IF(Dati!C957&gt;1,Dati!C957/100,Dati!C957))</f>
        <v/>
      </c>
      <c r="E957" s="18" t="str">
        <f>IF(Dati!D957="","",IF(Dati!D957&gt;1,Dati!D957/100,Dati!D957))</f>
        <v/>
      </c>
      <c r="F957" s="18" t="str">
        <f>IF(OR(D957="",E957=""),"",IF(OR(D957&gt;1,E957&gt;1),(E957-D957)/100,E957-D957))</f>
        <v/>
      </c>
      <c r="G957" s="17" t="str">
        <f>IF(F957="","",IF(64*F957=0,"",64*F957))</f>
        <v/>
      </c>
      <c r="H957" s="19" t="str">
        <f>IF(Dati!E957="","",Dati!E957)</f>
        <v/>
      </c>
      <c r="I957" s="19" t="str">
        <f>IFERROR(IF(OR(C957="",C957=0),"",H957/C957*100),"")</f>
        <v/>
      </c>
      <c r="J957" s="20" t="str">
        <f>IF(Dati!F957="","",Dati!F957)</f>
        <v/>
      </c>
      <c r="K957" s="19" t="str">
        <f>IF(OR(H957="",J957=""),"",IF(H957*J957=0,"",H957*J957))</f>
        <v/>
      </c>
      <c r="L957" s="19" t="str">
        <f>IF(A957="","",IFERROR(IF(SUMPRODUCT((ISNUMBER(A$2:A957))*(A$2:A957&gt;1000)*(MONTH(IF(ISNUMBER(A$2:A957),A$2:A957,1))=MONTH(A957))*(YEAR(IF(ISNUMBER(A$2:A957),A$2:A957,1))=YEAR(A957))*IF(ISNUMBER(K$2:K957),K$2:K957,0))=0,"",SUMPRODUCT((ISNUMBER(A$2:A957))*(A$2:A957&gt;1000)*(MONTH(IF(ISNUMBER(A$2:A957),A$2:A957,1))=MONTH(A957))*(YEAR(IF(ISNUMBER(A$2:A957),A$2:A957,1))=YEAR(A957))*IF(ISNUMBER(K$2:K957),K$2:K957,0))),""))</f>
        <v/>
      </c>
      <c r="M957" s="21" t="str">
        <f>IF(A957="","",IFERROR(IF(SUMIF(N$2:N957,"CASA",K$2:K957)=0,"",SUMIF(N$2:N957,"CASA",K$2:K957)),""))</f>
        <v/>
      </c>
      <c r="N957" s="17" t="str">
        <f>IF(J957="","",IF(J957=0.2,"CASA",IF(Dati!G957="","",Dati!G957)))</f>
        <v/>
      </c>
    </row>
    <row r="958" spans="1:14" ht="15" customHeight="1" x14ac:dyDescent="0.2">
      <c r="A958" s="23" t="str">
        <f>IF(Dati!A958="","",Dati!A958)</f>
        <v/>
      </c>
      <c r="B958" s="17" t="str">
        <f>IF(Dati!B958="","",Dati!B958)</f>
        <v/>
      </c>
      <c r="C958" s="17" t="str">
        <f>IF(B958="","",IF(ISNUMBER(B957),IF(B958-B957&lt;0,B958,IF(B958-B957=0,"",B958-B957)),B958))</f>
        <v/>
      </c>
      <c r="D958" s="18" t="str">
        <f>IF(Dati!C958="","",IF(Dati!C958&gt;1,Dati!C958/100,Dati!C958))</f>
        <v/>
      </c>
      <c r="E958" s="18" t="str">
        <f>IF(Dati!D958="","",IF(Dati!D958&gt;1,Dati!D958/100,Dati!D958))</f>
        <v/>
      </c>
      <c r="F958" s="18" t="str">
        <f>IF(OR(D958="",E958=""),"",IF(OR(D958&gt;1,E958&gt;1),(E958-D958)/100,E958-D958))</f>
        <v/>
      </c>
      <c r="G958" s="17" t="str">
        <f>IF(F958="","",IF(64*F958=0,"",64*F958))</f>
        <v/>
      </c>
      <c r="H958" s="19" t="str">
        <f>IF(Dati!E958="","",Dati!E958)</f>
        <v/>
      </c>
      <c r="I958" s="19" t="str">
        <f>IFERROR(IF(OR(C958="",C958=0),"",H958/C958*100),"")</f>
        <v/>
      </c>
      <c r="J958" s="20" t="str">
        <f>IF(Dati!F958="","",Dati!F958)</f>
        <v/>
      </c>
      <c r="K958" s="19" t="str">
        <f>IF(OR(H958="",J958=""),"",IF(H958*J958=0,"",H958*J958))</f>
        <v/>
      </c>
      <c r="L958" s="19" t="str">
        <f>IF(A958="","",IFERROR(IF(SUMPRODUCT((ISNUMBER(A$2:A958))*(A$2:A958&gt;1000)*(MONTH(IF(ISNUMBER(A$2:A958),A$2:A958,1))=MONTH(A958))*(YEAR(IF(ISNUMBER(A$2:A958),A$2:A958,1))=YEAR(A958))*IF(ISNUMBER(K$2:K958),K$2:K958,0))=0,"",SUMPRODUCT((ISNUMBER(A$2:A958))*(A$2:A958&gt;1000)*(MONTH(IF(ISNUMBER(A$2:A958),A$2:A958,1))=MONTH(A958))*(YEAR(IF(ISNUMBER(A$2:A958),A$2:A958,1))=YEAR(A958))*IF(ISNUMBER(K$2:K958),K$2:K958,0))),""))</f>
        <v/>
      </c>
      <c r="M958" s="21" t="str">
        <f>IF(A958="","",IFERROR(IF(SUMIF(N$2:N958,"CASA",K$2:K958)=0,"",SUMIF(N$2:N958,"CASA",K$2:K958)),""))</f>
        <v/>
      </c>
      <c r="N958" s="17" t="str">
        <f>IF(J958="","",IF(J958=0.2,"CASA",IF(Dati!G958="","",Dati!G958)))</f>
        <v/>
      </c>
    </row>
    <row r="959" spans="1:14" ht="15" customHeight="1" x14ac:dyDescent="0.2">
      <c r="A959" s="23" t="str">
        <f>IF(Dati!A959="","",Dati!A959)</f>
        <v/>
      </c>
      <c r="B959" s="17" t="str">
        <f>IF(Dati!B959="","",Dati!B959)</f>
        <v/>
      </c>
      <c r="C959" s="17" t="str">
        <f>IF(B959="","",IF(ISNUMBER(B958),IF(B959-B958&lt;0,B959,IF(B959-B958=0,"",B959-B958)),B959))</f>
        <v/>
      </c>
      <c r="D959" s="18" t="str">
        <f>IF(Dati!C959="","",IF(Dati!C959&gt;1,Dati!C959/100,Dati!C959))</f>
        <v/>
      </c>
      <c r="E959" s="18" t="str">
        <f>IF(Dati!D959="","",IF(Dati!D959&gt;1,Dati!D959/100,Dati!D959))</f>
        <v/>
      </c>
      <c r="F959" s="18" t="str">
        <f>IF(OR(D959="",E959=""),"",IF(OR(D959&gt;1,E959&gt;1),(E959-D959)/100,E959-D959))</f>
        <v/>
      </c>
      <c r="G959" s="17" t="str">
        <f>IF(F959="","",IF(64*F959=0,"",64*F959))</f>
        <v/>
      </c>
      <c r="H959" s="19" t="str">
        <f>IF(Dati!E959="","",Dati!E959)</f>
        <v/>
      </c>
      <c r="I959" s="19" t="str">
        <f>IFERROR(IF(OR(C959="",C959=0),"",H959/C959*100),"")</f>
        <v/>
      </c>
      <c r="J959" s="20" t="str">
        <f>IF(Dati!F959="","",Dati!F959)</f>
        <v/>
      </c>
      <c r="K959" s="19" t="str">
        <f>IF(OR(H959="",J959=""),"",IF(H959*J959=0,"",H959*J959))</f>
        <v/>
      </c>
      <c r="L959" s="19" t="str">
        <f>IF(A959="","",IFERROR(IF(SUMPRODUCT((ISNUMBER(A$2:A959))*(A$2:A959&gt;1000)*(MONTH(IF(ISNUMBER(A$2:A959),A$2:A959,1))=MONTH(A959))*(YEAR(IF(ISNUMBER(A$2:A959),A$2:A959,1))=YEAR(A959))*IF(ISNUMBER(K$2:K959),K$2:K959,0))=0,"",SUMPRODUCT((ISNUMBER(A$2:A959))*(A$2:A959&gt;1000)*(MONTH(IF(ISNUMBER(A$2:A959),A$2:A959,1))=MONTH(A959))*(YEAR(IF(ISNUMBER(A$2:A959),A$2:A959,1))=YEAR(A959))*IF(ISNUMBER(K$2:K959),K$2:K959,0))),""))</f>
        <v/>
      </c>
      <c r="M959" s="21" t="str">
        <f>IF(A959="","",IFERROR(IF(SUMIF(N$2:N959,"CASA",K$2:K959)=0,"",SUMIF(N$2:N959,"CASA",K$2:K959)),""))</f>
        <v/>
      </c>
      <c r="N959" s="17" t="str">
        <f>IF(J959="","",IF(J959=0.2,"CASA",IF(Dati!G959="","",Dati!G959)))</f>
        <v/>
      </c>
    </row>
    <row r="960" spans="1:14" ht="15" customHeight="1" x14ac:dyDescent="0.2">
      <c r="A960" s="23" t="str">
        <f>IF(Dati!A960="","",Dati!A960)</f>
        <v/>
      </c>
      <c r="B960" s="17" t="str">
        <f>IF(Dati!B960="","",Dati!B960)</f>
        <v/>
      </c>
      <c r="C960" s="17" t="str">
        <f>IF(B960="","",IF(ISNUMBER(B959),IF(B960-B959&lt;0,B960,IF(B960-B959=0,"",B960-B959)),B960))</f>
        <v/>
      </c>
      <c r="D960" s="18" t="str">
        <f>IF(Dati!C960="","",IF(Dati!C960&gt;1,Dati!C960/100,Dati!C960))</f>
        <v/>
      </c>
      <c r="E960" s="18" t="str">
        <f>IF(Dati!D960="","",IF(Dati!D960&gt;1,Dati!D960/100,Dati!D960))</f>
        <v/>
      </c>
      <c r="F960" s="18" t="str">
        <f>IF(OR(D960="",E960=""),"",IF(OR(D960&gt;1,E960&gt;1),(E960-D960)/100,E960-D960))</f>
        <v/>
      </c>
      <c r="G960" s="17" t="str">
        <f>IF(F960="","",IF(64*F960=0,"",64*F960))</f>
        <v/>
      </c>
      <c r="H960" s="19" t="str">
        <f>IF(Dati!E960="","",Dati!E960)</f>
        <v/>
      </c>
      <c r="I960" s="19" t="str">
        <f>IFERROR(IF(OR(C960="",C960=0),"",H960/C960*100),"")</f>
        <v/>
      </c>
      <c r="J960" s="20" t="str">
        <f>IF(Dati!F960="","",Dati!F960)</f>
        <v/>
      </c>
      <c r="K960" s="19" t="str">
        <f>IF(OR(H960="",J960=""),"",IF(H960*J960=0,"",H960*J960))</f>
        <v/>
      </c>
      <c r="L960" s="19" t="str">
        <f>IF(A960="","",IFERROR(IF(SUMPRODUCT((ISNUMBER(A$2:A960))*(A$2:A960&gt;1000)*(MONTH(IF(ISNUMBER(A$2:A960),A$2:A960,1))=MONTH(A960))*(YEAR(IF(ISNUMBER(A$2:A960),A$2:A960,1))=YEAR(A960))*IF(ISNUMBER(K$2:K960),K$2:K960,0))=0,"",SUMPRODUCT((ISNUMBER(A$2:A960))*(A$2:A960&gt;1000)*(MONTH(IF(ISNUMBER(A$2:A960),A$2:A960,1))=MONTH(A960))*(YEAR(IF(ISNUMBER(A$2:A960),A$2:A960,1))=YEAR(A960))*IF(ISNUMBER(K$2:K960),K$2:K960,0))),""))</f>
        <v/>
      </c>
      <c r="M960" s="21" t="str">
        <f>IF(A960="","",IFERROR(IF(SUMIF(N$2:N960,"CASA",K$2:K960)=0,"",SUMIF(N$2:N960,"CASA",K$2:K960)),""))</f>
        <v/>
      </c>
      <c r="N960" s="17" t="str">
        <f>IF(J960="","",IF(J960=0.2,"CASA",IF(Dati!G960="","",Dati!G960)))</f>
        <v/>
      </c>
    </row>
    <row r="961" spans="1:14" ht="15" customHeight="1" x14ac:dyDescent="0.2">
      <c r="A961" s="23" t="str">
        <f>IF(Dati!A961="","",Dati!A961)</f>
        <v/>
      </c>
      <c r="B961" s="17" t="str">
        <f>IF(Dati!B961="","",Dati!B961)</f>
        <v/>
      </c>
      <c r="C961" s="17" t="str">
        <f>IF(B961="","",IF(ISNUMBER(B960),IF(B961-B960&lt;0,B961,IF(B961-B960=0,"",B961-B960)),B961))</f>
        <v/>
      </c>
      <c r="D961" s="18" t="str">
        <f>IF(Dati!C961="","",IF(Dati!C961&gt;1,Dati!C961/100,Dati!C961))</f>
        <v/>
      </c>
      <c r="E961" s="18" t="str">
        <f>IF(Dati!D961="","",IF(Dati!D961&gt;1,Dati!D961/100,Dati!D961))</f>
        <v/>
      </c>
      <c r="F961" s="18" t="str">
        <f>IF(OR(D961="",E961=""),"",IF(OR(D961&gt;1,E961&gt;1),(E961-D961)/100,E961-D961))</f>
        <v/>
      </c>
      <c r="G961" s="17" t="str">
        <f>IF(F961="","",IF(64*F961=0,"",64*F961))</f>
        <v/>
      </c>
      <c r="H961" s="19" t="str">
        <f>IF(Dati!E961="","",Dati!E961)</f>
        <v/>
      </c>
      <c r="I961" s="19" t="str">
        <f>IFERROR(IF(OR(C961="",C961=0),"",H961/C961*100),"")</f>
        <v/>
      </c>
      <c r="J961" s="20" t="str">
        <f>IF(Dati!F961="","",Dati!F961)</f>
        <v/>
      </c>
      <c r="K961" s="19" t="str">
        <f>IF(OR(H961="",J961=""),"",IF(H961*J961=0,"",H961*J961))</f>
        <v/>
      </c>
      <c r="L961" s="19" t="str">
        <f>IF(A961="","",IFERROR(IF(SUMPRODUCT((ISNUMBER(A$2:A961))*(A$2:A961&gt;1000)*(MONTH(IF(ISNUMBER(A$2:A961),A$2:A961,1))=MONTH(A961))*(YEAR(IF(ISNUMBER(A$2:A961),A$2:A961,1))=YEAR(A961))*IF(ISNUMBER(K$2:K961),K$2:K961,0))=0,"",SUMPRODUCT((ISNUMBER(A$2:A961))*(A$2:A961&gt;1000)*(MONTH(IF(ISNUMBER(A$2:A961),A$2:A961,1))=MONTH(A961))*(YEAR(IF(ISNUMBER(A$2:A961),A$2:A961,1))=YEAR(A961))*IF(ISNUMBER(K$2:K961),K$2:K961,0))),""))</f>
        <v/>
      </c>
      <c r="M961" s="21" t="str">
        <f>IF(A961="","",IFERROR(IF(SUMIF(N$2:N961,"CASA",K$2:K961)=0,"",SUMIF(N$2:N961,"CASA",K$2:K961)),""))</f>
        <v/>
      </c>
      <c r="N961" s="17" t="str">
        <f>IF(J961="","",IF(J961=0.2,"CASA",IF(Dati!G961="","",Dati!G961)))</f>
        <v/>
      </c>
    </row>
    <row r="962" spans="1:14" ht="15" customHeight="1" x14ac:dyDescent="0.2">
      <c r="A962" s="23" t="str">
        <f>IF(Dati!A962="","",Dati!A962)</f>
        <v/>
      </c>
      <c r="B962" s="17" t="str">
        <f>IF(Dati!B962="","",Dati!B962)</f>
        <v/>
      </c>
      <c r="C962" s="17" t="str">
        <f>IF(B962="","",IF(ISNUMBER(B961),IF(B962-B961&lt;0,B962,IF(B962-B961=0,"",B962-B961)),B962))</f>
        <v/>
      </c>
      <c r="D962" s="18" t="str">
        <f>IF(Dati!C962="","",IF(Dati!C962&gt;1,Dati!C962/100,Dati!C962))</f>
        <v/>
      </c>
      <c r="E962" s="18" t="str">
        <f>IF(Dati!D962="","",IF(Dati!D962&gt;1,Dati!D962/100,Dati!D962))</f>
        <v/>
      </c>
      <c r="F962" s="18" t="str">
        <f>IF(OR(D962="",E962=""),"",IF(OR(D962&gt;1,E962&gt;1),(E962-D962)/100,E962-D962))</f>
        <v/>
      </c>
      <c r="G962" s="17" t="str">
        <f>IF(F962="","",IF(64*F962=0,"",64*F962))</f>
        <v/>
      </c>
      <c r="H962" s="19" t="str">
        <f>IF(Dati!E962="","",Dati!E962)</f>
        <v/>
      </c>
      <c r="I962" s="19" t="str">
        <f>IFERROR(IF(OR(C962="",C962=0),"",H962/C962*100),"")</f>
        <v/>
      </c>
      <c r="J962" s="20" t="str">
        <f>IF(Dati!F962="","",Dati!F962)</f>
        <v/>
      </c>
      <c r="K962" s="19" t="str">
        <f>IF(OR(H962="",J962=""),"",IF(H962*J962=0,"",H962*J962))</f>
        <v/>
      </c>
      <c r="L962" s="19" t="str">
        <f>IF(A962="","",IFERROR(IF(SUMPRODUCT((ISNUMBER(A$2:A962))*(A$2:A962&gt;1000)*(MONTH(IF(ISNUMBER(A$2:A962),A$2:A962,1))=MONTH(A962))*(YEAR(IF(ISNUMBER(A$2:A962),A$2:A962,1))=YEAR(A962))*IF(ISNUMBER(K$2:K962),K$2:K962,0))=0,"",SUMPRODUCT((ISNUMBER(A$2:A962))*(A$2:A962&gt;1000)*(MONTH(IF(ISNUMBER(A$2:A962),A$2:A962,1))=MONTH(A962))*(YEAR(IF(ISNUMBER(A$2:A962),A$2:A962,1))=YEAR(A962))*IF(ISNUMBER(K$2:K962),K$2:K962,0))),""))</f>
        <v/>
      </c>
      <c r="M962" s="21" t="str">
        <f>IF(A962="","",IFERROR(IF(SUMIF(N$2:N962,"CASA",K$2:K962)=0,"",SUMIF(N$2:N962,"CASA",K$2:K962)),""))</f>
        <v/>
      </c>
      <c r="N962" s="17" t="str">
        <f>IF(J962="","",IF(J962=0.2,"CASA",IF(Dati!G962="","",Dati!G962)))</f>
        <v/>
      </c>
    </row>
    <row r="963" spans="1:14" ht="15" customHeight="1" x14ac:dyDescent="0.2">
      <c r="A963" s="23" t="str">
        <f>IF(Dati!A963="","",Dati!A963)</f>
        <v/>
      </c>
      <c r="B963" s="17" t="str">
        <f>IF(Dati!B963="","",Dati!B963)</f>
        <v/>
      </c>
      <c r="C963" s="17" t="str">
        <f>IF(B963="","",IF(ISNUMBER(B962),IF(B963-B962&lt;0,B963,IF(B963-B962=0,"",B963-B962)),B963))</f>
        <v/>
      </c>
      <c r="D963" s="18" t="str">
        <f>IF(Dati!C963="","",IF(Dati!C963&gt;1,Dati!C963/100,Dati!C963))</f>
        <v/>
      </c>
      <c r="E963" s="18" t="str">
        <f>IF(Dati!D963="","",IF(Dati!D963&gt;1,Dati!D963/100,Dati!D963))</f>
        <v/>
      </c>
      <c r="F963" s="18" t="str">
        <f>IF(OR(D963="",E963=""),"",IF(OR(D963&gt;1,E963&gt;1),(E963-D963)/100,E963-D963))</f>
        <v/>
      </c>
      <c r="G963" s="17" t="str">
        <f>IF(F963="","",IF(64*F963=0,"",64*F963))</f>
        <v/>
      </c>
      <c r="H963" s="19" t="str">
        <f>IF(Dati!E963="","",Dati!E963)</f>
        <v/>
      </c>
      <c r="I963" s="19" t="str">
        <f>IFERROR(IF(OR(C963="",C963=0),"",H963/C963*100),"")</f>
        <v/>
      </c>
      <c r="J963" s="20" t="str">
        <f>IF(Dati!F963="","",Dati!F963)</f>
        <v/>
      </c>
      <c r="K963" s="19" t="str">
        <f>IF(OR(H963="",J963=""),"",IF(H963*J963=0,"",H963*J963))</f>
        <v/>
      </c>
      <c r="L963" s="19" t="str">
        <f>IF(A963="","",IFERROR(IF(SUMPRODUCT((ISNUMBER(A$2:A963))*(A$2:A963&gt;1000)*(MONTH(IF(ISNUMBER(A$2:A963),A$2:A963,1))=MONTH(A963))*(YEAR(IF(ISNUMBER(A$2:A963),A$2:A963,1))=YEAR(A963))*IF(ISNUMBER(K$2:K963),K$2:K963,0))=0,"",SUMPRODUCT((ISNUMBER(A$2:A963))*(A$2:A963&gt;1000)*(MONTH(IF(ISNUMBER(A$2:A963),A$2:A963,1))=MONTH(A963))*(YEAR(IF(ISNUMBER(A$2:A963),A$2:A963,1))=YEAR(A963))*IF(ISNUMBER(K$2:K963),K$2:K963,0))),""))</f>
        <v/>
      </c>
      <c r="M963" s="21" t="str">
        <f>IF(A963="","",IFERROR(IF(SUMIF(N$2:N963,"CASA",K$2:K963)=0,"",SUMIF(N$2:N963,"CASA",K$2:K963)),""))</f>
        <v/>
      </c>
      <c r="N963" s="17" t="str">
        <f>IF(J963="","",IF(J963=0.2,"CASA",IF(Dati!G963="","",Dati!G963)))</f>
        <v/>
      </c>
    </row>
    <row r="964" spans="1:14" ht="15" customHeight="1" x14ac:dyDescent="0.2">
      <c r="A964" s="23" t="str">
        <f>IF(Dati!A964="","",Dati!A964)</f>
        <v/>
      </c>
      <c r="B964" s="17" t="str">
        <f>IF(Dati!B964="","",Dati!B964)</f>
        <v/>
      </c>
      <c r="C964" s="17" t="str">
        <f>IF(B964="","",IF(ISNUMBER(B963),IF(B964-B963&lt;0,B964,IF(B964-B963=0,"",B964-B963)),B964))</f>
        <v/>
      </c>
      <c r="D964" s="18" t="str">
        <f>IF(Dati!C964="","",IF(Dati!C964&gt;1,Dati!C964/100,Dati!C964))</f>
        <v/>
      </c>
      <c r="E964" s="18" t="str">
        <f>IF(Dati!D964="","",IF(Dati!D964&gt;1,Dati!D964/100,Dati!D964))</f>
        <v/>
      </c>
      <c r="F964" s="18" t="str">
        <f>IF(OR(D964="",E964=""),"",IF(OR(D964&gt;1,E964&gt;1),(E964-D964)/100,E964-D964))</f>
        <v/>
      </c>
      <c r="G964" s="17" t="str">
        <f>IF(F964="","",IF(64*F964=0,"",64*F964))</f>
        <v/>
      </c>
      <c r="H964" s="19" t="str">
        <f>IF(Dati!E964="","",Dati!E964)</f>
        <v/>
      </c>
      <c r="I964" s="19" t="str">
        <f>IFERROR(IF(OR(C964="",C964=0),"",H964/C964*100),"")</f>
        <v/>
      </c>
      <c r="J964" s="20" t="str">
        <f>IF(Dati!F964="","",Dati!F964)</f>
        <v/>
      </c>
      <c r="K964" s="19" t="str">
        <f>IF(OR(H964="",J964=""),"",IF(H964*J964=0,"",H964*J964))</f>
        <v/>
      </c>
      <c r="L964" s="19" t="str">
        <f>IF(A964="","",IFERROR(IF(SUMPRODUCT((ISNUMBER(A$2:A964))*(A$2:A964&gt;1000)*(MONTH(IF(ISNUMBER(A$2:A964),A$2:A964,1))=MONTH(A964))*(YEAR(IF(ISNUMBER(A$2:A964),A$2:A964,1))=YEAR(A964))*IF(ISNUMBER(K$2:K964),K$2:K964,0))=0,"",SUMPRODUCT((ISNUMBER(A$2:A964))*(A$2:A964&gt;1000)*(MONTH(IF(ISNUMBER(A$2:A964),A$2:A964,1))=MONTH(A964))*(YEAR(IF(ISNUMBER(A$2:A964),A$2:A964,1))=YEAR(A964))*IF(ISNUMBER(K$2:K964),K$2:K964,0))),""))</f>
        <v/>
      </c>
      <c r="M964" s="21" t="str">
        <f>IF(A964="","",IFERROR(IF(SUMIF(N$2:N964,"CASA",K$2:K964)=0,"",SUMIF(N$2:N964,"CASA",K$2:K964)),""))</f>
        <v/>
      </c>
      <c r="N964" s="17" t="str">
        <f>IF(J964="","",IF(J964=0.2,"CASA",IF(Dati!G964="","",Dati!G964)))</f>
        <v/>
      </c>
    </row>
    <row r="965" spans="1:14" ht="15" customHeight="1" x14ac:dyDescent="0.2">
      <c r="A965" s="23" t="str">
        <f>IF(Dati!A965="","",Dati!A965)</f>
        <v/>
      </c>
      <c r="B965" s="17" t="str">
        <f>IF(Dati!B965="","",Dati!B965)</f>
        <v/>
      </c>
      <c r="C965" s="17" t="str">
        <f>IF(B965="","",IF(ISNUMBER(B964),IF(B965-B964&lt;0,B965,IF(B965-B964=0,"",B965-B964)),B965))</f>
        <v/>
      </c>
      <c r="D965" s="18" t="str">
        <f>IF(Dati!C965="","",IF(Dati!C965&gt;1,Dati!C965/100,Dati!C965))</f>
        <v/>
      </c>
      <c r="E965" s="18" t="str">
        <f>IF(Dati!D965="","",IF(Dati!D965&gt;1,Dati!D965/100,Dati!D965))</f>
        <v/>
      </c>
      <c r="F965" s="18" t="str">
        <f>IF(OR(D965="",E965=""),"",IF(OR(D965&gt;1,E965&gt;1),(E965-D965)/100,E965-D965))</f>
        <v/>
      </c>
      <c r="G965" s="17" t="str">
        <f>IF(F965="","",IF(64*F965=0,"",64*F965))</f>
        <v/>
      </c>
      <c r="H965" s="19" t="str">
        <f>IF(Dati!E965="","",Dati!E965)</f>
        <v/>
      </c>
      <c r="I965" s="19" t="str">
        <f>IFERROR(IF(OR(C965="",C965=0),"",H965/C965*100),"")</f>
        <v/>
      </c>
      <c r="J965" s="20" t="str">
        <f>IF(Dati!F965="","",Dati!F965)</f>
        <v/>
      </c>
      <c r="K965" s="19" t="str">
        <f>IF(OR(H965="",J965=""),"",IF(H965*J965=0,"",H965*J965))</f>
        <v/>
      </c>
      <c r="L965" s="19" t="str">
        <f>IF(A965="","",IFERROR(IF(SUMPRODUCT((ISNUMBER(A$2:A965))*(A$2:A965&gt;1000)*(MONTH(IF(ISNUMBER(A$2:A965),A$2:A965,1))=MONTH(A965))*(YEAR(IF(ISNUMBER(A$2:A965),A$2:A965,1))=YEAR(A965))*IF(ISNUMBER(K$2:K965),K$2:K965,0))=0,"",SUMPRODUCT((ISNUMBER(A$2:A965))*(A$2:A965&gt;1000)*(MONTH(IF(ISNUMBER(A$2:A965),A$2:A965,1))=MONTH(A965))*(YEAR(IF(ISNUMBER(A$2:A965),A$2:A965,1))=YEAR(A965))*IF(ISNUMBER(K$2:K965),K$2:K965,0))),""))</f>
        <v/>
      </c>
      <c r="M965" s="21" t="str">
        <f>IF(A965="","",IFERROR(IF(SUMIF(N$2:N965,"CASA",K$2:K965)=0,"",SUMIF(N$2:N965,"CASA",K$2:K965)),""))</f>
        <v/>
      </c>
      <c r="N965" s="17" t="str">
        <f>IF(J965="","",IF(J965=0.2,"CASA",IF(Dati!G965="","",Dati!G965)))</f>
        <v/>
      </c>
    </row>
    <row r="966" spans="1:14" ht="15" customHeight="1" x14ac:dyDescent="0.2">
      <c r="A966" s="23" t="str">
        <f>IF(Dati!A966="","",Dati!A966)</f>
        <v/>
      </c>
      <c r="B966" s="17" t="str">
        <f>IF(Dati!B966="","",Dati!B966)</f>
        <v/>
      </c>
      <c r="C966" s="17" t="str">
        <f>IF(B966="","",IF(ISNUMBER(B965),IF(B966-B965&lt;0,B966,IF(B966-B965=0,"",B966-B965)),B966))</f>
        <v/>
      </c>
      <c r="D966" s="18" t="str">
        <f>IF(Dati!C966="","",IF(Dati!C966&gt;1,Dati!C966/100,Dati!C966))</f>
        <v/>
      </c>
      <c r="E966" s="18" t="str">
        <f>IF(Dati!D966="","",IF(Dati!D966&gt;1,Dati!D966/100,Dati!D966))</f>
        <v/>
      </c>
      <c r="F966" s="18" t="str">
        <f>IF(OR(D966="",E966=""),"",IF(OR(D966&gt;1,E966&gt;1),(E966-D966)/100,E966-D966))</f>
        <v/>
      </c>
      <c r="G966" s="17" t="str">
        <f>IF(F966="","",IF(64*F966=0,"",64*F966))</f>
        <v/>
      </c>
      <c r="H966" s="19" t="str">
        <f>IF(Dati!E966="","",Dati!E966)</f>
        <v/>
      </c>
      <c r="I966" s="19" t="str">
        <f>IFERROR(IF(OR(C966="",C966=0),"",H966/C966*100),"")</f>
        <v/>
      </c>
      <c r="J966" s="20" t="str">
        <f>IF(Dati!F966="","",Dati!F966)</f>
        <v/>
      </c>
      <c r="K966" s="19" t="str">
        <f>IF(OR(H966="",J966=""),"",IF(H966*J966=0,"",H966*J966))</f>
        <v/>
      </c>
      <c r="L966" s="19" t="str">
        <f>IF(A966="","",IFERROR(IF(SUMPRODUCT((ISNUMBER(A$2:A966))*(A$2:A966&gt;1000)*(MONTH(IF(ISNUMBER(A$2:A966),A$2:A966,1))=MONTH(A966))*(YEAR(IF(ISNUMBER(A$2:A966),A$2:A966,1))=YEAR(A966))*IF(ISNUMBER(K$2:K966),K$2:K966,0))=0,"",SUMPRODUCT((ISNUMBER(A$2:A966))*(A$2:A966&gt;1000)*(MONTH(IF(ISNUMBER(A$2:A966),A$2:A966,1))=MONTH(A966))*(YEAR(IF(ISNUMBER(A$2:A966),A$2:A966,1))=YEAR(A966))*IF(ISNUMBER(K$2:K966),K$2:K966,0))),""))</f>
        <v/>
      </c>
      <c r="M966" s="21" t="str">
        <f>IF(A966="","",IFERROR(IF(SUMIF(N$2:N966,"CASA",K$2:K966)=0,"",SUMIF(N$2:N966,"CASA",K$2:K966)),""))</f>
        <v/>
      </c>
      <c r="N966" s="17" t="str">
        <f>IF(J966="","",IF(J966=0.2,"CASA",IF(Dati!G966="","",Dati!G966)))</f>
        <v/>
      </c>
    </row>
    <row r="967" spans="1:14" ht="15" customHeight="1" x14ac:dyDescent="0.2">
      <c r="A967" s="23" t="str">
        <f>IF(Dati!A967="","",Dati!A967)</f>
        <v/>
      </c>
      <c r="B967" s="17" t="str">
        <f>IF(Dati!B967="","",Dati!B967)</f>
        <v/>
      </c>
      <c r="C967" s="17" t="str">
        <f>IF(B967="","",IF(ISNUMBER(B966),IF(B967-B966&lt;0,B967,IF(B967-B966=0,"",B967-B966)),B967))</f>
        <v/>
      </c>
      <c r="D967" s="18" t="str">
        <f>IF(Dati!C967="","",IF(Dati!C967&gt;1,Dati!C967/100,Dati!C967))</f>
        <v/>
      </c>
      <c r="E967" s="18" t="str">
        <f>IF(Dati!D967="","",IF(Dati!D967&gt;1,Dati!D967/100,Dati!D967))</f>
        <v/>
      </c>
      <c r="F967" s="18" t="str">
        <f>IF(OR(D967="",E967=""),"",IF(OR(D967&gt;1,E967&gt;1),(E967-D967)/100,E967-D967))</f>
        <v/>
      </c>
      <c r="G967" s="17" t="str">
        <f>IF(F967="","",IF(64*F967=0,"",64*F967))</f>
        <v/>
      </c>
      <c r="H967" s="19" t="str">
        <f>IF(Dati!E967="","",Dati!E967)</f>
        <v/>
      </c>
      <c r="I967" s="19" t="str">
        <f>IFERROR(IF(OR(C967="",C967=0),"",H967/C967*100),"")</f>
        <v/>
      </c>
      <c r="J967" s="20" t="str">
        <f>IF(Dati!F967="","",Dati!F967)</f>
        <v/>
      </c>
      <c r="K967" s="19" t="str">
        <f>IF(OR(H967="",J967=""),"",IF(H967*J967=0,"",H967*J967))</f>
        <v/>
      </c>
      <c r="L967" s="19" t="str">
        <f>IF(A967="","",IFERROR(IF(SUMPRODUCT((ISNUMBER(A$2:A967))*(A$2:A967&gt;1000)*(MONTH(IF(ISNUMBER(A$2:A967),A$2:A967,1))=MONTH(A967))*(YEAR(IF(ISNUMBER(A$2:A967),A$2:A967,1))=YEAR(A967))*IF(ISNUMBER(K$2:K967),K$2:K967,0))=0,"",SUMPRODUCT((ISNUMBER(A$2:A967))*(A$2:A967&gt;1000)*(MONTH(IF(ISNUMBER(A$2:A967),A$2:A967,1))=MONTH(A967))*(YEAR(IF(ISNUMBER(A$2:A967),A$2:A967,1))=YEAR(A967))*IF(ISNUMBER(K$2:K967),K$2:K967,0))),""))</f>
        <v/>
      </c>
      <c r="M967" s="21" t="str">
        <f>IF(A967="","",IFERROR(IF(SUMIF(N$2:N967,"CASA",K$2:K967)=0,"",SUMIF(N$2:N967,"CASA",K$2:K967)),""))</f>
        <v/>
      </c>
      <c r="N967" s="17" t="str">
        <f>IF(J967="","",IF(J967=0.2,"CASA",IF(Dati!G967="","",Dati!G967)))</f>
        <v/>
      </c>
    </row>
    <row r="968" spans="1:14" ht="15" customHeight="1" x14ac:dyDescent="0.2">
      <c r="A968" s="23" t="str">
        <f>IF(Dati!A968="","",Dati!A968)</f>
        <v/>
      </c>
      <c r="B968" s="17" t="str">
        <f>IF(Dati!B968="","",Dati!B968)</f>
        <v/>
      </c>
      <c r="C968" s="17" t="str">
        <f>IF(B968="","",IF(ISNUMBER(B967),IF(B968-B967&lt;0,B968,IF(B968-B967=0,"",B968-B967)),B968))</f>
        <v/>
      </c>
      <c r="D968" s="18" t="str">
        <f>IF(Dati!C968="","",IF(Dati!C968&gt;1,Dati!C968/100,Dati!C968))</f>
        <v/>
      </c>
      <c r="E968" s="18" t="str">
        <f>IF(Dati!D968="","",IF(Dati!D968&gt;1,Dati!D968/100,Dati!D968))</f>
        <v/>
      </c>
      <c r="F968" s="18" t="str">
        <f>IF(OR(D968="",E968=""),"",IF(OR(D968&gt;1,E968&gt;1),(E968-D968)/100,E968-D968))</f>
        <v/>
      </c>
      <c r="G968" s="17" t="str">
        <f>IF(F968="","",IF(64*F968=0,"",64*F968))</f>
        <v/>
      </c>
      <c r="H968" s="19" t="str">
        <f>IF(Dati!E968="","",Dati!E968)</f>
        <v/>
      </c>
      <c r="I968" s="19" t="str">
        <f>IFERROR(IF(OR(C968="",C968=0),"",H968/C968*100),"")</f>
        <v/>
      </c>
      <c r="J968" s="20" t="str">
        <f>IF(Dati!F968="","",Dati!F968)</f>
        <v/>
      </c>
      <c r="K968" s="19" t="str">
        <f>IF(OR(H968="",J968=""),"",IF(H968*J968=0,"",H968*J968))</f>
        <v/>
      </c>
      <c r="L968" s="19" t="str">
        <f>IF(A968="","",IFERROR(IF(SUMPRODUCT((ISNUMBER(A$2:A968))*(A$2:A968&gt;1000)*(MONTH(IF(ISNUMBER(A$2:A968),A$2:A968,1))=MONTH(A968))*(YEAR(IF(ISNUMBER(A$2:A968),A$2:A968,1))=YEAR(A968))*IF(ISNUMBER(K$2:K968),K$2:K968,0))=0,"",SUMPRODUCT((ISNUMBER(A$2:A968))*(A$2:A968&gt;1000)*(MONTH(IF(ISNUMBER(A$2:A968),A$2:A968,1))=MONTH(A968))*(YEAR(IF(ISNUMBER(A$2:A968),A$2:A968,1))=YEAR(A968))*IF(ISNUMBER(K$2:K968),K$2:K968,0))),""))</f>
        <v/>
      </c>
      <c r="M968" s="21" t="str">
        <f>IF(A968="","",IFERROR(IF(SUMIF(N$2:N968,"CASA",K$2:K968)=0,"",SUMIF(N$2:N968,"CASA",K$2:K968)),""))</f>
        <v/>
      </c>
      <c r="N968" s="17" t="str">
        <f>IF(J968="","",IF(J968=0.2,"CASA",IF(Dati!G968="","",Dati!G968)))</f>
        <v/>
      </c>
    </row>
    <row r="969" spans="1:14" ht="15" customHeight="1" x14ac:dyDescent="0.2">
      <c r="A969" s="23" t="str">
        <f>IF(Dati!A969="","",Dati!A969)</f>
        <v/>
      </c>
      <c r="B969" s="17" t="str">
        <f>IF(Dati!B969="","",Dati!B969)</f>
        <v/>
      </c>
      <c r="C969" s="17" t="str">
        <f>IF(B969="","",IF(ISNUMBER(B968),IF(B969-B968&lt;0,B969,IF(B969-B968=0,"",B969-B968)),B969))</f>
        <v/>
      </c>
      <c r="D969" s="18" t="str">
        <f>IF(Dati!C969="","",IF(Dati!C969&gt;1,Dati!C969/100,Dati!C969))</f>
        <v/>
      </c>
      <c r="E969" s="18" t="str">
        <f>IF(Dati!D969="","",IF(Dati!D969&gt;1,Dati!D969/100,Dati!D969))</f>
        <v/>
      </c>
      <c r="F969" s="18" t="str">
        <f>IF(OR(D969="",E969=""),"",IF(OR(D969&gt;1,E969&gt;1),(E969-D969)/100,E969-D969))</f>
        <v/>
      </c>
      <c r="G969" s="17" t="str">
        <f>IF(F969="","",IF(64*F969=0,"",64*F969))</f>
        <v/>
      </c>
      <c r="H969" s="19" t="str">
        <f>IF(Dati!E969="","",Dati!E969)</f>
        <v/>
      </c>
      <c r="I969" s="19" t="str">
        <f>IFERROR(IF(OR(C969="",C969=0),"",H969/C969*100),"")</f>
        <v/>
      </c>
      <c r="J969" s="20" t="str">
        <f>IF(Dati!F969="","",Dati!F969)</f>
        <v/>
      </c>
      <c r="K969" s="19" t="str">
        <f>IF(OR(H969="",J969=""),"",IF(H969*J969=0,"",H969*J969))</f>
        <v/>
      </c>
      <c r="L969" s="19" t="str">
        <f>IF(A969="","",IFERROR(IF(SUMPRODUCT((ISNUMBER(A$2:A969))*(A$2:A969&gt;1000)*(MONTH(IF(ISNUMBER(A$2:A969),A$2:A969,1))=MONTH(A969))*(YEAR(IF(ISNUMBER(A$2:A969),A$2:A969,1))=YEAR(A969))*IF(ISNUMBER(K$2:K969),K$2:K969,0))=0,"",SUMPRODUCT((ISNUMBER(A$2:A969))*(A$2:A969&gt;1000)*(MONTH(IF(ISNUMBER(A$2:A969),A$2:A969,1))=MONTH(A969))*(YEAR(IF(ISNUMBER(A$2:A969),A$2:A969,1))=YEAR(A969))*IF(ISNUMBER(K$2:K969),K$2:K969,0))),""))</f>
        <v/>
      </c>
      <c r="M969" s="21" t="str">
        <f>IF(A969="","",IFERROR(IF(SUMIF(N$2:N969,"CASA",K$2:K969)=0,"",SUMIF(N$2:N969,"CASA",K$2:K969)),""))</f>
        <v/>
      </c>
      <c r="N969" s="17" t="str">
        <f>IF(J969="","",IF(J969=0.2,"CASA",IF(Dati!G969="","",Dati!G969)))</f>
        <v/>
      </c>
    </row>
    <row r="970" spans="1:14" ht="15" customHeight="1" x14ac:dyDescent="0.2">
      <c r="A970" s="23" t="str">
        <f>IF(Dati!A970="","",Dati!A970)</f>
        <v/>
      </c>
      <c r="B970" s="17" t="str">
        <f>IF(Dati!B970="","",Dati!B970)</f>
        <v/>
      </c>
      <c r="C970" s="17" t="str">
        <f>IF(B970="","",IF(ISNUMBER(B969),IF(B970-B969&lt;0,B970,IF(B970-B969=0,"",B970-B969)),B970))</f>
        <v/>
      </c>
      <c r="D970" s="18" t="str">
        <f>IF(Dati!C970="","",IF(Dati!C970&gt;1,Dati!C970/100,Dati!C970))</f>
        <v/>
      </c>
      <c r="E970" s="18" t="str">
        <f>IF(Dati!D970="","",IF(Dati!D970&gt;1,Dati!D970/100,Dati!D970))</f>
        <v/>
      </c>
      <c r="F970" s="18" t="str">
        <f>IF(OR(D970="",E970=""),"",IF(OR(D970&gt;1,E970&gt;1),(E970-D970)/100,E970-D970))</f>
        <v/>
      </c>
      <c r="G970" s="17" t="str">
        <f>IF(F970="","",IF(64*F970=0,"",64*F970))</f>
        <v/>
      </c>
      <c r="H970" s="19" t="str">
        <f>IF(Dati!E970="","",Dati!E970)</f>
        <v/>
      </c>
      <c r="I970" s="19" t="str">
        <f>IFERROR(IF(OR(C970="",C970=0),"",H970/C970*100),"")</f>
        <v/>
      </c>
      <c r="J970" s="20" t="str">
        <f>IF(Dati!F970="","",Dati!F970)</f>
        <v/>
      </c>
      <c r="K970" s="19" t="str">
        <f>IF(OR(H970="",J970=""),"",IF(H970*J970=0,"",H970*J970))</f>
        <v/>
      </c>
      <c r="L970" s="19" t="str">
        <f>IF(A970="","",IFERROR(IF(SUMPRODUCT((ISNUMBER(A$2:A970))*(A$2:A970&gt;1000)*(MONTH(IF(ISNUMBER(A$2:A970),A$2:A970,1))=MONTH(A970))*(YEAR(IF(ISNUMBER(A$2:A970),A$2:A970,1))=YEAR(A970))*IF(ISNUMBER(K$2:K970),K$2:K970,0))=0,"",SUMPRODUCT((ISNUMBER(A$2:A970))*(A$2:A970&gt;1000)*(MONTH(IF(ISNUMBER(A$2:A970),A$2:A970,1))=MONTH(A970))*(YEAR(IF(ISNUMBER(A$2:A970),A$2:A970,1))=YEAR(A970))*IF(ISNUMBER(K$2:K970),K$2:K970,0))),""))</f>
        <v/>
      </c>
      <c r="M970" s="21" t="str">
        <f>IF(A970="","",IFERROR(IF(SUMIF(N$2:N970,"CASA",K$2:K970)=0,"",SUMIF(N$2:N970,"CASA",K$2:K970)),""))</f>
        <v/>
      </c>
      <c r="N970" s="17" t="str">
        <f>IF(J970="","",IF(J970=0.2,"CASA",IF(Dati!G970="","",Dati!G970)))</f>
        <v/>
      </c>
    </row>
    <row r="971" spans="1:14" ht="15" customHeight="1" x14ac:dyDescent="0.2">
      <c r="A971" s="23" t="str">
        <f>IF(Dati!A971="","",Dati!A971)</f>
        <v/>
      </c>
      <c r="B971" s="17" t="str">
        <f>IF(Dati!B971="","",Dati!B971)</f>
        <v/>
      </c>
      <c r="C971" s="17" t="str">
        <f>IF(B971="","",IF(ISNUMBER(B970),IF(B971-B970&lt;0,B971,IF(B971-B970=0,"",B971-B970)),B971))</f>
        <v/>
      </c>
      <c r="D971" s="18" t="str">
        <f>IF(Dati!C971="","",IF(Dati!C971&gt;1,Dati!C971/100,Dati!C971))</f>
        <v/>
      </c>
      <c r="E971" s="18" t="str">
        <f>IF(Dati!D971="","",IF(Dati!D971&gt;1,Dati!D971/100,Dati!D971))</f>
        <v/>
      </c>
      <c r="F971" s="18" t="str">
        <f>IF(OR(D971="",E971=""),"",IF(OR(D971&gt;1,E971&gt;1),(E971-D971)/100,E971-D971))</f>
        <v/>
      </c>
      <c r="G971" s="17" t="str">
        <f>IF(F971="","",IF(64*F971=0,"",64*F971))</f>
        <v/>
      </c>
      <c r="H971" s="19" t="str">
        <f>IF(Dati!E971="","",Dati!E971)</f>
        <v/>
      </c>
      <c r="I971" s="19" t="str">
        <f>IFERROR(IF(OR(C971="",C971=0),"",H971/C971*100),"")</f>
        <v/>
      </c>
      <c r="J971" s="20" t="str">
        <f>IF(Dati!F971="","",Dati!F971)</f>
        <v/>
      </c>
      <c r="K971" s="19" t="str">
        <f>IF(OR(H971="",J971=""),"",IF(H971*J971=0,"",H971*J971))</f>
        <v/>
      </c>
      <c r="L971" s="19" t="str">
        <f>IF(A971="","",IFERROR(IF(SUMPRODUCT((ISNUMBER(A$2:A971))*(A$2:A971&gt;1000)*(MONTH(IF(ISNUMBER(A$2:A971),A$2:A971,1))=MONTH(A971))*(YEAR(IF(ISNUMBER(A$2:A971),A$2:A971,1))=YEAR(A971))*IF(ISNUMBER(K$2:K971),K$2:K971,0))=0,"",SUMPRODUCT((ISNUMBER(A$2:A971))*(A$2:A971&gt;1000)*(MONTH(IF(ISNUMBER(A$2:A971),A$2:A971,1))=MONTH(A971))*(YEAR(IF(ISNUMBER(A$2:A971),A$2:A971,1))=YEAR(A971))*IF(ISNUMBER(K$2:K971),K$2:K971,0))),""))</f>
        <v/>
      </c>
      <c r="M971" s="21" t="str">
        <f>IF(A971="","",IFERROR(IF(SUMIF(N$2:N971,"CASA",K$2:K971)=0,"",SUMIF(N$2:N971,"CASA",K$2:K971)),""))</f>
        <v/>
      </c>
      <c r="N971" s="17" t="str">
        <f>IF(J971="","",IF(J971=0.2,"CASA",IF(Dati!G971="","",Dati!G971)))</f>
        <v/>
      </c>
    </row>
    <row r="972" spans="1:14" ht="15" customHeight="1" x14ac:dyDescent="0.2">
      <c r="A972" s="23" t="str">
        <f>IF(Dati!A972="","",Dati!A972)</f>
        <v/>
      </c>
      <c r="B972" s="17" t="str">
        <f>IF(Dati!B972="","",Dati!B972)</f>
        <v/>
      </c>
      <c r="C972" s="17" t="str">
        <f>IF(B972="","",IF(ISNUMBER(B971),IF(B972-B971&lt;0,B972,IF(B972-B971=0,"",B972-B971)),B972))</f>
        <v/>
      </c>
      <c r="D972" s="18" t="str">
        <f>IF(Dati!C972="","",IF(Dati!C972&gt;1,Dati!C972/100,Dati!C972))</f>
        <v/>
      </c>
      <c r="E972" s="18" t="str">
        <f>IF(Dati!D972="","",IF(Dati!D972&gt;1,Dati!D972/100,Dati!D972))</f>
        <v/>
      </c>
      <c r="F972" s="18" t="str">
        <f>IF(OR(D972="",E972=""),"",IF(OR(D972&gt;1,E972&gt;1),(E972-D972)/100,E972-D972))</f>
        <v/>
      </c>
      <c r="G972" s="17" t="str">
        <f>IF(F972="","",IF(64*F972=0,"",64*F972))</f>
        <v/>
      </c>
      <c r="H972" s="19" t="str">
        <f>IF(Dati!E972="","",Dati!E972)</f>
        <v/>
      </c>
      <c r="I972" s="19" t="str">
        <f>IFERROR(IF(OR(C972="",C972=0),"",H972/C972*100),"")</f>
        <v/>
      </c>
      <c r="J972" s="20" t="str">
        <f>IF(Dati!F972="","",Dati!F972)</f>
        <v/>
      </c>
      <c r="K972" s="19" t="str">
        <f>IF(OR(H972="",J972=""),"",IF(H972*J972=0,"",H972*J972))</f>
        <v/>
      </c>
      <c r="L972" s="19" t="str">
        <f>IF(A972="","",IFERROR(IF(SUMPRODUCT((ISNUMBER(A$2:A972))*(A$2:A972&gt;1000)*(MONTH(IF(ISNUMBER(A$2:A972),A$2:A972,1))=MONTH(A972))*(YEAR(IF(ISNUMBER(A$2:A972),A$2:A972,1))=YEAR(A972))*IF(ISNUMBER(K$2:K972),K$2:K972,0))=0,"",SUMPRODUCT((ISNUMBER(A$2:A972))*(A$2:A972&gt;1000)*(MONTH(IF(ISNUMBER(A$2:A972),A$2:A972,1))=MONTH(A972))*(YEAR(IF(ISNUMBER(A$2:A972),A$2:A972,1))=YEAR(A972))*IF(ISNUMBER(K$2:K972),K$2:K972,0))),""))</f>
        <v/>
      </c>
      <c r="M972" s="21" t="str">
        <f>IF(A972="","",IFERROR(IF(SUMIF(N$2:N972,"CASA",K$2:K972)=0,"",SUMIF(N$2:N972,"CASA",K$2:K972)),""))</f>
        <v/>
      </c>
      <c r="N972" s="17" t="str">
        <f>IF(J972="","",IF(J972=0.2,"CASA",IF(Dati!G972="","",Dati!G972)))</f>
        <v/>
      </c>
    </row>
    <row r="973" spans="1:14" ht="15" customHeight="1" x14ac:dyDescent="0.2">
      <c r="A973" s="23" t="str">
        <f>IF(Dati!A973="","",Dati!A973)</f>
        <v/>
      </c>
      <c r="B973" s="17" t="str">
        <f>IF(Dati!B973="","",Dati!B973)</f>
        <v/>
      </c>
      <c r="C973" s="17" t="str">
        <f>IF(B973="","",IF(ISNUMBER(B972),IF(B973-B972&lt;0,B973,IF(B973-B972=0,"",B973-B972)),B973))</f>
        <v/>
      </c>
      <c r="D973" s="18" t="str">
        <f>IF(Dati!C973="","",IF(Dati!C973&gt;1,Dati!C973/100,Dati!C973))</f>
        <v/>
      </c>
      <c r="E973" s="18" t="str">
        <f>IF(Dati!D973="","",IF(Dati!D973&gt;1,Dati!D973/100,Dati!D973))</f>
        <v/>
      </c>
      <c r="F973" s="18" t="str">
        <f>IF(OR(D973="",E973=""),"",IF(OR(D973&gt;1,E973&gt;1),(E973-D973)/100,E973-D973))</f>
        <v/>
      </c>
      <c r="G973" s="17" t="str">
        <f>IF(F973="","",IF(64*F973=0,"",64*F973))</f>
        <v/>
      </c>
      <c r="H973" s="19" t="str">
        <f>IF(Dati!E973="","",Dati!E973)</f>
        <v/>
      </c>
      <c r="I973" s="19" t="str">
        <f>IFERROR(IF(OR(C973="",C973=0),"",H973/C973*100),"")</f>
        <v/>
      </c>
      <c r="J973" s="20" t="str">
        <f>IF(Dati!F973="","",Dati!F973)</f>
        <v/>
      </c>
      <c r="K973" s="19" t="str">
        <f>IF(OR(H973="",J973=""),"",IF(H973*J973=0,"",H973*J973))</f>
        <v/>
      </c>
      <c r="L973" s="19" t="str">
        <f>IF(A973="","",IFERROR(IF(SUMPRODUCT((ISNUMBER(A$2:A973))*(A$2:A973&gt;1000)*(MONTH(IF(ISNUMBER(A$2:A973),A$2:A973,1))=MONTH(A973))*(YEAR(IF(ISNUMBER(A$2:A973),A$2:A973,1))=YEAR(A973))*IF(ISNUMBER(K$2:K973),K$2:K973,0))=0,"",SUMPRODUCT((ISNUMBER(A$2:A973))*(A$2:A973&gt;1000)*(MONTH(IF(ISNUMBER(A$2:A973),A$2:A973,1))=MONTH(A973))*(YEAR(IF(ISNUMBER(A$2:A973),A$2:A973,1))=YEAR(A973))*IF(ISNUMBER(K$2:K973),K$2:K973,0))),""))</f>
        <v/>
      </c>
      <c r="M973" s="21" t="str">
        <f>IF(A973="","",IFERROR(IF(SUMIF(N$2:N973,"CASA",K$2:K973)=0,"",SUMIF(N$2:N973,"CASA",K$2:K973)),""))</f>
        <v/>
      </c>
      <c r="N973" s="17" t="str">
        <f>IF(J973="","",IF(J973=0.2,"CASA",IF(Dati!G973="","",Dati!G973)))</f>
        <v/>
      </c>
    </row>
    <row r="974" spans="1:14" ht="15" customHeight="1" x14ac:dyDescent="0.2">
      <c r="A974" s="23" t="str">
        <f>IF(Dati!A974="","",Dati!A974)</f>
        <v/>
      </c>
      <c r="B974" s="17" t="str">
        <f>IF(Dati!B974="","",Dati!B974)</f>
        <v/>
      </c>
      <c r="C974" s="17" t="str">
        <f>IF(B974="","",IF(ISNUMBER(B973),IF(B974-B973&lt;0,B974,IF(B974-B973=0,"",B974-B973)),B974))</f>
        <v/>
      </c>
      <c r="D974" s="18" t="str">
        <f>IF(Dati!C974="","",IF(Dati!C974&gt;1,Dati!C974/100,Dati!C974))</f>
        <v/>
      </c>
      <c r="E974" s="18" t="str">
        <f>IF(Dati!D974="","",IF(Dati!D974&gt;1,Dati!D974/100,Dati!D974))</f>
        <v/>
      </c>
      <c r="F974" s="18" t="str">
        <f>IF(OR(D974="",E974=""),"",IF(OR(D974&gt;1,E974&gt;1),(E974-D974)/100,E974-D974))</f>
        <v/>
      </c>
      <c r="G974" s="17" t="str">
        <f>IF(F974="","",IF(64*F974=0,"",64*F974))</f>
        <v/>
      </c>
      <c r="H974" s="19" t="str">
        <f>IF(Dati!E974="","",Dati!E974)</f>
        <v/>
      </c>
      <c r="I974" s="19" t="str">
        <f>IFERROR(IF(OR(C974="",C974=0),"",H974/C974*100),"")</f>
        <v/>
      </c>
      <c r="J974" s="20" t="str">
        <f>IF(Dati!F974="","",Dati!F974)</f>
        <v/>
      </c>
      <c r="K974" s="19" t="str">
        <f>IF(OR(H974="",J974=""),"",IF(H974*J974=0,"",H974*J974))</f>
        <v/>
      </c>
      <c r="L974" s="19" t="str">
        <f>IF(A974="","",IFERROR(IF(SUMPRODUCT((ISNUMBER(A$2:A974))*(A$2:A974&gt;1000)*(MONTH(IF(ISNUMBER(A$2:A974),A$2:A974,1))=MONTH(A974))*(YEAR(IF(ISNUMBER(A$2:A974),A$2:A974,1))=YEAR(A974))*IF(ISNUMBER(K$2:K974),K$2:K974,0))=0,"",SUMPRODUCT((ISNUMBER(A$2:A974))*(A$2:A974&gt;1000)*(MONTH(IF(ISNUMBER(A$2:A974),A$2:A974,1))=MONTH(A974))*(YEAR(IF(ISNUMBER(A$2:A974),A$2:A974,1))=YEAR(A974))*IF(ISNUMBER(K$2:K974),K$2:K974,0))),""))</f>
        <v/>
      </c>
      <c r="M974" s="21" t="str">
        <f>IF(A974="","",IFERROR(IF(SUMIF(N$2:N974,"CASA",K$2:K974)=0,"",SUMIF(N$2:N974,"CASA",K$2:K974)),""))</f>
        <v/>
      </c>
      <c r="N974" s="17" t="str">
        <f>IF(J974="","",IF(J974=0.2,"CASA",IF(Dati!G974="","",Dati!G974)))</f>
        <v/>
      </c>
    </row>
    <row r="975" spans="1:14" ht="15" customHeight="1" x14ac:dyDescent="0.2">
      <c r="A975" s="23" t="str">
        <f>IF(Dati!A975="","",Dati!A975)</f>
        <v/>
      </c>
      <c r="B975" s="17" t="str">
        <f>IF(Dati!B975="","",Dati!B975)</f>
        <v/>
      </c>
      <c r="C975" s="17" t="str">
        <f>IF(B975="","",IF(ISNUMBER(B974),IF(B975-B974&lt;0,B975,IF(B975-B974=0,"",B975-B974)),B975))</f>
        <v/>
      </c>
      <c r="D975" s="18" t="str">
        <f>IF(Dati!C975="","",IF(Dati!C975&gt;1,Dati!C975/100,Dati!C975))</f>
        <v/>
      </c>
      <c r="E975" s="18" t="str">
        <f>IF(Dati!D975="","",IF(Dati!D975&gt;1,Dati!D975/100,Dati!D975))</f>
        <v/>
      </c>
      <c r="F975" s="18" t="str">
        <f>IF(OR(D975="",E975=""),"",IF(OR(D975&gt;1,E975&gt;1),(E975-D975)/100,E975-D975))</f>
        <v/>
      </c>
      <c r="G975" s="17" t="str">
        <f>IF(F975="","",IF(64*F975=0,"",64*F975))</f>
        <v/>
      </c>
      <c r="H975" s="19" t="str">
        <f>IF(Dati!E975="","",Dati!E975)</f>
        <v/>
      </c>
      <c r="I975" s="19" t="str">
        <f>IFERROR(IF(OR(C975="",C975=0),"",H975/C975*100),"")</f>
        <v/>
      </c>
      <c r="J975" s="20" t="str">
        <f>IF(Dati!F975="","",Dati!F975)</f>
        <v/>
      </c>
      <c r="K975" s="19" t="str">
        <f>IF(OR(H975="",J975=""),"",IF(H975*J975=0,"",H975*J975))</f>
        <v/>
      </c>
      <c r="L975" s="19" t="str">
        <f>IF(A975="","",IFERROR(IF(SUMPRODUCT((ISNUMBER(A$2:A975))*(A$2:A975&gt;1000)*(MONTH(IF(ISNUMBER(A$2:A975),A$2:A975,1))=MONTH(A975))*(YEAR(IF(ISNUMBER(A$2:A975),A$2:A975,1))=YEAR(A975))*IF(ISNUMBER(K$2:K975),K$2:K975,0))=0,"",SUMPRODUCT((ISNUMBER(A$2:A975))*(A$2:A975&gt;1000)*(MONTH(IF(ISNUMBER(A$2:A975),A$2:A975,1))=MONTH(A975))*(YEAR(IF(ISNUMBER(A$2:A975),A$2:A975,1))=YEAR(A975))*IF(ISNUMBER(K$2:K975),K$2:K975,0))),""))</f>
        <v/>
      </c>
      <c r="M975" s="21" t="str">
        <f>IF(A975="","",IFERROR(IF(SUMIF(N$2:N975,"CASA",K$2:K975)=0,"",SUMIF(N$2:N975,"CASA",K$2:K975)),""))</f>
        <v/>
      </c>
      <c r="N975" s="17" t="str">
        <f>IF(J975="","",IF(J975=0.2,"CASA",IF(Dati!G975="","",Dati!G975)))</f>
        <v/>
      </c>
    </row>
    <row r="976" spans="1:14" ht="15" customHeight="1" x14ac:dyDescent="0.2">
      <c r="A976" s="23" t="str">
        <f>IF(Dati!A976="","",Dati!A976)</f>
        <v/>
      </c>
      <c r="B976" s="17" t="str">
        <f>IF(Dati!B976="","",Dati!B976)</f>
        <v/>
      </c>
      <c r="C976" s="17" t="str">
        <f>IF(B976="","",IF(ISNUMBER(B975),IF(B976-B975&lt;0,B976,IF(B976-B975=0,"",B976-B975)),B976))</f>
        <v/>
      </c>
      <c r="D976" s="18" t="str">
        <f>IF(Dati!C976="","",IF(Dati!C976&gt;1,Dati!C976/100,Dati!C976))</f>
        <v/>
      </c>
      <c r="E976" s="18" t="str">
        <f>IF(Dati!D976="","",IF(Dati!D976&gt;1,Dati!D976/100,Dati!D976))</f>
        <v/>
      </c>
      <c r="F976" s="18" t="str">
        <f>IF(OR(D976="",E976=""),"",IF(OR(D976&gt;1,E976&gt;1),(E976-D976)/100,E976-D976))</f>
        <v/>
      </c>
      <c r="G976" s="17" t="str">
        <f>IF(F976="","",IF(64*F976=0,"",64*F976))</f>
        <v/>
      </c>
      <c r="H976" s="19" t="str">
        <f>IF(Dati!E976="","",Dati!E976)</f>
        <v/>
      </c>
      <c r="I976" s="19" t="str">
        <f>IFERROR(IF(OR(C976="",C976=0),"",H976/C976*100),"")</f>
        <v/>
      </c>
      <c r="J976" s="20" t="str">
        <f>IF(Dati!F976="","",Dati!F976)</f>
        <v/>
      </c>
      <c r="K976" s="19" t="str">
        <f>IF(OR(H976="",J976=""),"",IF(H976*J976=0,"",H976*J976))</f>
        <v/>
      </c>
      <c r="L976" s="19" t="str">
        <f>IF(A976="","",IFERROR(IF(SUMPRODUCT((ISNUMBER(A$2:A976))*(A$2:A976&gt;1000)*(MONTH(IF(ISNUMBER(A$2:A976),A$2:A976,1))=MONTH(A976))*(YEAR(IF(ISNUMBER(A$2:A976),A$2:A976,1))=YEAR(A976))*IF(ISNUMBER(K$2:K976),K$2:K976,0))=0,"",SUMPRODUCT((ISNUMBER(A$2:A976))*(A$2:A976&gt;1000)*(MONTH(IF(ISNUMBER(A$2:A976),A$2:A976,1))=MONTH(A976))*(YEAR(IF(ISNUMBER(A$2:A976),A$2:A976,1))=YEAR(A976))*IF(ISNUMBER(K$2:K976),K$2:K976,0))),""))</f>
        <v/>
      </c>
      <c r="M976" s="21" t="str">
        <f>IF(A976="","",IFERROR(IF(SUMIF(N$2:N976,"CASA",K$2:K976)=0,"",SUMIF(N$2:N976,"CASA",K$2:K976)),""))</f>
        <v/>
      </c>
      <c r="N976" s="17" t="str">
        <f>IF(J976="","",IF(J976=0.2,"CASA",IF(Dati!G976="","",Dati!G976)))</f>
        <v/>
      </c>
    </row>
    <row r="977" spans="1:14" ht="15" customHeight="1" x14ac:dyDescent="0.2">
      <c r="A977" s="23" t="str">
        <f>IF(Dati!A977="","",Dati!A977)</f>
        <v/>
      </c>
      <c r="B977" s="17" t="str">
        <f>IF(Dati!B977="","",Dati!B977)</f>
        <v/>
      </c>
      <c r="C977" s="17" t="str">
        <f>IF(B977="","",IF(ISNUMBER(B976),IF(B977-B976&lt;0,B977,IF(B977-B976=0,"",B977-B976)),B977))</f>
        <v/>
      </c>
      <c r="D977" s="18" t="str">
        <f>IF(Dati!C977="","",IF(Dati!C977&gt;1,Dati!C977/100,Dati!C977))</f>
        <v/>
      </c>
      <c r="E977" s="18" t="str">
        <f>IF(Dati!D977="","",IF(Dati!D977&gt;1,Dati!D977/100,Dati!D977))</f>
        <v/>
      </c>
      <c r="F977" s="18" t="str">
        <f>IF(OR(D977="",E977=""),"",IF(OR(D977&gt;1,E977&gt;1),(E977-D977)/100,E977-D977))</f>
        <v/>
      </c>
      <c r="G977" s="17" t="str">
        <f>IF(F977="","",IF(64*F977=0,"",64*F977))</f>
        <v/>
      </c>
      <c r="H977" s="19" t="str">
        <f>IF(Dati!E977="","",Dati!E977)</f>
        <v/>
      </c>
      <c r="I977" s="19" t="str">
        <f>IFERROR(IF(OR(C977="",C977=0),"",H977/C977*100),"")</f>
        <v/>
      </c>
      <c r="J977" s="20" t="str">
        <f>IF(Dati!F977="","",Dati!F977)</f>
        <v/>
      </c>
      <c r="K977" s="19" t="str">
        <f>IF(OR(H977="",J977=""),"",IF(H977*J977=0,"",H977*J977))</f>
        <v/>
      </c>
      <c r="L977" s="19" t="str">
        <f>IF(A977="","",IFERROR(IF(SUMPRODUCT((ISNUMBER(A$2:A977))*(A$2:A977&gt;1000)*(MONTH(IF(ISNUMBER(A$2:A977),A$2:A977,1))=MONTH(A977))*(YEAR(IF(ISNUMBER(A$2:A977),A$2:A977,1))=YEAR(A977))*IF(ISNUMBER(K$2:K977),K$2:K977,0))=0,"",SUMPRODUCT((ISNUMBER(A$2:A977))*(A$2:A977&gt;1000)*(MONTH(IF(ISNUMBER(A$2:A977),A$2:A977,1))=MONTH(A977))*(YEAR(IF(ISNUMBER(A$2:A977),A$2:A977,1))=YEAR(A977))*IF(ISNUMBER(K$2:K977),K$2:K977,0))),""))</f>
        <v/>
      </c>
      <c r="M977" s="21" t="str">
        <f>IF(A977="","",IFERROR(IF(SUMIF(N$2:N977,"CASA",K$2:K977)=0,"",SUMIF(N$2:N977,"CASA",K$2:K977)),""))</f>
        <v/>
      </c>
      <c r="N977" s="17" t="str">
        <f>IF(J977="","",IF(J977=0.2,"CASA",IF(Dati!G977="","",Dati!G977)))</f>
        <v/>
      </c>
    </row>
    <row r="978" spans="1:14" ht="15" customHeight="1" x14ac:dyDescent="0.2">
      <c r="A978" s="23" t="str">
        <f>IF(Dati!A978="","",Dati!A978)</f>
        <v/>
      </c>
      <c r="B978" s="17" t="str">
        <f>IF(Dati!B978="","",Dati!B978)</f>
        <v/>
      </c>
      <c r="C978" s="17" t="str">
        <f>IF(B978="","",IF(ISNUMBER(B977),IF(B978-B977&lt;0,B978,IF(B978-B977=0,"",B978-B977)),B978))</f>
        <v/>
      </c>
      <c r="D978" s="18" t="str">
        <f>IF(Dati!C978="","",IF(Dati!C978&gt;1,Dati!C978/100,Dati!C978))</f>
        <v/>
      </c>
      <c r="E978" s="18" t="str">
        <f>IF(Dati!D978="","",IF(Dati!D978&gt;1,Dati!D978/100,Dati!D978))</f>
        <v/>
      </c>
      <c r="F978" s="18" t="str">
        <f>IF(OR(D978="",E978=""),"",IF(OR(D978&gt;1,E978&gt;1),(E978-D978)/100,E978-D978))</f>
        <v/>
      </c>
      <c r="G978" s="17" t="str">
        <f>IF(F978="","",IF(64*F978=0,"",64*F978))</f>
        <v/>
      </c>
      <c r="H978" s="19" t="str">
        <f>IF(Dati!E978="","",Dati!E978)</f>
        <v/>
      </c>
      <c r="I978" s="19" t="str">
        <f>IFERROR(IF(OR(C978="",C978=0),"",H978/C978*100),"")</f>
        <v/>
      </c>
      <c r="J978" s="20" t="str">
        <f>IF(Dati!F978="","",Dati!F978)</f>
        <v/>
      </c>
      <c r="K978" s="19" t="str">
        <f>IF(OR(H978="",J978=""),"",IF(H978*J978=0,"",H978*J978))</f>
        <v/>
      </c>
      <c r="L978" s="19" t="str">
        <f>IF(A978="","",IFERROR(IF(SUMPRODUCT((ISNUMBER(A$2:A978))*(A$2:A978&gt;1000)*(MONTH(IF(ISNUMBER(A$2:A978),A$2:A978,1))=MONTH(A978))*(YEAR(IF(ISNUMBER(A$2:A978),A$2:A978,1))=YEAR(A978))*IF(ISNUMBER(K$2:K978),K$2:K978,0))=0,"",SUMPRODUCT((ISNUMBER(A$2:A978))*(A$2:A978&gt;1000)*(MONTH(IF(ISNUMBER(A$2:A978),A$2:A978,1))=MONTH(A978))*(YEAR(IF(ISNUMBER(A$2:A978),A$2:A978,1))=YEAR(A978))*IF(ISNUMBER(K$2:K978),K$2:K978,0))),""))</f>
        <v/>
      </c>
      <c r="M978" s="21" t="str">
        <f>IF(A978="","",IFERROR(IF(SUMIF(N$2:N978,"CASA",K$2:K978)=0,"",SUMIF(N$2:N978,"CASA",K$2:K978)),""))</f>
        <v/>
      </c>
      <c r="N978" s="17" t="str">
        <f>IF(J978="","",IF(J978=0.2,"CASA",IF(Dati!G978="","",Dati!G978)))</f>
        <v/>
      </c>
    </row>
    <row r="979" spans="1:14" ht="15" customHeight="1" x14ac:dyDescent="0.2">
      <c r="A979" s="23" t="str">
        <f>IF(Dati!A979="","",Dati!A979)</f>
        <v/>
      </c>
      <c r="B979" s="17" t="str">
        <f>IF(Dati!B979="","",Dati!B979)</f>
        <v/>
      </c>
      <c r="C979" s="17" t="str">
        <f>IF(B979="","",IF(ISNUMBER(B978),IF(B979-B978&lt;0,B979,IF(B979-B978=0,"",B979-B978)),B979))</f>
        <v/>
      </c>
      <c r="D979" s="18" t="str">
        <f>IF(Dati!C979="","",IF(Dati!C979&gt;1,Dati!C979/100,Dati!C979))</f>
        <v/>
      </c>
      <c r="E979" s="18" t="str">
        <f>IF(Dati!D979="","",IF(Dati!D979&gt;1,Dati!D979/100,Dati!D979))</f>
        <v/>
      </c>
      <c r="F979" s="18" t="str">
        <f>IF(OR(D979="",E979=""),"",IF(OR(D979&gt;1,E979&gt;1),(E979-D979)/100,E979-D979))</f>
        <v/>
      </c>
      <c r="G979" s="17" t="str">
        <f>IF(F979="","",IF(64*F979=0,"",64*F979))</f>
        <v/>
      </c>
      <c r="H979" s="19" t="str">
        <f>IF(Dati!E979="","",Dati!E979)</f>
        <v/>
      </c>
      <c r="I979" s="19" t="str">
        <f>IFERROR(IF(OR(C979="",C979=0),"",H979/C979*100),"")</f>
        <v/>
      </c>
      <c r="J979" s="20" t="str">
        <f>IF(Dati!F979="","",Dati!F979)</f>
        <v/>
      </c>
      <c r="K979" s="19" t="str">
        <f>IF(OR(H979="",J979=""),"",IF(H979*J979=0,"",H979*J979))</f>
        <v/>
      </c>
      <c r="L979" s="19" t="str">
        <f>IF(A979="","",IFERROR(IF(SUMPRODUCT((ISNUMBER(A$2:A979))*(A$2:A979&gt;1000)*(MONTH(IF(ISNUMBER(A$2:A979),A$2:A979,1))=MONTH(A979))*(YEAR(IF(ISNUMBER(A$2:A979),A$2:A979,1))=YEAR(A979))*IF(ISNUMBER(K$2:K979),K$2:K979,0))=0,"",SUMPRODUCT((ISNUMBER(A$2:A979))*(A$2:A979&gt;1000)*(MONTH(IF(ISNUMBER(A$2:A979),A$2:A979,1))=MONTH(A979))*(YEAR(IF(ISNUMBER(A$2:A979),A$2:A979,1))=YEAR(A979))*IF(ISNUMBER(K$2:K979),K$2:K979,0))),""))</f>
        <v/>
      </c>
      <c r="M979" s="21" t="str">
        <f>IF(A979="","",IFERROR(IF(SUMIF(N$2:N979,"CASA",K$2:K979)=0,"",SUMIF(N$2:N979,"CASA",K$2:K979)),""))</f>
        <v/>
      </c>
      <c r="N979" s="17" t="str">
        <f>IF(J979="","",IF(J979=0.2,"CASA",IF(Dati!G979="","",Dati!G979)))</f>
        <v/>
      </c>
    </row>
    <row r="980" spans="1:14" ht="15" customHeight="1" x14ac:dyDescent="0.2">
      <c r="A980" s="23" t="str">
        <f>IF(Dati!A980="","",Dati!A980)</f>
        <v/>
      </c>
      <c r="B980" s="17" t="str">
        <f>IF(Dati!B980="","",Dati!B980)</f>
        <v/>
      </c>
      <c r="C980" s="17" t="str">
        <f>IF(B980="","",IF(ISNUMBER(B979),IF(B980-B979&lt;0,B980,IF(B980-B979=0,"",B980-B979)),B980))</f>
        <v/>
      </c>
      <c r="D980" s="18" t="str">
        <f>IF(Dati!C980="","",IF(Dati!C980&gt;1,Dati!C980/100,Dati!C980))</f>
        <v/>
      </c>
      <c r="E980" s="18" t="str">
        <f>IF(Dati!D980="","",IF(Dati!D980&gt;1,Dati!D980/100,Dati!D980))</f>
        <v/>
      </c>
      <c r="F980" s="18" t="str">
        <f>IF(OR(D980="",E980=""),"",IF(OR(D980&gt;1,E980&gt;1),(E980-D980)/100,E980-D980))</f>
        <v/>
      </c>
      <c r="G980" s="17" t="str">
        <f>IF(F980="","",IF(64*F980=0,"",64*F980))</f>
        <v/>
      </c>
      <c r="H980" s="19" t="str">
        <f>IF(Dati!E980="","",Dati!E980)</f>
        <v/>
      </c>
      <c r="I980" s="19" t="str">
        <f>IFERROR(IF(OR(C980="",C980=0),"",H980/C980*100),"")</f>
        <v/>
      </c>
      <c r="J980" s="20" t="str">
        <f>IF(Dati!F980="","",Dati!F980)</f>
        <v/>
      </c>
      <c r="K980" s="19" t="str">
        <f>IF(OR(H980="",J980=""),"",IF(H980*J980=0,"",H980*J980))</f>
        <v/>
      </c>
      <c r="L980" s="19" t="str">
        <f>IF(A980="","",IFERROR(IF(SUMPRODUCT((ISNUMBER(A$2:A980))*(A$2:A980&gt;1000)*(MONTH(IF(ISNUMBER(A$2:A980),A$2:A980,1))=MONTH(A980))*(YEAR(IF(ISNUMBER(A$2:A980),A$2:A980,1))=YEAR(A980))*IF(ISNUMBER(K$2:K980),K$2:K980,0))=0,"",SUMPRODUCT((ISNUMBER(A$2:A980))*(A$2:A980&gt;1000)*(MONTH(IF(ISNUMBER(A$2:A980),A$2:A980,1))=MONTH(A980))*(YEAR(IF(ISNUMBER(A$2:A980),A$2:A980,1))=YEAR(A980))*IF(ISNUMBER(K$2:K980),K$2:K980,0))),""))</f>
        <v/>
      </c>
      <c r="M980" s="21" t="str">
        <f>IF(A980="","",IFERROR(IF(SUMIF(N$2:N980,"CASA",K$2:K980)=0,"",SUMIF(N$2:N980,"CASA",K$2:K980)),""))</f>
        <v/>
      </c>
      <c r="N980" s="17" t="str">
        <f>IF(J980="","",IF(J980=0.2,"CASA",IF(Dati!G980="","",Dati!G980)))</f>
        <v/>
      </c>
    </row>
    <row r="981" spans="1:14" ht="15" customHeight="1" x14ac:dyDescent="0.2">
      <c r="A981" s="23" t="str">
        <f>IF(Dati!A981="","",Dati!A981)</f>
        <v/>
      </c>
      <c r="B981" s="17" t="str">
        <f>IF(Dati!B981="","",Dati!B981)</f>
        <v/>
      </c>
      <c r="C981" s="17" t="str">
        <f>IF(B981="","",IF(ISNUMBER(B980),IF(B981-B980&lt;0,B981,IF(B981-B980=0,"",B981-B980)),B981))</f>
        <v/>
      </c>
      <c r="D981" s="18" t="str">
        <f>IF(Dati!C981="","",IF(Dati!C981&gt;1,Dati!C981/100,Dati!C981))</f>
        <v/>
      </c>
      <c r="E981" s="18" t="str">
        <f>IF(Dati!D981="","",IF(Dati!D981&gt;1,Dati!D981/100,Dati!D981))</f>
        <v/>
      </c>
      <c r="F981" s="18" t="str">
        <f>IF(OR(D981="",E981=""),"",IF(OR(D981&gt;1,E981&gt;1),(E981-D981)/100,E981-D981))</f>
        <v/>
      </c>
      <c r="G981" s="17" t="str">
        <f>IF(F981="","",IF(64*F981=0,"",64*F981))</f>
        <v/>
      </c>
      <c r="H981" s="19" t="str">
        <f>IF(Dati!E981="","",Dati!E981)</f>
        <v/>
      </c>
      <c r="I981" s="19" t="str">
        <f>IFERROR(IF(OR(C981="",C981=0),"",H981/C981*100),"")</f>
        <v/>
      </c>
      <c r="J981" s="20" t="str">
        <f>IF(Dati!F981="","",Dati!F981)</f>
        <v/>
      </c>
      <c r="K981" s="19" t="str">
        <f>IF(OR(H981="",J981=""),"",IF(H981*J981=0,"",H981*J981))</f>
        <v/>
      </c>
      <c r="L981" s="19" t="str">
        <f>IF(A981="","",IFERROR(IF(SUMPRODUCT((ISNUMBER(A$2:A981))*(A$2:A981&gt;1000)*(MONTH(IF(ISNUMBER(A$2:A981),A$2:A981,1))=MONTH(A981))*(YEAR(IF(ISNUMBER(A$2:A981),A$2:A981,1))=YEAR(A981))*IF(ISNUMBER(K$2:K981),K$2:K981,0))=0,"",SUMPRODUCT((ISNUMBER(A$2:A981))*(A$2:A981&gt;1000)*(MONTH(IF(ISNUMBER(A$2:A981),A$2:A981,1))=MONTH(A981))*(YEAR(IF(ISNUMBER(A$2:A981),A$2:A981,1))=YEAR(A981))*IF(ISNUMBER(K$2:K981),K$2:K981,0))),""))</f>
        <v/>
      </c>
      <c r="M981" s="21" t="str">
        <f>IF(A981="","",IFERROR(IF(SUMIF(N$2:N981,"CASA",K$2:K981)=0,"",SUMIF(N$2:N981,"CASA",K$2:K981)),""))</f>
        <v/>
      </c>
      <c r="N981" s="17" t="str">
        <f>IF(J981="","",IF(J981=0.2,"CASA",IF(Dati!G981="","",Dati!G981)))</f>
        <v/>
      </c>
    </row>
    <row r="982" spans="1:14" ht="15" customHeight="1" x14ac:dyDescent="0.2">
      <c r="A982" s="23" t="str">
        <f>IF(Dati!A982="","",Dati!A982)</f>
        <v/>
      </c>
      <c r="B982" s="17" t="str">
        <f>IF(Dati!B982="","",Dati!B982)</f>
        <v/>
      </c>
      <c r="C982" s="17" t="str">
        <f>IF(B982="","",IF(ISNUMBER(B981),IF(B982-B981&lt;0,B982,IF(B982-B981=0,"",B982-B981)),B982))</f>
        <v/>
      </c>
      <c r="D982" s="18" t="str">
        <f>IF(Dati!C982="","",IF(Dati!C982&gt;1,Dati!C982/100,Dati!C982))</f>
        <v/>
      </c>
      <c r="E982" s="18" t="str">
        <f>IF(Dati!D982="","",IF(Dati!D982&gt;1,Dati!D982/100,Dati!D982))</f>
        <v/>
      </c>
      <c r="F982" s="18" t="str">
        <f>IF(OR(D982="",E982=""),"",IF(OR(D982&gt;1,E982&gt;1),(E982-D982)/100,E982-D982))</f>
        <v/>
      </c>
      <c r="G982" s="17" t="str">
        <f>IF(F982="","",IF(64*F982=0,"",64*F982))</f>
        <v/>
      </c>
      <c r="H982" s="19" t="str">
        <f>IF(Dati!E982="","",Dati!E982)</f>
        <v/>
      </c>
      <c r="I982" s="19" t="str">
        <f>IFERROR(IF(OR(C982="",C982=0),"",H982/C982*100),"")</f>
        <v/>
      </c>
      <c r="J982" s="20" t="str">
        <f>IF(Dati!F982="","",Dati!F982)</f>
        <v/>
      </c>
      <c r="K982" s="19" t="str">
        <f>IF(OR(H982="",J982=""),"",IF(H982*J982=0,"",H982*J982))</f>
        <v/>
      </c>
      <c r="L982" s="19" t="str">
        <f>IF(A982="","",IFERROR(IF(SUMPRODUCT((ISNUMBER(A$2:A982))*(A$2:A982&gt;1000)*(MONTH(IF(ISNUMBER(A$2:A982),A$2:A982,1))=MONTH(A982))*(YEAR(IF(ISNUMBER(A$2:A982),A$2:A982,1))=YEAR(A982))*IF(ISNUMBER(K$2:K982),K$2:K982,0))=0,"",SUMPRODUCT((ISNUMBER(A$2:A982))*(A$2:A982&gt;1000)*(MONTH(IF(ISNUMBER(A$2:A982),A$2:A982,1))=MONTH(A982))*(YEAR(IF(ISNUMBER(A$2:A982),A$2:A982,1))=YEAR(A982))*IF(ISNUMBER(K$2:K982),K$2:K982,0))),""))</f>
        <v/>
      </c>
      <c r="M982" s="21" t="str">
        <f>IF(A982="","",IFERROR(IF(SUMIF(N$2:N982,"CASA",K$2:K982)=0,"",SUMIF(N$2:N982,"CASA",K$2:K982)),""))</f>
        <v/>
      </c>
      <c r="N982" s="17" t="str">
        <f>IF(J982="","",IF(J982=0.2,"CASA",IF(Dati!G982="","",Dati!G982)))</f>
        <v/>
      </c>
    </row>
    <row r="983" spans="1:14" ht="15" customHeight="1" x14ac:dyDescent="0.2">
      <c r="A983" s="23" t="str">
        <f>IF(Dati!A983="","",Dati!A983)</f>
        <v/>
      </c>
      <c r="B983" s="17" t="str">
        <f>IF(Dati!B983="","",Dati!B983)</f>
        <v/>
      </c>
      <c r="C983" s="17" t="str">
        <f>IF(B983="","",IF(ISNUMBER(B982),IF(B983-B982&lt;0,B983,IF(B983-B982=0,"",B983-B982)),B983))</f>
        <v/>
      </c>
      <c r="D983" s="18" t="str">
        <f>IF(Dati!C983="","",IF(Dati!C983&gt;1,Dati!C983/100,Dati!C983))</f>
        <v/>
      </c>
      <c r="E983" s="18" t="str">
        <f>IF(Dati!D983="","",IF(Dati!D983&gt;1,Dati!D983/100,Dati!D983))</f>
        <v/>
      </c>
      <c r="F983" s="18" t="str">
        <f>IF(OR(D983="",E983=""),"",IF(OR(D983&gt;1,E983&gt;1),(E983-D983)/100,E983-D983))</f>
        <v/>
      </c>
      <c r="G983" s="17" t="str">
        <f>IF(F983="","",IF(64*F983=0,"",64*F983))</f>
        <v/>
      </c>
      <c r="H983" s="19" t="str">
        <f>IF(Dati!E983="","",Dati!E983)</f>
        <v/>
      </c>
      <c r="I983" s="19" t="str">
        <f>IFERROR(IF(OR(C983="",C983=0),"",H983/C983*100),"")</f>
        <v/>
      </c>
      <c r="J983" s="20" t="str">
        <f>IF(Dati!F983="","",Dati!F983)</f>
        <v/>
      </c>
      <c r="K983" s="19" t="str">
        <f>IF(OR(H983="",J983=""),"",IF(H983*J983=0,"",H983*J983))</f>
        <v/>
      </c>
      <c r="L983" s="19" t="str">
        <f>IF(A983="","",IFERROR(IF(SUMPRODUCT((ISNUMBER(A$2:A983))*(A$2:A983&gt;1000)*(MONTH(IF(ISNUMBER(A$2:A983),A$2:A983,1))=MONTH(A983))*(YEAR(IF(ISNUMBER(A$2:A983),A$2:A983,1))=YEAR(A983))*IF(ISNUMBER(K$2:K983),K$2:K983,0))=0,"",SUMPRODUCT((ISNUMBER(A$2:A983))*(A$2:A983&gt;1000)*(MONTH(IF(ISNUMBER(A$2:A983),A$2:A983,1))=MONTH(A983))*(YEAR(IF(ISNUMBER(A$2:A983),A$2:A983,1))=YEAR(A983))*IF(ISNUMBER(K$2:K983),K$2:K983,0))),""))</f>
        <v/>
      </c>
      <c r="M983" s="21" t="str">
        <f>IF(A983="","",IFERROR(IF(SUMIF(N$2:N983,"CASA",K$2:K983)=0,"",SUMIF(N$2:N983,"CASA",K$2:K983)),""))</f>
        <v/>
      </c>
      <c r="N983" s="17" t="str">
        <f>IF(J983="","",IF(J983=0.2,"CASA",IF(Dati!G983="","",Dati!G983)))</f>
        <v/>
      </c>
    </row>
    <row r="984" spans="1:14" ht="15" customHeight="1" x14ac:dyDescent="0.2">
      <c r="A984" s="23" t="str">
        <f>IF(Dati!A984="","",Dati!A984)</f>
        <v/>
      </c>
      <c r="B984" s="17" t="str">
        <f>IF(Dati!B984="","",Dati!B984)</f>
        <v/>
      </c>
      <c r="C984" s="17" t="str">
        <f>IF(B984="","",IF(ISNUMBER(B983),IF(B984-B983&lt;0,B984,IF(B984-B983=0,"",B984-B983)),B984))</f>
        <v/>
      </c>
      <c r="D984" s="18" t="str">
        <f>IF(Dati!C984="","",IF(Dati!C984&gt;1,Dati!C984/100,Dati!C984))</f>
        <v/>
      </c>
      <c r="E984" s="18" t="str">
        <f>IF(Dati!D984="","",IF(Dati!D984&gt;1,Dati!D984/100,Dati!D984))</f>
        <v/>
      </c>
      <c r="F984" s="18" t="str">
        <f>IF(OR(D984="",E984=""),"",IF(OR(D984&gt;1,E984&gt;1),(E984-D984)/100,E984-D984))</f>
        <v/>
      </c>
      <c r="G984" s="17" t="str">
        <f>IF(F984="","",IF(64*F984=0,"",64*F984))</f>
        <v/>
      </c>
      <c r="H984" s="19" t="str">
        <f>IF(Dati!E984="","",Dati!E984)</f>
        <v/>
      </c>
      <c r="I984" s="19" t="str">
        <f>IFERROR(IF(OR(C984="",C984=0),"",H984/C984*100),"")</f>
        <v/>
      </c>
      <c r="J984" s="20" t="str">
        <f>IF(Dati!F984="","",Dati!F984)</f>
        <v/>
      </c>
      <c r="K984" s="19" t="str">
        <f>IF(OR(H984="",J984=""),"",IF(H984*J984=0,"",H984*J984))</f>
        <v/>
      </c>
      <c r="L984" s="19" t="str">
        <f>IF(A984="","",IFERROR(IF(SUMPRODUCT((ISNUMBER(A$2:A984))*(A$2:A984&gt;1000)*(MONTH(IF(ISNUMBER(A$2:A984),A$2:A984,1))=MONTH(A984))*(YEAR(IF(ISNUMBER(A$2:A984),A$2:A984,1))=YEAR(A984))*IF(ISNUMBER(K$2:K984),K$2:K984,0))=0,"",SUMPRODUCT((ISNUMBER(A$2:A984))*(A$2:A984&gt;1000)*(MONTH(IF(ISNUMBER(A$2:A984),A$2:A984,1))=MONTH(A984))*(YEAR(IF(ISNUMBER(A$2:A984),A$2:A984,1))=YEAR(A984))*IF(ISNUMBER(K$2:K984),K$2:K984,0))),""))</f>
        <v/>
      </c>
      <c r="M984" s="21" t="str">
        <f>IF(A984="","",IFERROR(IF(SUMIF(N$2:N984,"CASA",K$2:K984)=0,"",SUMIF(N$2:N984,"CASA",K$2:K984)),""))</f>
        <v/>
      </c>
      <c r="N984" s="17" t="str">
        <f>IF(J984="","",IF(J984=0.2,"CASA",IF(Dati!G984="","",Dati!G984)))</f>
        <v/>
      </c>
    </row>
    <row r="985" spans="1:14" ht="15" customHeight="1" x14ac:dyDescent="0.2">
      <c r="A985" s="23" t="str">
        <f>IF(Dati!A985="","",Dati!A985)</f>
        <v/>
      </c>
      <c r="B985" s="17" t="str">
        <f>IF(Dati!B985="","",Dati!B985)</f>
        <v/>
      </c>
      <c r="C985" s="17" t="str">
        <f>IF(B985="","",IF(ISNUMBER(B984),IF(B985-B984&lt;0,B985,IF(B985-B984=0,"",B985-B984)),B985))</f>
        <v/>
      </c>
      <c r="D985" s="18" t="str">
        <f>IF(Dati!C985="","",IF(Dati!C985&gt;1,Dati!C985/100,Dati!C985))</f>
        <v/>
      </c>
      <c r="E985" s="18" t="str">
        <f>IF(Dati!D985="","",IF(Dati!D985&gt;1,Dati!D985/100,Dati!D985))</f>
        <v/>
      </c>
      <c r="F985" s="18" t="str">
        <f>IF(OR(D985="",E985=""),"",IF(OR(D985&gt;1,E985&gt;1),(E985-D985)/100,E985-D985))</f>
        <v/>
      </c>
      <c r="G985" s="17" t="str">
        <f>IF(F985="","",IF(64*F985=0,"",64*F985))</f>
        <v/>
      </c>
      <c r="H985" s="19" t="str">
        <f>IF(Dati!E985="","",Dati!E985)</f>
        <v/>
      </c>
      <c r="I985" s="19" t="str">
        <f>IFERROR(IF(OR(C985="",C985=0),"",H985/C985*100),"")</f>
        <v/>
      </c>
      <c r="J985" s="20" t="str">
        <f>IF(Dati!F985="","",Dati!F985)</f>
        <v/>
      </c>
      <c r="K985" s="19" t="str">
        <f>IF(OR(H985="",J985=""),"",IF(H985*J985=0,"",H985*J985))</f>
        <v/>
      </c>
      <c r="L985" s="19" t="str">
        <f>IF(A985="","",IFERROR(IF(SUMPRODUCT((ISNUMBER(A$2:A985))*(A$2:A985&gt;1000)*(MONTH(IF(ISNUMBER(A$2:A985),A$2:A985,1))=MONTH(A985))*(YEAR(IF(ISNUMBER(A$2:A985),A$2:A985,1))=YEAR(A985))*IF(ISNUMBER(K$2:K985),K$2:K985,0))=0,"",SUMPRODUCT((ISNUMBER(A$2:A985))*(A$2:A985&gt;1000)*(MONTH(IF(ISNUMBER(A$2:A985),A$2:A985,1))=MONTH(A985))*(YEAR(IF(ISNUMBER(A$2:A985),A$2:A985,1))=YEAR(A985))*IF(ISNUMBER(K$2:K985),K$2:K985,0))),""))</f>
        <v/>
      </c>
      <c r="M985" s="21" t="str">
        <f>IF(A985="","",IFERROR(IF(SUMIF(N$2:N985,"CASA",K$2:K985)=0,"",SUMIF(N$2:N985,"CASA",K$2:K985)),""))</f>
        <v/>
      </c>
      <c r="N985" s="17" t="str">
        <f>IF(J985="","",IF(J985=0.2,"CASA",IF(Dati!G985="","",Dati!G985)))</f>
        <v/>
      </c>
    </row>
    <row r="986" spans="1:14" ht="15" customHeight="1" x14ac:dyDescent="0.2">
      <c r="A986" s="23" t="str">
        <f>IF(Dati!A986="","",Dati!A986)</f>
        <v/>
      </c>
      <c r="B986" s="17" t="str">
        <f>IF(Dati!B986="","",Dati!B986)</f>
        <v/>
      </c>
      <c r="C986" s="17" t="str">
        <f>IF(B986="","",IF(ISNUMBER(B985),IF(B986-B985&lt;0,B986,IF(B986-B985=0,"",B986-B985)),B986))</f>
        <v/>
      </c>
      <c r="D986" s="18" t="str">
        <f>IF(Dati!C986="","",IF(Dati!C986&gt;1,Dati!C986/100,Dati!C986))</f>
        <v/>
      </c>
      <c r="E986" s="18" t="str">
        <f>IF(Dati!D986="","",IF(Dati!D986&gt;1,Dati!D986/100,Dati!D986))</f>
        <v/>
      </c>
      <c r="F986" s="18" t="str">
        <f>IF(OR(D986="",E986=""),"",IF(OR(D986&gt;1,E986&gt;1),(E986-D986)/100,E986-D986))</f>
        <v/>
      </c>
      <c r="G986" s="17" t="str">
        <f>IF(F986="","",IF(64*F986=0,"",64*F986))</f>
        <v/>
      </c>
      <c r="H986" s="19" t="str">
        <f>IF(Dati!E986="","",Dati!E986)</f>
        <v/>
      </c>
      <c r="I986" s="19" t="str">
        <f>IFERROR(IF(OR(C986="",C986=0),"",H986/C986*100),"")</f>
        <v/>
      </c>
      <c r="J986" s="20" t="str">
        <f>IF(Dati!F986="","",Dati!F986)</f>
        <v/>
      </c>
      <c r="K986" s="19" t="str">
        <f>IF(OR(H986="",J986=""),"",IF(H986*J986=0,"",H986*J986))</f>
        <v/>
      </c>
      <c r="L986" s="19" t="str">
        <f>IF(A986="","",IFERROR(IF(SUMPRODUCT((ISNUMBER(A$2:A986))*(A$2:A986&gt;1000)*(MONTH(IF(ISNUMBER(A$2:A986),A$2:A986,1))=MONTH(A986))*(YEAR(IF(ISNUMBER(A$2:A986),A$2:A986,1))=YEAR(A986))*IF(ISNUMBER(K$2:K986),K$2:K986,0))=0,"",SUMPRODUCT((ISNUMBER(A$2:A986))*(A$2:A986&gt;1000)*(MONTH(IF(ISNUMBER(A$2:A986),A$2:A986,1))=MONTH(A986))*(YEAR(IF(ISNUMBER(A$2:A986),A$2:A986,1))=YEAR(A986))*IF(ISNUMBER(K$2:K986),K$2:K986,0))),""))</f>
        <v/>
      </c>
      <c r="M986" s="21" t="str">
        <f>IF(A986="","",IFERROR(IF(SUMIF(N$2:N986,"CASA",K$2:K986)=0,"",SUMIF(N$2:N986,"CASA",K$2:K986)),""))</f>
        <v/>
      </c>
      <c r="N986" s="17" t="str">
        <f>IF(J986="","",IF(J986=0.2,"CASA",IF(Dati!G986="","",Dati!G986)))</f>
        <v/>
      </c>
    </row>
    <row r="987" spans="1:14" ht="15" customHeight="1" x14ac:dyDescent="0.2">
      <c r="A987" s="23" t="str">
        <f>IF(Dati!A987="","",Dati!A987)</f>
        <v/>
      </c>
      <c r="B987" s="17" t="str">
        <f>IF(Dati!B987="","",Dati!B987)</f>
        <v/>
      </c>
      <c r="C987" s="17" t="str">
        <f>IF(B987="","",IF(ISNUMBER(B986),IF(B987-B986&lt;0,B987,IF(B987-B986=0,"",B987-B986)),B987))</f>
        <v/>
      </c>
      <c r="D987" s="18" t="str">
        <f>IF(Dati!C987="","",IF(Dati!C987&gt;1,Dati!C987/100,Dati!C987))</f>
        <v/>
      </c>
      <c r="E987" s="18" t="str">
        <f>IF(Dati!D987="","",IF(Dati!D987&gt;1,Dati!D987/100,Dati!D987))</f>
        <v/>
      </c>
      <c r="F987" s="18" t="str">
        <f>IF(OR(D987="",E987=""),"",IF(OR(D987&gt;1,E987&gt;1),(E987-D987)/100,E987-D987))</f>
        <v/>
      </c>
      <c r="G987" s="17" t="str">
        <f>IF(F987="","",IF(64*F987=0,"",64*F987))</f>
        <v/>
      </c>
      <c r="H987" s="19" t="str">
        <f>IF(Dati!E987="","",Dati!E987)</f>
        <v/>
      </c>
      <c r="I987" s="19" t="str">
        <f>IFERROR(IF(OR(C987="",C987=0),"",H987/C987*100),"")</f>
        <v/>
      </c>
      <c r="J987" s="20" t="str">
        <f>IF(Dati!F987="","",Dati!F987)</f>
        <v/>
      </c>
      <c r="K987" s="19" t="str">
        <f>IF(OR(H987="",J987=""),"",IF(H987*J987=0,"",H987*J987))</f>
        <v/>
      </c>
      <c r="L987" s="19" t="str">
        <f>IF(A987="","",IFERROR(IF(SUMPRODUCT((ISNUMBER(A$2:A987))*(A$2:A987&gt;1000)*(MONTH(IF(ISNUMBER(A$2:A987),A$2:A987,1))=MONTH(A987))*(YEAR(IF(ISNUMBER(A$2:A987),A$2:A987,1))=YEAR(A987))*IF(ISNUMBER(K$2:K987),K$2:K987,0))=0,"",SUMPRODUCT((ISNUMBER(A$2:A987))*(A$2:A987&gt;1000)*(MONTH(IF(ISNUMBER(A$2:A987),A$2:A987,1))=MONTH(A987))*(YEAR(IF(ISNUMBER(A$2:A987),A$2:A987,1))=YEAR(A987))*IF(ISNUMBER(K$2:K987),K$2:K987,0))),""))</f>
        <v/>
      </c>
      <c r="M987" s="21" t="str">
        <f>IF(A987="","",IFERROR(IF(SUMIF(N$2:N987,"CASA",K$2:K987)=0,"",SUMIF(N$2:N987,"CASA",K$2:K987)),""))</f>
        <v/>
      </c>
      <c r="N987" s="17" t="str">
        <f>IF(J987="","",IF(J987=0.2,"CASA",IF(Dati!G987="","",Dati!G987)))</f>
        <v/>
      </c>
    </row>
    <row r="988" spans="1:14" ht="15" customHeight="1" x14ac:dyDescent="0.2">
      <c r="A988" s="23" t="str">
        <f>IF(Dati!A988="","",Dati!A988)</f>
        <v/>
      </c>
      <c r="B988" s="17" t="str">
        <f>IF(Dati!B988="","",Dati!B988)</f>
        <v/>
      </c>
      <c r="C988" s="17" t="str">
        <f>IF(B988="","",IF(ISNUMBER(B987),IF(B988-B987&lt;0,B988,IF(B988-B987=0,"",B988-B987)),B988))</f>
        <v/>
      </c>
      <c r="D988" s="18" t="str">
        <f>IF(Dati!C988="","",IF(Dati!C988&gt;1,Dati!C988/100,Dati!C988))</f>
        <v/>
      </c>
      <c r="E988" s="18" t="str">
        <f>IF(Dati!D988="","",IF(Dati!D988&gt;1,Dati!D988/100,Dati!D988))</f>
        <v/>
      </c>
      <c r="F988" s="18" t="str">
        <f>IF(OR(D988="",E988=""),"",IF(OR(D988&gt;1,E988&gt;1),(E988-D988)/100,E988-D988))</f>
        <v/>
      </c>
      <c r="G988" s="17" t="str">
        <f>IF(F988="","",IF(64*F988=0,"",64*F988))</f>
        <v/>
      </c>
      <c r="H988" s="19" t="str">
        <f>IF(Dati!E988="","",Dati!E988)</f>
        <v/>
      </c>
      <c r="I988" s="19" t="str">
        <f>IFERROR(IF(OR(C988="",C988=0),"",H988/C988*100),"")</f>
        <v/>
      </c>
      <c r="J988" s="20" t="str">
        <f>IF(Dati!F988="","",Dati!F988)</f>
        <v/>
      </c>
      <c r="K988" s="19" t="str">
        <f>IF(OR(H988="",J988=""),"",IF(H988*J988=0,"",H988*J988))</f>
        <v/>
      </c>
      <c r="L988" s="19" t="str">
        <f>IF(A988="","",IFERROR(IF(SUMPRODUCT((ISNUMBER(A$2:A988))*(A$2:A988&gt;1000)*(MONTH(IF(ISNUMBER(A$2:A988),A$2:A988,1))=MONTH(A988))*(YEAR(IF(ISNUMBER(A$2:A988),A$2:A988,1))=YEAR(A988))*IF(ISNUMBER(K$2:K988),K$2:K988,0))=0,"",SUMPRODUCT((ISNUMBER(A$2:A988))*(A$2:A988&gt;1000)*(MONTH(IF(ISNUMBER(A$2:A988),A$2:A988,1))=MONTH(A988))*(YEAR(IF(ISNUMBER(A$2:A988),A$2:A988,1))=YEAR(A988))*IF(ISNUMBER(K$2:K988),K$2:K988,0))),""))</f>
        <v/>
      </c>
      <c r="M988" s="21" t="str">
        <f>IF(A988="","",IFERROR(IF(SUMIF(N$2:N988,"CASA",K$2:K988)=0,"",SUMIF(N$2:N988,"CASA",K$2:K988)),""))</f>
        <v/>
      </c>
      <c r="N988" s="17" t="str">
        <f>IF(J988="","",IF(J988=0.2,"CASA",IF(Dati!G988="","",Dati!G988)))</f>
        <v/>
      </c>
    </row>
    <row r="989" spans="1:14" ht="15" customHeight="1" x14ac:dyDescent="0.2">
      <c r="A989" s="23" t="str">
        <f>IF(Dati!A989="","",Dati!A989)</f>
        <v/>
      </c>
      <c r="B989" s="17" t="str">
        <f>IF(Dati!B989="","",Dati!B989)</f>
        <v/>
      </c>
      <c r="C989" s="17" t="str">
        <f>IF(B989="","",IF(ISNUMBER(B988),IF(B989-B988&lt;0,B989,IF(B989-B988=0,"",B989-B988)),B989))</f>
        <v/>
      </c>
      <c r="D989" s="18" t="str">
        <f>IF(Dati!C989="","",IF(Dati!C989&gt;1,Dati!C989/100,Dati!C989))</f>
        <v/>
      </c>
      <c r="E989" s="18" t="str">
        <f>IF(Dati!D989="","",IF(Dati!D989&gt;1,Dati!D989/100,Dati!D989))</f>
        <v/>
      </c>
      <c r="F989" s="18" t="str">
        <f>IF(OR(D989="",E989=""),"",IF(OR(D989&gt;1,E989&gt;1),(E989-D989)/100,E989-D989))</f>
        <v/>
      </c>
      <c r="G989" s="17" t="str">
        <f>IF(F989="","",IF(64*F989=0,"",64*F989))</f>
        <v/>
      </c>
      <c r="H989" s="19" t="str">
        <f>IF(Dati!E989="","",Dati!E989)</f>
        <v/>
      </c>
      <c r="I989" s="19" t="str">
        <f>IFERROR(IF(OR(C989="",C989=0),"",H989/C989*100),"")</f>
        <v/>
      </c>
      <c r="J989" s="20" t="str">
        <f>IF(Dati!F989="","",Dati!F989)</f>
        <v/>
      </c>
      <c r="K989" s="19" t="str">
        <f>IF(OR(H989="",J989=""),"",IF(H989*J989=0,"",H989*J989))</f>
        <v/>
      </c>
      <c r="L989" s="19" t="str">
        <f>IF(A989="","",IFERROR(IF(SUMPRODUCT((ISNUMBER(A$2:A989))*(A$2:A989&gt;1000)*(MONTH(IF(ISNUMBER(A$2:A989),A$2:A989,1))=MONTH(A989))*(YEAR(IF(ISNUMBER(A$2:A989),A$2:A989,1))=YEAR(A989))*IF(ISNUMBER(K$2:K989),K$2:K989,0))=0,"",SUMPRODUCT((ISNUMBER(A$2:A989))*(A$2:A989&gt;1000)*(MONTH(IF(ISNUMBER(A$2:A989),A$2:A989,1))=MONTH(A989))*(YEAR(IF(ISNUMBER(A$2:A989),A$2:A989,1))=YEAR(A989))*IF(ISNUMBER(K$2:K989),K$2:K989,0))),""))</f>
        <v/>
      </c>
      <c r="M989" s="21" t="str">
        <f>IF(A989="","",IFERROR(IF(SUMIF(N$2:N989,"CASA",K$2:K989)=0,"",SUMIF(N$2:N989,"CASA",K$2:K989)),""))</f>
        <v/>
      </c>
      <c r="N989" s="17" t="str">
        <f>IF(J989="","",IF(J989=0.2,"CASA",IF(Dati!G989="","",Dati!G989)))</f>
        <v/>
      </c>
    </row>
    <row r="990" spans="1:14" ht="15" customHeight="1" x14ac:dyDescent="0.2">
      <c r="A990" s="23" t="str">
        <f>IF(Dati!A990="","",Dati!A990)</f>
        <v/>
      </c>
      <c r="B990" s="17" t="str">
        <f>IF(Dati!B990="","",Dati!B990)</f>
        <v/>
      </c>
      <c r="C990" s="17" t="str">
        <f>IF(B990="","",IF(ISNUMBER(B989),IF(B990-B989&lt;0,B990,IF(B990-B989=0,"",B990-B989)),B990))</f>
        <v/>
      </c>
      <c r="D990" s="18" t="str">
        <f>IF(Dati!C990="","",IF(Dati!C990&gt;1,Dati!C990/100,Dati!C990))</f>
        <v/>
      </c>
      <c r="E990" s="18" t="str">
        <f>IF(Dati!D990="","",IF(Dati!D990&gt;1,Dati!D990/100,Dati!D990))</f>
        <v/>
      </c>
      <c r="F990" s="18" t="str">
        <f>IF(OR(D990="",E990=""),"",IF(OR(D990&gt;1,E990&gt;1),(E990-D990)/100,E990-D990))</f>
        <v/>
      </c>
      <c r="G990" s="17" t="str">
        <f>IF(F990="","",IF(64*F990=0,"",64*F990))</f>
        <v/>
      </c>
      <c r="H990" s="19" t="str">
        <f>IF(Dati!E990="","",Dati!E990)</f>
        <v/>
      </c>
      <c r="I990" s="19" t="str">
        <f>IFERROR(IF(OR(C990="",C990=0),"",H990/C990*100),"")</f>
        <v/>
      </c>
      <c r="J990" s="20" t="str">
        <f>IF(Dati!F990="","",Dati!F990)</f>
        <v/>
      </c>
      <c r="K990" s="19" t="str">
        <f>IF(OR(H990="",J990=""),"",IF(H990*J990=0,"",H990*J990))</f>
        <v/>
      </c>
      <c r="L990" s="19" t="str">
        <f>IF(A990="","",IFERROR(IF(SUMPRODUCT((ISNUMBER(A$2:A990))*(A$2:A990&gt;1000)*(MONTH(IF(ISNUMBER(A$2:A990),A$2:A990,1))=MONTH(A990))*(YEAR(IF(ISNUMBER(A$2:A990),A$2:A990,1))=YEAR(A990))*IF(ISNUMBER(K$2:K990),K$2:K990,0))=0,"",SUMPRODUCT((ISNUMBER(A$2:A990))*(A$2:A990&gt;1000)*(MONTH(IF(ISNUMBER(A$2:A990),A$2:A990,1))=MONTH(A990))*(YEAR(IF(ISNUMBER(A$2:A990),A$2:A990,1))=YEAR(A990))*IF(ISNUMBER(K$2:K990),K$2:K990,0))),""))</f>
        <v/>
      </c>
      <c r="M990" s="21" t="str">
        <f>IF(A990="","",IFERROR(IF(SUMIF(N$2:N990,"CASA",K$2:K990)=0,"",SUMIF(N$2:N990,"CASA",K$2:K990)),""))</f>
        <v/>
      </c>
      <c r="N990" s="17" t="str">
        <f>IF(J990="","",IF(J990=0.2,"CASA",IF(Dati!G990="","",Dati!G990)))</f>
        <v/>
      </c>
    </row>
    <row r="991" spans="1:14" ht="15" customHeight="1" x14ac:dyDescent="0.2">
      <c r="A991" s="23" t="str">
        <f>IF(Dati!A991="","",Dati!A991)</f>
        <v/>
      </c>
      <c r="B991" s="17" t="str">
        <f>IF(Dati!B991="","",Dati!B991)</f>
        <v/>
      </c>
      <c r="C991" s="17" t="str">
        <f>IF(B991="","",IF(ISNUMBER(B990),IF(B991-B990&lt;0,B991,IF(B991-B990=0,"",B991-B990)),B991))</f>
        <v/>
      </c>
      <c r="D991" s="18" t="str">
        <f>IF(Dati!C991="","",IF(Dati!C991&gt;1,Dati!C991/100,Dati!C991))</f>
        <v/>
      </c>
      <c r="E991" s="18" t="str">
        <f>IF(Dati!D991="","",IF(Dati!D991&gt;1,Dati!D991/100,Dati!D991))</f>
        <v/>
      </c>
      <c r="F991" s="18" t="str">
        <f>IF(OR(D991="",E991=""),"",IF(OR(D991&gt;1,E991&gt;1),(E991-D991)/100,E991-D991))</f>
        <v/>
      </c>
      <c r="G991" s="17" t="str">
        <f>IF(F991="","",IF(64*F991=0,"",64*F991))</f>
        <v/>
      </c>
      <c r="H991" s="19" t="str">
        <f>IF(Dati!E991="","",Dati!E991)</f>
        <v/>
      </c>
      <c r="I991" s="19" t="str">
        <f>IFERROR(IF(OR(C991="",C991=0),"",H991/C991*100),"")</f>
        <v/>
      </c>
      <c r="J991" s="20" t="str">
        <f>IF(Dati!F991="","",Dati!F991)</f>
        <v/>
      </c>
      <c r="K991" s="19" t="str">
        <f>IF(OR(H991="",J991=""),"",IF(H991*J991=0,"",H991*J991))</f>
        <v/>
      </c>
      <c r="L991" s="19" t="str">
        <f>IF(A991="","",IFERROR(IF(SUMPRODUCT((ISNUMBER(A$2:A991))*(A$2:A991&gt;1000)*(MONTH(IF(ISNUMBER(A$2:A991),A$2:A991,1))=MONTH(A991))*(YEAR(IF(ISNUMBER(A$2:A991),A$2:A991,1))=YEAR(A991))*IF(ISNUMBER(K$2:K991),K$2:K991,0))=0,"",SUMPRODUCT((ISNUMBER(A$2:A991))*(A$2:A991&gt;1000)*(MONTH(IF(ISNUMBER(A$2:A991),A$2:A991,1))=MONTH(A991))*(YEAR(IF(ISNUMBER(A$2:A991),A$2:A991,1))=YEAR(A991))*IF(ISNUMBER(K$2:K991),K$2:K991,0))),""))</f>
        <v/>
      </c>
      <c r="M991" s="21" t="str">
        <f>IF(A991="","",IFERROR(IF(SUMIF(N$2:N991,"CASA",K$2:K991)=0,"",SUMIF(N$2:N991,"CASA",K$2:K991)),""))</f>
        <v/>
      </c>
      <c r="N991" s="17" t="str">
        <f>IF(J991="","",IF(J991=0.2,"CASA",IF(Dati!G991="","",Dati!G991)))</f>
        <v/>
      </c>
    </row>
    <row r="992" spans="1:14" ht="15" customHeight="1" x14ac:dyDescent="0.2">
      <c r="A992" s="23" t="str">
        <f>IF(Dati!A992="","",Dati!A992)</f>
        <v/>
      </c>
      <c r="B992" s="17" t="str">
        <f>IF(Dati!B992="","",Dati!B992)</f>
        <v/>
      </c>
      <c r="C992" s="17" t="str">
        <f>IF(B992="","",IF(ISNUMBER(B991),IF(B992-B991&lt;0,B992,IF(B992-B991=0,"",B992-B991)),B992))</f>
        <v/>
      </c>
      <c r="D992" s="18" t="str">
        <f>IF(Dati!C992="","",IF(Dati!C992&gt;1,Dati!C992/100,Dati!C992))</f>
        <v/>
      </c>
      <c r="E992" s="18" t="str">
        <f>IF(Dati!D992="","",IF(Dati!D992&gt;1,Dati!D992/100,Dati!D992))</f>
        <v/>
      </c>
      <c r="F992" s="18" t="str">
        <f>IF(OR(D992="",E992=""),"",IF(OR(D992&gt;1,E992&gt;1),(E992-D992)/100,E992-D992))</f>
        <v/>
      </c>
      <c r="G992" s="17" t="str">
        <f>IF(F992="","",IF(64*F992=0,"",64*F992))</f>
        <v/>
      </c>
      <c r="H992" s="19" t="str">
        <f>IF(Dati!E992="","",Dati!E992)</f>
        <v/>
      </c>
      <c r="I992" s="19" t="str">
        <f>IFERROR(IF(OR(C992="",C992=0),"",H992/C992*100),"")</f>
        <v/>
      </c>
      <c r="J992" s="20" t="str">
        <f>IF(Dati!F992="","",Dati!F992)</f>
        <v/>
      </c>
      <c r="K992" s="19" t="str">
        <f>IF(OR(H992="",J992=""),"",IF(H992*J992=0,"",H992*J992))</f>
        <v/>
      </c>
      <c r="L992" s="19" t="str">
        <f>IF(A992="","",IFERROR(IF(SUMPRODUCT((ISNUMBER(A$2:A992))*(A$2:A992&gt;1000)*(MONTH(IF(ISNUMBER(A$2:A992),A$2:A992,1))=MONTH(A992))*(YEAR(IF(ISNUMBER(A$2:A992),A$2:A992,1))=YEAR(A992))*IF(ISNUMBER(K$2:K992),K$2:K992,0))=0,"",SUMPRODUCT((ISNUMBER(A$2:A992))*(A$2:A992&gt;1000)*(MONTH(IF(ISNUMBER(A$2:A992),A$2:A992,1))=MONTH(A992))*(YEAR(IF(ISNUMBER(A$2:A992),A$2:A992,1))=YEAR(A992))*IF(ISNUMBER(K$2:K992),K$2:K992,0))),""))</f>
        <v/>
      </c>
      <c r="M992" s="21" t="str">
        <f>IF(A992="","",IFERROR(IF(SUMIF(N$2:N992,"CASA",K$2:K992)=0,"",SUMIF(N$2:N992,"CASA",K$2:K992)),""))</f>
        <v/>
      </c>
      <c r="N992" s="17" t="str">
        <f>IF(J992="","",IF(J992=0.2,"CASA",IF(Dati!G992="","",Dati!G992)))</f>
        <v/>
      </c>
    </row>
    <row r="993" spans="1:14" ht="15" customHeight="1" x14ac:dyDescent="0.2">
      <c r="A993" s="23" t="str">
        <f>IF(Dati!A993="","",Dati!A993)</f>
        <v/>
      </c>
      <c r="B993" s="17" t="str">
        <f>IF(Dati!B993="","",Dati!B993)</f>
        <v/>
      </c>
      <c r="C993" s="17" t="str">
        <f>IF(B993="","",IF(ISNUMBER(B992),IF(B993-B992&lt;0,B993,IF(B993-B992=0,"",B993-B992)),B993))</f>
        <v/>
      </c>
      <c r="D993" s="18" t="str">
        <f>IF(Dati!C993="","",IF(Dati!C993&gt;1,Dati!C993/100,Dati!C993))</f>
        <v/>
      </c>
      <c r="E993" s="18" t="str">
        <f>IF(Dati!D993="","",IF(Dati!D993&gt;1,Dati!D993/100,Dati!D993))</f>
        <v/>
      </c>
      <c r="F993" s="18" t="str">
        <f>IF(OR(D993="",E993=""),"",IF(OR(D993&gt;1,E993&gt;1),(E993-D993)/100,E993-D993))</f>
        <v/>
      </c>
      <c r="G993" s="17" t="str">
        <f>IF(F993="","",IF(64*F993=0,"",64*F993))</f>
        <v/>
      </c>
      <c r="H993" s="19" t="str">
        <f>IF(Dati!E993="","",Dati!E993)</f>
        <v/>
      </c>
      <c r="I993" s="19" t="str">
        <f>IFERROR(IF(OR(C993="",C993=0),"",H993/C993*100),"")</f>
        <v/>
      </c>
      <c r="J993" s="20" t="str">
        <f>IF(Dati!F993="","",Dati!F993)</f>
        <v/>
      </c>
      <c r="K993" s="19" t="str">
        <f>IF(OR(H993="",J993=""),"",IF(H993*J993=0,"",H993*J993))</f>
        <v/>
      </c>
      <c r="L993" s="19" t="str">
        <f>IF(A993="","",IFERROR(IF(SUMPRODUCT((ISNUMBER(A$2:A993))*(A$2:A993&gt;1000)*(MONTH(IF(ISNUMBER(A$2:A993),A$2:A993,1))=MONTH(A993))*(YEAR(IF(ISNUMBER(A$2:A993),A$2:A993,1))=YEAR(A993))*IF(ISNUMBER(K$2:K993),K$2:K993,0))=0,"",SUMPRODUCT((ISNUMBER(A$2:A993))*(A$2:A993&gt;1000)*(MONTH(IF(ISNUMBER(A$2:A993),A$2:A993,1))=MONTH(A993))*(YEAR(IF(ISNUMBER(A$2:A993),A$2:A993,1))=YEAR(A993))*IF(ISNUMBER(K$2:K993),K$2:K993,0))),""))</f>
        <v/>
      </c>
      <c r="M993" s="21" t="str">
        <f>IF(A993="","",IFERROR(IF(SUMIF(N$2:N993,"CASA",K$2:K993)=0,"",SUMIF(N$2:N993,"CASA",K$2:K993)),""))</f>
        <v/>
      </c>
      <c r="N993" s="17" t="str">
        <f>IF(J993="","",IF(J993=0.2,"CASA",IF(Dati!G993="","",Dati!G993)))</f>
        <v/>
      </c>
    </row>
    <row r="994" spans="1:14" ht="15" customHeight="1" x14ac:dyDescent="0.2">
      <c r="A994" s="23" t="str">
        <f>IF(Dati!A994="","",Dati!A994)</f>
        <v/>
      </c>
      <c r="B994" s="17" t="str">
        <f>IF(Dati!B994="","",Dati!B994)</f>
        <v/>
      </c>
      <c r="C994" s="17" t="str">
        <f>IF(B994="","",IF(ISNUMBER(B993),IF(B994-B993&lt;0,B994,IF(B994-B993=0,"",B994-B993)),B994))</f>
        <v/>
      </c>
      <c r="D994" s="18" t="str">
        <f>IF(Dati!C994="","",IF(Dati!C994&gt;1,Dati!C994/100,Dati!C994))</f>
        <v/>
      </c>
      <c r="E994" s="18" t="str">
        <f>IF(Dati!D994="","",IF(Dati!D994&gt;1,Dati!D994/100,Dati!D994))</f>
        <v/>
      </c>
      <c r="F994" s="18" t="str">
        <f>IF(OR(D994="",E994=""),"",IF(OR(D994&gt;1,E994&gt;1),(E994-D994)/100,E994-D994))</f>
        <v/>
      </c>
      <c r="G994" s="17" t="str">
        <f>IF(F994="","",IF(64*F994=0,"",64*F994))</f>
        <v/>
      </c>
      <c r="H994" s="19" t="str">
        <f>IF(Dati!E994="","",Dati!E994)</f>
        <v/>
      </c>
      <c r="I994" s="19" t="str">
        <f>IFERROR(IF(OR(C994="",C994=0),"",H994/C994*100),"")</f>
        <v/>
      </c>
      <c r="J994" s="20" t="str">
        <f>IF(Dati!F994="","",Dati!F994)</f>
        <v/>
      </c>
      <c r="K994" s="19" t="str">
        <f>IF(OR(H994="",J994=""),"",IF(H994*J994=0,"",H994*J994))</f>
        <v/>
      </c>
      <c r="L994" s="19" t="str">
        <f>IF(A994="","",IFERROR(IF(SUMPRODUCT((ISNUMBER(A$2:A994))*(A$2:A994&gt;1000)*(MONTH(IF(ISNUMBER(A$2:A994),A$2:A994,1))=MONTH(A994))*(YEAR(IF(ISNUMBER(A$2:A994),A$2:A994,1))=YEAR(A994))*IF(ISNUMBER(K$2:K994),K$2:K994,0))=0,"",SUMPRODUCT((ISNUMBER(A$2:A994))*(A$2:A994&gt;1000)*(MONTH(IF(ISNUMBER(A$2:A994),A$2:A994,1))=MONTH(A994))*(YEAR(IF(ISNUMBER(A$2:A994),A$2:A994,1))=YEAR(A994))*IF(ISNUMBER(K$2:K994),K$2:K994,0))),""))</f>
        <v/>
      </c>
      <c r="M994" s="21" t="str">
        <f>IF(A994="","",IFERROR(IF(SUMIF(N$2:N994,"CASA",K$2:K994)=0,"",SUMIF(N$2:N994,"CASA",K$2:K994)),""))</f>
        <v/>
      </c>
      <c r="N994" s="17" t="str">
        <f>IF(J994="","",IF(J994=0.2,"CASA",IF(Dati!G994="","",Dati!G994)))</f>
        <v/>
      </c>
    </row>
    <row r="995" spans="1:14" ht="15" customHeight="1" x14ac:dyDescent="0.2">
      <c r="A995" s="23" t="str">
        <f>IF(Dati!A995="","",Dati!A995)</f>
        <v/>
      </c>
      <c r="B995" s="17" t="str">
        <f>IF(Dati!B995="","",Dati!B995)</f>
        <v/>
      </c>
      <c r="C995" s="17" t="str">
        <f>IF(B995="","",IF(ISNUMBER(B994),IF(B995-B994&lt;0,B995,IF(B995-B994=0,"",B995-B994)),B995))</f>
        <v/>
      </c>
      <c r="D995" s="18" t="str">
        <f>IF(Dati!C995="","",IF(Dati!C995&gt;1,Dati!C995/100,Dati!C995))</f>
        <v/>
      </c>
      <c r="E995" s="18" t="str">
        <f>IF(Dati!D995="","",IF(Dati!D995&gt;1,Dati!D995/100,Dati!D995))</f>
        <v/>
      </c>
      <c r="F995" s="18" t="str">
        <f>IF(OR(D995="",E995=""),"",IF(OR(D995&gt;1,E995&gt;1),(E995-D995)/100,E995-D995))</f>
        <v/>
      </c>
      <c r="G995" s="17" t="str">
        <f>IF(F995="","",IF(64*F995=0,"",64*F995))</f>
        <v/>
      </c>
      <c r="H995" s="19" t="str">
        <f>IF(Dati!E995="","",Dati!E995)</f>
        <v/>
      </c>
      <c r="I995" s="19" t="str">
        <f>IFERROR(IF(OR(C995="",C995=0),"",H995/C995*100),"")</f>
        <v/>
      </c>
      <c r="J995" s="20" t="str">
        <f>IF(Dati!F995="","",Dati!F995)</f>
        <v/>
      </c>
      <c r="K995" s="19" t="str">
        <f>IF(OR(H995="",J995=""),"",IF(H995*J995=0,"",H995*J995))</f>
        <v/>
      </c>
      <c r="L995" s="19" t="str">
        <f>IF(A995="","",IFERROR(IF(SUMPRODUCT((ISNUMBER(A$2:A995))*(A$2:A995&gt;1000)*(MONTH(IF(ISNUMBER(A$2:A995),A$2:A995,1))=MONTH(A995))*(YEAR(IF(ISNUMBER(A$2:A995),A$2:A995,1))=YEAR(A995))*IF(ISNUMBER(K$2:K995),K$2:K995,0))=0,"",SUMPRODUCT((ISNUMBER(A$2:A995))*(A$2:A995&gt;1000)*(MONTH(IF(ISNUMBER(A$2:A995),A$2:A995,1))=MONTH(A995))*(YEAR(IF(ISNUMBER(A$2:A995),A$2:A995,1))=YEAR(A995))*IF(ISNUMBER(K$2:K995),K$2:K995,0))),""))</f>
        <v/>
      </c>
      <c r="M995" s="21" t="str">
        <f>IF(A995="","",IFERROR(IF(SUMIF(N$2:N995,"CASA",K$2:K995)=0,"",SUMIF(N$2:N995,"CASA",K$2:K995)),""))</f>
        <v/>
      </c>
      <c r="N995" s="17" t="str">
        <f>IF(J995="","",IF(J995=0.2,"CASA",IF(Dati!G995="","",Dati!G995)))</f>
        <v/>
      </c>
    </row>
    <row r="996" spans="1:14" ht="15" customHeight="1" x14ac:dyDescent="0.2">
      <c r="A996" s="23" t="str">
        <f>IF(Dati!A996="","",Dati!A996)</f>
        <v/>
      </c>
      <c r="B996" s="17" t="str">
        <f>IF(Dati!B996="","",Dati!B996)</f>
        <v/>
      </c>
      <c r="C996" s="17" t="str">
        <f>IF(B996="","",IF(ISNUMBER(B995),IF(B996-B995&lt;0,B996,IF(B996-B995=0,"",B996-B995)),B996))</f>
        <v/>
      </c>
      <c r="D996" s="18" t="str">
        <f>IF(Dati!C996="","",IF(Dati!C996&gt;1,Dati!C996/100,Dati!C996))</f>
        <v/>
      </c>
      <c r="E996" s="18" t="str">
        <f>IF(Dati!D996="","",IF(Dati!D996&gt;1,Dati!D996/100,Dati!D996))</f>
        <v/>
      </c>
      <c r="F996" s="18" t="str">
        <f>IF(OR(D996="",E996=""),"",IF(OR(D996&gt;1,E996&gt;1),(E996-D996)/100,E996-D996))</f>
        <v/>
      </c>
      <c r="G996" s="17" t="str">
        <f>IF(F996="","",IF(64*F996=0,"",64*F996))</f>
        <v/>
      </c>
      <c r="H996" s="19" t="str">
        <f>IF(Dati!E996="","",Dati!E996)</f>
        <v/>
      </c>
      <c r="I996" s="19" t="str">
        <f>IFERROR(IF(OR(C996="",C996=0),"",H996/C996*100),"")</f>
        <v/>
      </c>
      <c r="J996" s="20" t="str">
        <f>IF(Dati!F996="","",Dati!F996)</f>
        <v/>
      </c>
      <c r="K996" s="19" t="str">
        <f>IF(OR(H996="",J996=""),"",IF(H996*J996=0,"",H996*J996))</f>
        <v/>
      </c>
      <c r="L996" s="19" t="str">
        <f>IF(A996="","",IFERROR(IF(SUMPRODUCT((ISNUMBER(A$2:A996))*(A$2:A996&gt;1000)*(MONTH(IF(ISNUMBER(A$2:A996),A$2:A996,1))=MONTH(A996))*(YEAR(IF(ISNUMBER(A$2:A996),A$2:A996,1))=YEAR(A996))*IF(ISNUMBER(K$2:K996),K$2:K996,0))=0,"",SUMPRODUCT((ISNUMBER(A$2:A996))*(A$2:A996&gt;1000)*(MONTH(IF(ISNUMBER(A$2:A996),A$2:A996,1))=MONTH(A996))*(YEAR(IF(ISNUMBER(A$2:A996),A$2:A996,1))=YEAR(A996))*IF(ISNUMBER(K$2:K996),K$2:K996,0))),""))</f>
        <v/>
      </c>
      <c r="M996" s="21" t="str">
        <f>IF(A996="","",IFERROR(IF(SUMIF(N$2:N996,"CASA",K$2:K996)=0,"",SUMIF(N$2:N996,"CASA",K$2:K996)),""))</f>
        <v/>
      </c>
      <c r="N996" s="17" t="str">
        <f>IF(J996="","",IF(J996=0.2,"CASA",IF(Dati!G996="","",Dati!G996)))</f>
        <v/>
      </c>
    </row>
    <row r="997" spans="1:14" ht="15" customHeight="1" x14ac:dyDescent="0.2">
      <c r="A997" s="23" t="str">
        <f>IF(Dati!A997="","",Dati!A997)</f>
        <v/>
      </c>
      <c r="B997" s="17" t="str">
        <f>IF(Dati!B997="","",Dati!B997)</f>
        <v/>
      </c>
      <c r="C997" s="17" t="str">
        <f>IF(B997="","",IF(ISNUMBER(B996),IF(B997-B996&lt;0,B997,IF(B997-B996=0,"",B997-B996)),B997))</f>
        <v/>
      </c>
      <c r="D997" s="18" t="str">
        <f>IF(Dati!C997="","",IF(Dati!C997&gt;1,Dati!C997/100,Dati!C997))</f>
        <v/>
      </c>
      <c r="E997" s="18" t="str">
        <f>IF(Dati!D997="","",IF(Dati!D997&gt;1,Dati!D997/100,Dati!D997))</f>
        <v/>
      </c>
      <c r="F997" s="18" t="str">
        <f>IF(OR(D997="",E997=""),"",IF(OR(D997&gt;1,E997&gt;1),(E997-D997)/100,E997-D997))</f>
        <v/>
      </c>
      <c r="G997" s="17" t="str">
        <f>IF(F997="","",IF(64*F997=0,"",64*F997))</f>
        <v/>
      </c>
      <c r="H997" s="19" t="str">
        <f>IF(Dati!E997="","",Dati!E997)</f>
        <v/>
      </c>
      <c r="I997" s="19" t="str">
        <f>IFERROR(IF(OR(C997="",C997=0),"",H997/C997*100),"")</f>
        <v/>
      </c>
      <c r="J997" s="20" t="str">
        <f>IF(Dati!F997="","",Dati!F997)</f>
        <v/>
      </c>
      <c r="K997" s="19" t="str">
        <f>IF(OR(H997="",J997=""),"",IF(H997*J997=0,"",H997*J997))</f>
        <v/>
      </c>
      <c r="L997" s="19" t="str">
        <f>IF(A997="","",IFERROR(IF(SUMPRODUCT((ISNUMBER(A$2:A997))*(A$2:A997&gt;1000)*(MONTH(IF(ISNUMBER(A$2:A997),A$2:A997,1))=MONTH(A997))*(YEAR(IF(ISNUMBER(A$2:A997),A$2:A997,1))=YEAR(A997))*IF(ISNUMBER(K$2:K997),K$2:K997,0))=0,"",SUMPRODUCT((ISNUMBER(A$2:A997))*(A$2:A997&gt;1000)*(MONTH(IF(ISNUMBER(A$2:A997),A$2:A997,1))=MONTH(A997))*(YEAR(IF(ISNUMBER(A$2:A997),A$2:A997,1))=YEAR(A997))*IF(ISNUMBER(K$2:K997),K$2:K997,0))),""))</f>
        <v/>
      </c>
      <c r="M997" s="21" t="str">
        <f>IF(A997="","",IFERROR(IF(SUMIF(N$2:N997,"CASA",K$2:K997)=0,"",SUMIF(N$2:N997,"CASA",K$2:K997)),""))</f>
        <v/>
      </c>
      <c r="N997" s="17" t="str">
        <f>IF(J997="","",IF(J997=0.2,"CASA",IF(Dati!G997="","",Dati!G997)))</f>
        <v/>
      </c>
    </row>
    <row r="998" spans="1:14" ht="15" customHeight="1" x14ac:dyDescent="0.2">
      <c r="A998" s="23" t="str">
        <f>IF(Dati!A998="","",Dati!A998)</f>
        <v/>
      </c>
      <c r="B998" s="17" t="str">
        <f>IF(Dati!B998="","",Dati!B998)</f>
        <v/>
      </c>
      <c r="C998" s="17" t="str">
        <f>IF(B998="","",IF(ISNUMBER(B997),IF(B998-B997&lt;0,B998,IF(B998-B997=0,"",B998-B997)),B998))</f>
        <v/>
      </c>
      <c r="D998" s="18" t="str">
        <f>IF(Dati!C998="","",IF(Dati!C998&gt;1,Dati!C998/100,Dati!C998))</f>
        <v/>
      </c>
      <c r="E998" s="18" t="str">
        <f>IF(Dati!D998="","",IF(Dati!D998&gt;1,Dati!D998/100,Dati!D998))</f>
        <v/>
      </c>
      <c r="F998" s="18" t="str">
        <f>IF(OR(D998="",E998=""),"",IF(OR(D998&gt;1,E998&gt;1),(E998-D998)/100,E998-D998))</f>
        <v/>
      </c>
      <c r="G998" s="17" t="str">
        <f>IF(F998="","",IF(64*F998=0,"",64*F998))</f>
        <v/>
      </c>
      <c r="H998" s="19" t="str">
        <f>IF(Dati!E998="","",Dati!E998)</f>
        <v/>
      </c>
      <c r="I998" s="19" t="str">
        <f>IFERROR(IF(OR(C998="",C998=0),"",H998/C998*100),"")</f>
        <v/>
      </c>
      <c r="J998" s="20" t="str">
        <f>IF(Dati!F998="","",Dati!F998)</f>
        <v/>
      </c>
      <c r="K998" s="19" t="str">
        <f>IF(OR(H998="",J998=""),"",IF(H998*J998=0,"",H998*J998))</f>
        <v/>
      </c>
      <c r="L998" s="19" t="str">
        <f>IF(A998="","",IFERROR(IF(SUMPRODUCT((ISNUMBER(A$2:A998))*(A$2:A998&gt;1000)*(MONTH(IF(ISNUMBER(A$2:A998),A$2:A998,1))=MONTH(A998))*(YEAR(IF(ISNUMBER(A$2:A998),A$2:A998,1))=YEAR(A998))*IF(ISNUMBER(K$2:K998),K$2:K998,0))=0,"",SUMPRODUCT((ISNUMBER(A$2:A998))*(A$2:A998&gt;1000)*(MONTH(IF(ISNUMBER(A$2:A998),A$2:A998,1))=MONTH(A998))*(YEAR(IF(ISNUMBER(A$2:A998),A$2:A998,1))=YEAR(A998))*IF(ISNUMBER(K$2:K998),K$2:K998,0))),""))</f>
        <v/>
      </c>
      <c r="M998" s="21" t="str">
        <f>IF(A998="","",IFERROR(IF(SUMIF(N$2:N998,"CASA",K$2:K998)=0,"",SUMIF(N$2:N998,"CASA",K$2:K998)),""))</f>
        <v/>
      </c>
      <c r="N998" s="17" t="str">
        <f>IF(J998="","",IF(J998=0.2,"CASA",IF(Dati!G998="","",Dati!G998)))</f>
        <v/>
      </c>
    </row>
    <row r="999" spans="1:14" ht="15" customHeight="1" x14ac:dyDescent="0.2">
      <c r="A999" s="23" t="str">
        <f>IF(Dati!A999="","",Dati!A999)</f>
        <v/>
      </c>
      <c r="B999" s="17" t="str">
        <f>IF(Dati!B999="","",Dati!B999)</f>
        <v/>
      </c>
      <c r="C999" s="17" t="str">
        <f>IF(B999="","",IF(ISNUMBER(B998),IF(B999-B998&lt;0,B999,IF(B999-B998=0,"",B999-B998)),B999))</f>
        <v/>
      </c>
      <c r="D999" s="18" t="str">
        <f>IF(Dati!C999="","",IF(Dati!C999&gt;1,Dati!C999/100,Dati!C999))</f>
        <v/>
      </c>
      <c r="E999" s="18" t="str">
        <f>IF(Dati!D999="","",IF(Dati!D999&gt;1,Dati!D999/100,Dati!D999))</f>
        <v/>
      </c>
      <c r="F999" s="18" t="str">
        <f>IF(OR(D999="",E999=""),"",IF(OR(D999&gt;1,E999&gt;1),(E999-D999)/100,E999-D999))</f>
        <v/>
      </c>
      <c r="G999" s="17" t="str">
        <f>IF(F999="","",IF(64*F999=0,"",64*F999))</f>
        <v/>
      </c>
      <c r="H999" s="19" t="str">
        <f>IF(Dati!E999="","",Dati!E999)</f>
        <v/>
      </c>
      <c r="I999" s="19" t="str">
        <f>IFERROR(IF(OR(C999="",C999=0),"",H999/C999*100),"")</f>
        <v/>
      </c>
      <c r="J999" s="20" t="str">
        <f>IF(Dati!F999="","",Dati!F999)</f>
        <v/>
      </c>
      <c r="K999" s="19" t="str">
        <f>IF(OR(H999="",J999=""),"",IF(H999*J999=0,"",H999*J999))</f>
        <v/>
      </c>
      <c r="L999" s="19" t="str">
        <f>IF(A999="","",IFERROR(IF(SUMPRODUCT((ISNUMBER(A$2:A999))*(A$2:A999&gt;1000)*(MONTH(IF(ISNUMBER(A$2:A999),A$2:A999,1))=MONTH(A999))*(YEAR(IF(ISNUMBER(A$2:A999),A$2:A999,1))=YEAR(A999))*IF(ISNUMBER(K$2:K999),K$2:K999,0))=0,"",SUMPRODUCT((ISNUMBER(A$2:A999))*(A$2:A999&gt;1000)*(MONTH(IF(ISNUMBER(A$2:A999),A$2:A999,1))=MONTH(A999))*(YEAR(IF(ISNUMBER(A$2:A999),A$2:A999,1))=YEAR(A999))*IF(ISNUMBER(K$2:K999),K$2:K999,0))),""))</f>
        <v/>
      </c>
      <c r="M999" s="21" t="str">
        <f>IF(A999="","",IFERROR(IF(SUMIF(N$2:N999,"CASA",K$2:K999)=0,"",SUMIF(N$2:N999,"CASA",K$2:K999)),""))</f>
        <v/>
      </c>
      <c r="N999" s="17" t="str">
        <f>IF(J999="","",IF(J999=0.2,"CASA",IF(Dati!G999="","",Dati!G999)))</f>
        <v/>
      </c>
    </row>
    <row r="1000" spans="1:14" ht="15" customHeight="1" x14ac:dyDescent="0.2">
      <c r="A1000" s="23" t="str">
        <f>IF(Dati!A1000="","",Dati!A1000)</f>
        <v/>
      </c>
      <c r="B1000" s="17" t="str">
        <f>IF(Dati!B1000="","",Dati!B1000)</f>
        <v/>
      </c>
      <c r="C1000" s="17" t="str">
        <f>IF(B1000="","",IF(ISNUMBER(B999),IF(B1000-B999&lt;0,B1000,IF(B1000-B999=0,"",B1000-B999)),B1000))</f>
        <v/>
      </c>
      <c r="D1000" s="18" t="str">
        <f>IF(Dati!C1000="","",IF(Dati!C1000&gt;1,Dati!C1000/100,Dati!C1000))</f>
        <v/>
      </c>
      <c r="E1000" s="18" t="str">
        <f>IF(Dati!D1000="","",IF(Dati!D1000&gt;1,Dati!D1000/100,Dati!D1000))</f>
        <v/>
      </c>
      <c r="F1000" s="18" t="str">
        <f>IF(OR(D1000="",E1000=""),"",IF(OR(D1000&gt;1,E1000&gt;1),(E1000-D1000)/100,E1000-D1000))</f>
        <v/>
      </c>
      <c r="G1000" s="17" t="str">
        <f>IF(F1000="","",IF(64*F1000=0,"",64*F1000))</f>
        <v/>
      </c>
      <c r="H1000" s="19" t="str">
        <f>IF(Dati!E1000="","",Dati!E1000)</f>
        <v/>
      </c>
      <c r="I1000" s="19" t="str">
        <f>IFERROR(IF(OR(C1000="",C1000=0),"",H1000/C1000*100),"")</f>
        <v/>
      </c>
      <c r="J1000" s="20" t="str">
        <f>IF(Dati!F1000="","",Dati!F1000)</f>
        <v/>
      </c>
      <c r="K1000" s="19" t="str">
        <f>IF(OR(H1000="",J1000=""),"",IF(H1000*J1000=0,"",H1000*J1000))</f>
        <v/>
      </c>
      <c r="L1000" s="19" t="str">
        <f>IF(A1000="","",IFERROR(IF(SUMPRODUCT((ISNUMBER(A$2:A1000))*(A$2:A1000&gt;1000)*(MONTH(IF(ISNUMBER(A$2:A1000),A$2:A1000,1))=MONTH(A1000))*(YEAR(IF(ISNUMBER(A$2:A1000),A$2:A1000,1))=YEAR(A1000))*IF(ISNUMBER(K$2:K1000),K$2:K1000,0))=0,"",SUMPRODUCT((ISNUMBER(A$2:A1000))*(A$2:A1000&gt;1000)*(MONTH(IF(ISNUMBER(A$2:A1000),A$2:A1000,1))=MONTH(A1000))*(YEAR(IF(ISNUMBER(A$2:A1000),A$2:A1000,1))=YEAR(A1000))*IF(ISNUMBER(K$2:K1000),K$2:K1000,0))),""))</f>
        <v/>
      </c>
      <c r="M1000" s="21" t="str">
        <f>IF(A1000="","",IFERROR(IF(SUMIF(N$2:N1000,"CASA",K$2:K1000)=0,"",SUMIF(N$2:N1000,"CASA",K$2:K1000)),""))</f>
        <v/>
      </c>
      <c r="N1000" s="17" t="str">
        <f>IF(J1000="","",IF(J1000=0.2,"CASA",IF(Dati!G1000="","",Dati!G1000)))</f>
        <v/>
      </c>
    </row>
    <row r="1001" spans="1:14" ht="15" customHeight="1" x14ac:dyDescent="0.2">
      <c r="A1001" s="23" t="str">
        <f>IF(Dati!A1001="","",Dati!A1001)</f>
        <v/>
      </c>
      <c r="B1001" s="17" t="str">
        <f>IF(Dati!B1001="","",Dati!B1001)</f>
        <v/>
      </c>
      <c r="C1001" s="17" t="str">
        <f>IF(B1001="","",IF(ISNUMBER(B1000),IF(B1001-B1000&lt;0,B1001,IF(B1001-B1000=0,"",B1001-B1000)),B1001))</f>
        <v/>
      </c>
      <c r="D1001" s="18" t="str">
        <f>IF(Dati!C1001="","",IF(Dati!C1001&gt;1,Dati!C1001/100,Dati!C1001))</f>
        <v/>
      </c>
      <c r="E1001" s="18" t="str">
        <f>IF(Dati!D1001="","",IF(Dati!D1001&gt;1,Dati!D1001/100,Dati!D1001))</f>
        <v/>
      </c>
      <c r="F1001" s="18" t="str">
        <f>IF(OR(D1001="",E1001=""),"",IF(OR(D1001&gt;1,E1001&gt;1),(E1001-D1001)/100,E1001-D1001))</f>
        <v/>
      </c>
      <c r="G1001" s="17" t="str">
        <f>IF(F1001="","",IF(64*F1001=0,"",64*F1001))</f>
        <v/>
      </c>
      <c r="H1001" s="19" t="str">
        <f>IF(Dati!E1001="","",Dati!E1001)</f>
        <v/>
      </c>
      <c r="I1001" s="19" t="str">
        <f>IFERROR(IF(OR(C1001="",C1001=0),"",H1001/C1001*100),"")</f>
        <v/>
      </c>
      <c r="J1001" s="20" t="str">
        <f>IF(Dati!F1001="","",Dati!F1001)</f>
        <v/>
      </c>
      <c r="K1001" s="19" t="str">
        <f>IF(OR(H1001="",J1001=""),"",IF(H1001*J1001=0,"",H1001*J1001))</f>
        <v/>
      </c>
      <c r="L1001" s="19" t="str">
        <f>IF(A1001="","",IFERROR(IF(SUMPRODUCT((ISNUMBER(A$2:A1001))*(A$2:A1001&gt;1000)*(MONTH(IF(ISNUMBER(A$2:A1001),A$2:A1001,1))=MONTH(A1001))*(YEAR(IF(ISNUMBER(A$2:A1001),A$2:A1001,1))=YEAR(A1001))*IF(ISNUMBER(K$2:K1001),K$2:K1001,0))=0,"",SUMPRODUCT((ISNUMBER(A$2:A1001))*(A$2:A1001&gt;1000)*(MONTH(IF(ISNUMBER(A$2:A1001),A$2:A1001,1))=MONTH(A1001))*(YEAR(IF(ISNUMBER(A$2:A1001),A$2:A1001,1))=YEAR(A1001))*IF(ISNUMBER(K$2:K1001),K$2:K1001,0))),""))</f>
        <v/>
      </c>
      <c r="M1001" s="21" t="str">
        <f>IF(A1001="","",IFERROR(IF(SUMIF(N$2:N1001,"CASA",K$2:K1001)=0,"",SUMIF(N$2:N1001,"CASA",K$2:K1001)),""))</f>
        <v/>
      </c>
      <c r="N1001" s="17" t="str">
        <f>IF(J1001="","",IF(J1001=0.2,"CASA",IF(Dati!G1001="","",Dati!G1001)))</f>
        <v/>
      </c>
    </row>
  </sheetData>
  <conditionalFormatting sqref="A2:N1001">
    <cfRule type="expression" dxfId="1" priority="1">
      <formula>AND(ISNUMBER($A2),$A2&gt;1000,MOD(MONTH($A2),2)=1)</formula>
    </cfRule>
    <cfRule type="expression" dxfId="0" priority="2">
      <formula>AND(ISNUMBER($A2),$A2&gt;1000,MOD(MONTH($A2),2)=0)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RowHeight="15" x14ac:dyDescent="0.2"/>
  <cols>
    <col min="1" max="1" width="16.0078125" style="16" customWidth="1"/>
    <col min="2" max="2" width="9.14453125" style="16" customWidth="1"/>
    <col min="3" max="3" width="19.37109375" style="16" customWidth="1"/>
    <col min="4" max="4" width="13.71875" style="16" customWidth="1"/>
    <col min="5" max="5" width="12.5078125" style="16" customWidth="1"/>
    <col min="6" max="6" width="11.02734375" style="16" customWidth="1"/>
    <col min="7" max="7" width="16.8125" style="16" customWidth="1"/>
  </cols>
  <sheetData>
    <row r="1" spans="1:7" ht="42.75" customHeight="1" x14ac:dyDescent="0.2">
      <c r="A1" t="s">
        <v>0</v>
      </c>
      <c r="B1" s="15" t="s">
        <v>1</v>
      </c>
      <c r="C1" s="15" t="s">
        <v>3</v>
      </c>
      <c r="D1" s="15" t="s">
        <v>4</v>
      </c>
      <c r="E1" s="1" t="s">
        <v>7</v>
      </c>
      <c r="F1" s="15" t="s">
        <v>9</v>
      </c>
      <c r="G1" s="3" t="s">
        <v>14</v>
      </c>
    </row>
    <row r="2" spans="1:7" ht="15" customHeight="1" x14ac:dyDescent="0.2">
      <c r="A2" s="22">
        <v>46080</v>
      </c>
      <c r="B2" s="12">
        <v>286</v>
      </c>
      <c r="C2" s="9">
        <v>0.26</v>
      </c>
      <c r="D2" s="9">
        <v>0.86</v>
      </c>
      <c r="E2" s="13">
        <v>39.340000000000003</v>
      </c>
      <c r="F2" s="14">
        <v>0.5</v>
      </c>
      <c r="G2" s="12" t="s">
        <v>15</v>
      </c>
    </row>
    <row r="3" spans="1:7" ht="15" customHeight="1" x14ac:dyDescent="0.2">
      <c r="A3" s="22">
        <v>46085</v>
      </c>
      <c r="B3" s="12">
        <v>533</v>
      </c>
      <c r="C3" s="9">
        <v>0.14000000000000001</v>
      </c>
      <c r="D3" s="9">
        <v>0.86</v>
      </c>
      <c r="E3" s="13">
        <v>46.155999999999999</v>
      </c>
      <c r="F3" s="14">
        <v>0.5</v>
      </c>
      <c r="G3" s="12" t="s">
        <v>15</v>
      </c>
    </row>
    <row r="4" spans="1:7" ht="15" customHeight="1" x14ac:dyDescent="0.2">
      <c r="A4" s="22">
        <v>46092</v>
      </c>
      <c r="B4" s="12">
        <v>758</v>
      </c>
      <c r="C4" s="9">
        <v>0.18</v>
      </c>
      <c r="D4" s="9">
        <v>0.8</v>
      </c>
      <c r="E4" s="13">
        <v>40.374000000000002</v>
      </c>
      <c r="F4" s="14">
        <v>0.64900000000000002</v>
      </c>
      <c r="G4" s="12" t="s">
        <v>16</v>
      </c>
    </row>
    <row r="5" spans="1:7" ht="15" customHeight="1" x14ac:dyDescent="0.2">
      <c r="A5" s="22">
        <v>46096</v>
      </c>
      <c r="B5" s="12">
        <v>926</v>
      </c>
      <c r="C5" s="9">
        <v>0.37</v>
      </c>
      <c r="D5" s="9">
        <v>0.85</v>
      </c>
      <c r="E5" s="13">
        <v>30.8</v>
      </c>
      <c r="F5" s="14">
        <v>0.5</v>
      </c>
      <c r="G5" s="12" t="s">
        <v>15</v>
      </c>
    </row>
    <row r="6" spans="1:7" ht="15" customHeight="1" x14ac:dyDescent="0.2">
      <c r="A6" s="22">
        <v>46101</v>
      </c>
      <c r="B6" s="12">
        <v>1130</v>
      </c>
      <c r="C6" s="9">
        <v>0.3</v>
      </c>
      <c r="D6" s="9">
        <v>0.84</v>
      </c>
      <c r="E6" s="13">
        <v>34.08</v>
      </c>
      <c r="F6" s="14">
        <v>0.5</v>
      </c>
      <c r="G6" s="12" t="s">
        <v>15</v>
      </c>
    </row>
    <row r="7" spans="1:7" ht="15" customHeight="1" x14ac:dyDescent="0.2">
      <c r="A7" s="22">
        <v>46107</v>
      </c>
      <c r="B7" s="12">
        <v>1293</v>
      </c>
      <c r="C7" s="9">
        <v>0.38</v>
      </c>
      <c r="D7" s="9">
        <v>0.76</v>
      </c>
      <c r="E7" s="13">
        <v>23.79</v>
      </c>
      <c r="F7" s="14">
        <v>0.2</v>
      </c>
      <c r="G7" s="12"/>
    </row>
    <row r="8" spans="1:7" ht="15" customHeight="1" x14ac:dyDescent="0.2">
      <c r="A8" s="22">
        <v>46111</v>
      </c>
      <c r="B8" s="12">
        <v>1400</v>
      </c>
      <c r="C8" s="9">
        <v>0.44</v>
      </c>
      <c r="D8" s="9">
        <v>0.8</v>
      </c>
      <c r="E8" s="13">
        <v>24.04</v>
      </c>
      <c r="F8" s="14">
        <v>0.2</v>
      </c>
      <c r="G8" s="12"/>
    </row>
    <row r="9" spans="1:7" ht="15" customHeight="1" x14ac:dyDescent="0.2">
      <c r="A9" s="22">
        <v>46113</v>
      </c>
      <c r="B9" s="12">
        <v>1543</v>
      </c>
      <c r="C9" s="9">
        <v>0.34</v>
      </c>
      <c r="D9" s="9">
        <v>0.8</v>
      </c>
      <c r="E9" s="13">
        <v>30.56</v>
      </c>
      <c r="F9" s="14">
        <v>0.2</v>
      </c>
      <c r="G9" s="12"/>
    </row>
    <row r="10" spans="1:7" ht="15" customHeight="1" x14ac:dyDescent="0.2">
      <c r="A10" s="22">
        <v>46117</v>
      </c>
      <c r="B10" s="12">
        <v>1717</v>
      </c>
      <c r="C10" s="9">
        <v>0.33</v>
      </c>
      <c r="D10" s="9">
        <v>0.67</v>
      </c>
      <c r="E10" s="13">
        <v>20.975999999999999</v>
      </c>
      <c r="F10" s="14">
        <v>0.2</v>
      </c>
      <c r="G10" s="12"/>
    </row>
    <row r="11" spans="1:7" ht="15" customHeight="1" x14ac:dyDescent="0.2">
      <c r="A11" s="22">
        <v>46117</v>
      </c>
      <c r="B11" s="12">
        <v>1792</v>
      </c>
      <c r="C11" s="9">
        <v>0.41</v>
      </c>
      <c r="D11" s="9">
        <v>0.8</v>
      </c>
      <c r="E11" s="13">
        <v>25.306999999999999</v>
      </c>
      <c r="F11" s="14">
        <v>0.2</v>
      </c>
      <c r="G11" s="12"/>
    </row>
    <row r="12" spans="1:7" ht="15" customHeight="1" x14ac:dyDescent="0.2">
      <c r="A12" s="22">
        <v>46119</v>
      </c>
      <c r="B12" s="12">
        <v>1926</v>
      </c>
      <c r="C12" s="9">
        <v>0.49</v>
      </c>
      <c r="D12" s="9">
        <v>0.8</v>
      </c>
      <c r="E12" s="13">
        <v>21.393000000000001</v>
      </c>
      <c r="F12" s="14">
        <v>0.2</v>
      </c>
      <c r="G12" s="12"/>
    </row>
    <row r="13" spans="1:7" ht="15" customHeight="1" x14ac:dyDescent="0.2">
      <c r="A13" s="22">
        <v>46122</v>
      </c>
      <c r="B13" s="12">
        <v>2075</v>
      </c>
      <c r="C13" s="9">
        <v>0.43</v>
      </c>
      <c r="D13" s="9">
        <v>0.8</v>
      </c>
      <c r="E13" s="13">
        <v>24.82</v>
      </c>
      <c r="F13" s="14">
        <v>0.2</v>
      </c>
      <c r="G13" s="12"/>
    </row>
    <row r="14" spans="1:7" ht="15" customHeight="1" x14ac:dyDescent="0.2">
      <c r="A14" s="22">
        <v>46127</v>
      </c>
      <c r="B14" s="12">
        <v>2277</v>
      </c>
      <c r="C14" s="9">
        <v>0.22</v>
      </c>
      <c r="D14" s="9">
        <v>0.64</v>
      </c>
      <c r="E14" s="13">
        <v>26.02</v>
      </c>
      <c r="F14" s="14">
        <v>0.2</v>
      </c>
      <c r="G14" s="12"/>
    </row>
    <row r="15" spans="1:7" ht="15" customHeight="1" x14ac:dyDescent="0.2">
      <c r="A15" s="22">
        <v>46128</v>
      </c>
      <c r="B15" s="12">
        <v>2326</v>
      </c>
      <c r="C15" s="9">
        <v>0.51</v>
      </c>
      <c r="D15" s="9">
        <v>0.7</v>
      </c>
      <c r="E15" s="13">
        <v>12.73</v>
      </c>
      <c r="F15" s="14">
        <v>0.2</v>
      </c>
      <c r="G15" s="12"/>
    </row>
    <row r="16" spans="1:7" ht="15" customHeight="1" x14ac:dyDescent="0.2">
      <c r="A16" s="22">
        <v>46130</v>
      </c>
      <c r="B16" s="12">
        <v>2414</v>
      </c>
      <c r="C16" s="9">
        <v>0.45</v>
      </c>
      <c r="D16" s="9">
        <v>0.8</v>
      </c>
      <c r="E16" s="13">
        <v>23.29</v>
      </c>
      <c r="F16" s="14">
        <v>0.2</v>
      </c>
      <c r="G16" s="12"/>
    </row>
    <row r="17" spans="1:7" ht="15" customHeight="1" x14ac:dyDescent="0.2">
      <c r="A17" s="22">
        <v>46133</v>
      </c>
      <c r="B17" s="12">
        <v>2592</v>
      </c>
      <c r="C17" s="9">
        <v>0.33</v>
      </c>
      <c r="D17" s="9">
        <v>0.75</v>
      </c>
      <c r="E17" s="13">
        <v>26.32</v>
      </c>
      <c r="F17" s="14">
        <v>0.2</v>
      </c>
      <c r="G17" s="12"/>
    </row>
    <row r="18" spans="1:7" ht="15" customHeight="1" x14ac:dyDescent="0.2">
      <c r="A18" s="22">
        <v>46135</v>
      </c>
      <c r="B18" s="12">
        <v>2720</v>
      </c>
      <c r="C18" s="9">
        <v>0.42</v>
      </c>
      <c r="D18" s="9">
        <v>0.78</v>
      </c>
      <c r="E18" s="13">
        <v>22.72</v>
      </c>
      <c r="F18" s="14">
        <v>0.2</v>
      </c>
      <c r="G18" s="12"/>
    </row>
    <row r="19" spans="1:7" ht="15" customHeight="1" x14ac:dyDescent="0.2">
      <c r="A19" s="22">
        <v>46137</v>
      </c>
      <c r="B19" s="12">
        <v>2782</v>
      </c>
      <c r="C19" s="9">
        <v>0.19</v>
      </c>
      <c r="D19" s="9">
        <v>0.8</v>
      </c>
      <c r="E19" s="13">
        <v>13.09</v>
      </c>
      <c r="F19" s="14">
        <v>0.2</v>
      </c>
      <c r="G19" s="12"/>
    </row>
    <row r="20" spans="1:7" ht="15" customHeight="1" x14ac:dyDescent="0.2">
      <c r="A20" s="22">
        <v>46140</v>
      </c>
      <c r="B20" s="12">
        <v>2909</v>
      </c>
      <c r="C20" s="9">
        <v>0.34</v>
      </c>
      <c r="D20" s="9">
        <v>0.8</v>
      </c>
      <c r="E20" s="13">
        <v>22.79</v>
      </c>
      <c r="F20" s="14">
        <v>0.2</v>
      </c>
      <c r="G20" s="12"/>
    </row>
    <row r="21" spans="1:7" ht="15" customHeight="1" x14ac:dyDescent="0.2">
      <c r="A21" s="22">
        <v>46143</v>
      </c>
      <c r="B21" s="12">
        <v>3042</v>
      </c>
      <c r="C21" s="9">
        <v>0.45</v>
      </c>
      <c r="D21" s="9">
        <v>0.8</v>
      </c>
      <c r="E21" s="13">
        <v>23.36</v>
      </c>
      <c r="F21" s="14">
        <v>0.2</v>
      </c>
      <c r="G21" s="12"/>
    </row>
    <row r="22" spans="1:7" ht="15" customHeight="1" x14ac:dyDescent="0.2">
      <c r="A22" s="22">
        <v>46148</v>
      </c>
      <c r="B22" s="12">
        <v>3235</v>
      </c>
      <c r="C22" s="9">
        <v>0.21</v>
      </c>
      <c r="D22" s="9">
        <v>0.78</v>
      </c>
      <c r="E22" s="13">
        <v>35.97</v>
      </c>
      <c r="F22" s="14">
        <v>0.2</v>
      </c>
      <c r="G22" s="12"/>
    </row>
    <row r="23" spans="1:7" ht="15" customHeight="1" x14ac:dyDescent="0.2">
      <c r="A23" s="22">
        <v>46152</v>
      </c>
      <c r="B23" s="12">
        <v>3459</v>
      </c>
      <c r="C23" s="9">
        <v>0.16</v>
      </c>
      <c r="D23" s="9">
        <v>0.8</v>
      </c>
      <c r="E23" s="13">
        <v>41.41</v>
      </c>
      <c r="F23" s="14">
        <v>0.2</v>
      </c>
      <c r="G23" s="12"/>
    </row>
    <row r="24" spans="1:7" ht="15" customHeight="1" x14ac:dyDescent="0.2">
      <c r="A24" s="22">
        <v>46156</v>
      </c>
      <c r="B24" s="12">
        <v>3615</v>
      </c>
      <c r="C24" s="9">
        <v>0.36</v>
      </c>
      <c r="D24" s="9">
        <v>0.8</v>
      </c>
      <c r="E24" s="13">
        <v>29.17</v>
      </c>
      <c r="F24" s="14">
        <v>0.2</v>
      </c>
      <c r="G24" s="12"/>
    </row>
    <row r="25" spans="1:7" ht="15" customHeight="1" x14ac:dyDescent="0.2">
      <c r="A25" s="22">
        <v>46161</v>
      </c>
      <c r="B25" s="12">
        <v>3814</v>
      </c>
      <c r="C25" s="9">
        <v>0.17</v>
      </c>
      <c r="D25" s="9">
        <v>0.42</v>
      </c>
      <c r="E25" s="13">
        <v>16.37</v>
      </c>
      <c r="F25" s="14">
        <v>0.61</v>
      </c>
      <c r="G25" s="12" t="s">
        <v>17</v>
      </c>
    </row>
    <row r="26" spans="1:7" ht="15" customHeight="1" x14ac:dyDescent="0.2">
      <c r="A26" s="22">
        <v>46161</v>
      </c>
      <c r="B26" s="12">
        <v>3869</v>
      </c>
      <c r="C26" s="9">
        <v>0.3</v>
      </c>
      <c r="D26" s="9">
        <v>0.8</v>
      </c>
      <c r="E26" s="13">
        <v>33.07</v>
      </c>
      <c r="F26" s="14">
        <v>0.2</v>
      </c>
      <c r="G26" s="12"/>
    </row>
    <row r="27" spans="1:7" ht="15" customHeight="1" x14ac:dyDescent="0.2">
      <c r="A27" s="22"/>
      <c r="B27" s="12"/>
      <c r="C27" s="9"/>
      <c r="D27" s="9"/>
      <c r="E27" s="13"/>
      <c r="F27" s="14"/>
      <c r="G27" s="12"/>
    </row>
    <row r="28" spans="1:7" ht="15" customHeight="1" x14ac:dyDescent="0.2">
      <c r="A28" s="22"/>
      <c r="B28" s="12"/>
      <c r="C28" s="9"/>
      <c r="D28" s="9"/>
      <c r="E28" s="13"/>
      <c r="F28" s="14"/>
      <c r="G28" s="12"/>
    </row>
    <row r="29" spans="1:7" ht="15" customHeight="1" x14ac:dyDescent="0.2">
      <c r="A29" s="22"/>
      <c r="B29" s="12"/>
      <c r="C29" s="9"/>
      <c r="D29" s="9"/>
      <c r="E29" s="13"/>
      <c r="F29" s="14"/>
      <c r="G29" s="12"/>
    </row>
    <row r="30" spans="1:7" ht="15" customHeight="1" x14ac:dyDescent="0.2">
      <c r="A30" s="22"/>
      <c r="B30" s="12"/>
      <c r="C30" s="9"/>
      <c r="D30" s="9"/>
      <c r="E30" s="13"/>
      <c r="F30" s="14"/>
      <c r="G30" s="12"/>
    </row>
    <row r="31" spans="1:7" ht="15" customHeight="1" x14ac:dyDescent="0.2">
      <c r="A31" s="22"/>
      <c r="B31" s="12"/>
      <c r="C31" s="9"/>
      <c r="D31" s="9"/>
      <c r="E31" s="13"/>
      <c r="F31" s="14"/>
      <c r="G31" s="12"/>
    </row>
    <row r="32" spans="1:7" ht="15" customHeight="1" x14ac:dyDescent="0.2">
      <c r="A32" s="22"/>
      <c r="B32" s="12"/>
      <c r="C32" s="9"/>
      <c r="D32" s="9"/>
      <c r="E32" s="13"/>
      <c r="F32" s="14"/>
      <c r="G32" s="12"/>
    </row>
    <row r="33" spans="1:7" ht="15" customHeight="1" x14ac:dyDescent="0.2">
      <c r="A33" s="22"/>
      <c r="B33" s="12"/>
      <c r="C33" s="9"/>
      <c r="D33" s="9"/>
      <c r="E33" s="13"/>
      <c r="F33" s="14"/>
      <c r="G33" s="12"/>
    </row>
    <row r="34" spans="1:7" ht="15" customHeight="1" x14ac:dyDescent="0.2">
      <c r="A34" s="22"/>
      <c r="B34" s="12"/>
      <c r="C34" s="9"/>
      <c r="D34" s="9"/>
      <c r="E34" s="13"/>
      <c r="F34" s="14"/>
      <c r="G34" s="12"/>
    </row>
    <row r="35" spans="1:7" ht="15" customHeight="1" x14ac:dyDescent="0.2">
      <c r="A35" s="22"/>
      <c r="B35" s="12"/>
      <c r="C35" s="9"/>
      <c r="D35" s="9"/>
      <c r="E35" s="13"/>
      <c r="F35" s="14"/>
      <c r="G35" s="12"/>
    </row>
    <row r="36" spans="1:7" ht="15" customHeight="1" x14ac:dyDescent="0.2">
      <c r="A36" s="22"/>
      <c r="B36" s="12"/>
      <c r="C36" s="9"/>
      <c r="D36" s="9"/>
      <c r="E36" s="13"/>
      <c r="F36" s="14"/>
      <c r="G36" s="12"/>
    </row>
    <row r="37" spans="1:7" ht="15" customHeight="1" x14ac:dyDescent="0.2">
      <c r="A37" s="22"/>
      <c r="B37" s="12"/>
      <c r="C37" s="9"/>
      <c r="D37" s="9"/>
      <c r="E37" s="13"/>
      <c r="F37" s="14"/>
      <c r="G37" s="12"/>
    </row>
    <row r="38" spans="1:7" ht="15" customHeight="1" x14ac:dyDescent="0.2">
      <c r="A38" s="22"/>
      <c r="B38" s="12"/>
      <c r="C38" s="9"/>
      <c r="D38" s="9"/>
      <c r="E38" s="13"/>
      <c r="F38" s="14"/>
      <c r="G38" s="12"/>
    </row>
    <row r="39" spans="1:7" ht="15" customHeight="1" x14ac:dyDescent="0.2">
      <c r="A39" s="22"/>
      <c r="B39" s="12"/>
      <c r="C39" s="9"/>
      <c r="D39" s="9"/>
      <c r="E39" s="13"/>
      <c r="F39" s="14"/>
      <c r="G39" s="12"/>
    </row>
    <row r="40" spans="1:7" ht="15" customHeight="1" x14ac:dyDescent="0.2">
      <c r="A40" s="22"/>
      <c r="B40" s="12"/>
      <c r="C40" s="9"/>
      <c r="D40" s="9"/>
      <c r="E40" s="13"/>
      <c r="F40" s="14"/>
      <c r="G40" s="12"/>
    </row>
    <row r="41" spans="1:7" ht="15" customHeight="1" x14ac:dyDescent="0.2">
      <c r="A41" s="22"/>
      <c r="B41" s="12"/>
      <c r="C41" s="9"/>
      <c r="D41" s="9"/>
      <c r="E41" s="13"/>
      <c r="F41" s="14"/>
      <c r="G41" s="12"/>
    </row>
    <row r="42" spans="1:7" ht="15" customHeight="1" x14ac:dyDescent="0.2">
      <c r="A42" s="22"/>
      <c r="B42" s="12"/>
      <c r="C42" s="9"/>
      <c r="D42" s="9"/>
      <c r="E42" s="13"/>
      <c r="F42" s="14"/>
      <c r="G42" s="12"/>
    </row>
    <row r="43" spans="1:7" ht="15" customHeight="1" x14ac:dyDescent="0.2">
      <c r="A43" s="22"/>
      <c r="B43" s="12"/>
      <c r="C43" s="9"/>
      <c r="D43" s="9"/>
      <c r="E43" s="13"/>
      <c r="F43" s="14"/>
      <c r="G43" s="12"/>
    </row>
    <row r="44" spans="1:7" ht="15" customHeight="1" x14ac:dyDescent="0.2">
      <c r="A44" s="22"/>
      <c r="B44" s="12"/>
      <c r="C44" s="9"/>
      <c r="D44" s="9"/>
      <c r="E44" s="13"/>
      <c r="F44" s="14"/>
      <c r="G44" s="12"/>
    </row>
    <row r="45" spans="1:7" ht="15" customHeight="1" x14ac:dyDescent="0.2">
      <c r="A45" s="22"/>
      <c r="B45" s="12"/>
      <c r="C45" s="9"/>
      <c r="D45" s="9"/>
      <c r="E45" s="13"/>
      <c r="F45" s="14"/>
      <c r="G45" s="12"/>
    </row>
    <row r="46" spans="1:7" ht="15" customHeight="1" x14ac:dyDescent="0.2">
      <c r="A46" s="22"/>
      <c r="B46" s="12"/>
      <c r="C46" s="9"/>
      <c r="D46" s="9"/>
      <c r="E46" s="13"/>
      <c r="F46" s="14"/>
      <c r="G46" s="12"/>
    </row>
    <row r="47" spans="1:7" ht="15" customHeight="1" x14ac:dyDescent="0.2">
      <c r="A47" s="22"/>
      <c r="B47" s="12"/>
      <c r="C47" s="9"/>
      <c r="D47" s="9"/>
      <c r="E47" s="13"/>
      <c r="F47" s="14"/>
      <c r="G47" s="12"/>
    </row>
    <row r="48" spans="1:7" ht="15" customHeight="1" x14ac:dyDescent="0.2">
      <c r="A48" s="22"/>
      <c r="B48" s="12"/>
      <c r="C48" s="9"/>
      <c r="D48" s="9"/>
      <c r="E48" s="13"/>
      <c r="F48" s="14"/>
      <c r="G48" s="12"/>
    </row>
    <row r="49" spans="1:7" ht="15" customHeight="1" x14ac:dyDescent="0.2">
      <c r="A49" s="22"/>
      <c r="B49" s="12"/>
      <c r="C49" s="9"/>
      <c r="D49" s="9"/>
      <c r="E49" s="13"/>
      <c r="F49" s="14"/>
      <c r="G49" s="12"/>
    </row>
    <row r="50" spans="1:7" ht="15" customHeight="1" x14ac:dyDescent="0.2">
      <c r="A50" s="22"/>
      <c r="B50" s="12"/>
      <c r="C50" s="9"/>
      <c r="D50" s="9"/>
      <c r="E50" s="13"/>
      <c r="F50" s="14"/>
      <c r="G50" s="12"/>
    </row>
    <row r="51" spans="1:7" ht="15" customHeight="1" x14ac:dyDescent="0.2">
      <c r="A51" s="22"/>
      <c r="B51" s="12"/>
      <c r="C51" s="9"/>
      <c r="D51" s="9"/>
      <c r="E51" s="13"/>
      <c r="F51" s="14"/>
      <c r="G51" s="12"/>
    </row>
    <row r="52" spans="1:7" ht="15" customHeight="1" x14ac:dyDescent="0.2">
      <c r="A52" s="22"/>
      <c r="B52" s="12"/>
      <c r="C52" s="9"/>
      <c r="D52" s="9"/>
      <c r="E52" s="13"/>
      <c r="F52" s="14"/>
      <c r="G52" s="12"/>
    </row>
    <row r="53" spans="1:7" ht="15" customHeight="1" x14ac:dyDescent="0.2">
      <c r="A53" s="22"/>
      <c r="B53" s="12"/>
      <c r="C53" s="9"/>
      <c r="D53" s="9"/>
      <c r="E53" s="13"/>
      <c r="F53" s="14"/>
      <c r="G53" s="12"/>
    </row>
    <row r="54" spans="1:7" ht="15" customHeight="1" x14ac:dyDescent="0.2">
      <c r="A54" s="22"/>
      <c r="B54" s="12"/>
      <c r="C54" s="9"/>
      <c r="D54" s="9"/>
      <c r="E54" s="13"/>
      <c r="F54" s="14"/>
      <c r="G54" s="12"/>
    </row>
    <row r="55" spans="1:7" ht="15" customHeight="1" x14ac:dyDescent="0.2">
      <c r="A55" s="22"/>
      <c r="B55" s="12"/>
      <c r="C55" s="9"/>
      <c r="D55" s="9"/>
      <c r="E55" s="13"/>
      <c r="F55" s="14"/>
      <c r="G55" s="12"/>
    </row>
    <row r="56" spans="1:7" ht="15" customHeight="1" x14ac:dyDescent="0.2">
      <c r="A56" s="22"/>
      <c r="B56" s="12"/>
      <c r="C56" s="9"/>
      <c r="D56" s="9"/>
      <c r="E56" s="13"/>
      <c r="F56" s="14"/>
      <c r="G56" s="12"/>
    </row>
    <row r="57" spans="1:7" ht="15" customHeight="1" x14ac:dyDescent="0.2">
      <c r="A57" s="22"/>
      <c r="B57" s="12"/>
      <c r="C57" s="9"/>
      <c r="D57" s="9"/>
      <c r="E57" s="13"/>
      <c r="F57" s="14"/>
      <c r="G57" s="12"/>
    </row>
    <row r="58" spans="1:7" ht="15" customHeight="1" x14ac:dyDescent="0.2">
      <c r="A58" s="22"/>
      <c r="B58" s="12"/>
      <c r="C58" s="9"/>
      <c r="D58" s="9"/>
      <c r="E58" s="13"/>
      <c r="F58" s="14"/>
      <c r="G58" s="12"/>
    </row>
    <row r="59" spans="1:7" ht="15" customHeight="1" x14ac:dyDescent="0.2">
      <c r="A59" s="22"/>
      <c r="B59" s="12"/>
      <c r="C59" s="9"/>
      <c r="D59" s="9"/>
      <c r="E59" s="13"/>
      <c r="F59" s="14"/>
      <c r="G59" s="12"/>
    </row>
    <row r="60" spans="1:7" ht="15" customHeight="1" x14ac:dyDescent="0.2">
      <c r="A60" s="22"/>
      <c r="B60" s="12"/>
      <c r="C60" s="9"/>
      <c r="D60" s="9"/>
      <c r="E60" s="13"/>
      <c r="F60" s="14"/>
      <c r="G60" s="12"/>
    </row>
    <row r="61" spans="1:7" ht="15" customHeight="1" x14ac:dyDescent="0.2">
      <c r="A61" s="22"/>
      <c r="B61" s="12"/>
      <c r="C61" s="9"/>
      <c r="D61" s="9"/>
      <c r="E61" s="13"/>
      <c r="F61" s="14"/>
      <c r="G61" s="12"/>
    </row>
    <row r="62" spans="1:7" ht="15" customHeight="1" x14ac:dyDescent="0.2">
      <c r="A62" s="22"/>
      <c r="B62" s="12"/>
      <c r="C62" s="9"/>
      <c r="D62" s="9"/>
      <c r="E62" s="13"/>
      <c r="F62" s="14"/>
      <c r="G62" s="12"/>
    </row>
    <row r="63" spans="1:7" ht="15" customHeight="1" x14ac:dyDescent="0.2">
      <c r="A63" s="22"/>
      <c r="B63" s="12"/>
      <c r="C63" s="9"/>
      <c r="D63" s="9"/>
      <c r="E63" s="13"/>
      <c r="F63" s="14"/>
      <c r="G63" s="12"/>
    </row>
    <row r="64" spans="1:7" ht="15" customHeight="1" x14ac:dyDescent="0.2">
      <c r="A64" s="22"/>
      <c r="B64" s="12"/>
      <c r="C64" s="9"/>
      <c r="D64" s="9"/>
      <c r="E64" s="13"/>
      <c r="F64" s="14"/>
      <c r="G64" s="12"/>
    </row>
    <row r="65" spans="1:7" ht="15" customHeight="1" x14ac:dyDescent="0.2">
      <c r="A65" s="22"/>
      <c r="B65" s="12"/>
      <c r="C65" s="9"/>
      <c r="D65" s="9"/>
      <c r="E65" s="13"/>
      <c r="F65" s="14"/>
      <c r="G65" s="12"/>
    </row>
    <row r="66" spans="1:7" ht="15" customHeight="1" x14ac:dyDescent="0.2">
      <c r="A66" s="22"/>
      <c r="B66" s="12"/>
      <c r="C66" s="9"/>
      <c r="D66" s="9"/>
      <c r="E66" s="13"/>
      <c r="F66" s="14"/>
      <c r="G66" s="12"/>
    </row>
    <row r="67" spans="1:7" ht="15" customHeight="1" x14ac:dyDescent="0.2">
      <c r="A67" s="22"/>
      <c r="B67" s="12"/>
      <c r="C67" s="9"/>
      <c r="D67" s="9"/>
      <c r="E67" s="13"/>
      <c r="F67" s="14"/>
      <c r="G67" s="12"/>
    </row>
    <row r="68" spans="1:7" ht="15" customHeight="1" x14ac:dyDescent="0.2">
      <c r="A68" s="22"/>
      <c r="B68" s="12"/>
      <c r="C68" s="9"/>
      <c r="D68" s="9"/>
      <c r="E68" s="13"/>
      <c r="F68" s="14"/>
      <c r="G68" s="12"/>
    </row>
    <row r="69" spans="1:7" ht="15" customHeight="1" x14ac:dyDescent="0.2">
      <c r="A69" s="22"/>
      <c r="B69" s="12"/>
      <c r="C69" s="9"/>
      <c r="D69" s="9"/>
      <c r="E69" s="13"/>
      <c r="F69" s="14"/>
      <c r="G69" s="12"/>
    </row>
    <row r="70" spans="1:7" ht="15" customHeight="1" x14ac:dyDescent="0.2">
      <c r="A70" s="22"/>
      <c r="B70" s="12"/>
      <c r="C70" s="9"/>
      <c r="D70" s="9"/>
      <c r="E70" s="13"/>
      <c r="F70" s="14"/>
      <c r="G70" s="12"/>
    </row>
    <row r="71" spans="1:7" ht="15" customHeight="1" x14ac:dyDescent="0.2">
      <c r="A71" s="22"/>
      <c r="B71" s="12"/>
      <c r="C71" s="9"/>
      <c r="D71" s="9"/>
      <c r="E71" s="13"/>
      <c r="F71" s="14"/>
      <c r="G71" s="12"/>
    </row>
    <row r="72" spans="1:7" ht="15" customHeight="1" x14ac:dyDescent="0.2">
      <c r="A72" s="22"/>
      <c r="B72" s="12"/>
      <c r="C72" s="9"/>
      <c r="D72" s="9"/>
      <c r="E72" s="13"/>
      <c r="F72" s="14"/>
      <c r="G72" s="12"/>
    </row>
    <row r="73" spans="1:7" ht="15" customHeight="1" x14ac:dyDescent="0.2">
      <c r="A73" s="22"/>
      <c r="B73" s="12"/>
      <c r="C73" s="9"/>
      <c r="D73" s="9"/>
      <c r="E73" s="13"/>
      <c r="F73" s="14"/>
      <c r="G73" s="12"/>
    </row>
    <row r="74" spans="1:7" ht="15" customHeight="1" x14ac:dyDescent="0.2">
      <c r="A74" s="22"/>
      <c r="B74" s="12"/>
      <c r="C74" s="9"/>
      <c r="D74" s="9"/>
      <c r="E74" s="13"/>
      <c r="F74" s="14"/>
      <c r="G74" s="12"/>
    </row>
    <row r="75" spans="1:7" ht="15" customHeight="1" x14ac:dyDescent="0.2">
      <c r="A75" s="22"/>
      <c r="B75" s="12"/>
      <c r="C75" s="9"/>
      <c r="D75" s="9"/>
      <c r="E75" s="13"/>
      <c r="F75" s="14"/>
      <c r="G75" s="12"/>
    </row>
    <row r="76" spans="1:7" ht="15" customHeight="1" x14ac:dyDescent="0.2">
      <c r="A76" s="22"/>
      <c r="B76" s="12"/>
      <c r="C76" s="9"/>
      <c r="D76" s="9"/>
      <c r="E76" s="13"/>
      <c r="F76" s="14"/>
      <c r="G76" s="12"/>
    </row>
    <row r="77" spans="1:7" ht="15" customHeight="1" x14ac:dyDescent="0.2">
      <c r="A77" s="22"/>
      <c r="B77" s="12"/>
      <c r="C77" s="9"/>
      <c r="D77" s="9"/>
      <c r="E77" s="13"/>
      <c r="F77" s="14"/>
      <c r="G77" s="12"/>
    </row>
    <row r="78" spans="1:7" ht="15" customHeight="1" x14ac:dyDescent="0.2">
      <c r="A78" s="22"/>
      <c r="B78" s="12"/>
      <c r="C78" s="9"/>
      <c r="D78" s="9"/>
      <c r="E78" s="13"/>
      <c r="F78" s="14"/>
      <c r="G78" s="12"/>
    </row>
    <row r="79" spans="1:7" ht="15" customHeight="1" x14ac:dyDescent="0.2">
      <c r="A79" s="22"/>
      <c r="B79" s="12"/>
      <c r="C79" s="9"/>
      <c r="D79" s="9"/>
      <c r="E79" s="13"/>
      <c r="F79" s="14"/>
      <c r="G79" s="12"/>
    </row>
    <row r="80" spans="1:7" ht="15" customHeight="1" x14ac:dyDescent="0.2">
      <c r="A80" s="22"/>
      <c r="B80" s="12"/>
      <c r="C80" s="9"/>
      <c r="D80" s="9"/>
      <c r="E80" s="13"/>
      <c r="F80" s="14"/>
      <c r="G80" s="12"/>
    </row>
    <row r="81" spans="1:7" ht="15" customHeight="1" x14ac:dyDescent="0.2">
      <c r="A81" s="22"/>
      <c r="B81" s="12"/>
      <c r="C81" s="9"/>
      <c r="D81" s="9"/>
      <c r="E81" s="13"/>
      <c r="F81" s="14"/>
      <c r="G81" s="12"/>
    </row>
    <row r="82" spans="1:7" ht="15" customHeight="1" x14ac:dyDescent="0.2">
      <c r="A82" s="22"/>
      <c r="B82" s="12"/>
      <c r="C82" s="9"/>
      <c r="D82" s="9"/>
      <c r="E82" s="13"/>
      <c r="F82" s="14"/>
      <c r="G82" s="12"/>
    </row>
    <row r="83" spans="1:7" ht="15" customHeight="1" x14ac:dyDescent="0.2">
      <c r="A83" s="22"/>
      <c r="B83" s="12"/>
      <c r="C83" s="9"/>
      <c r="D83" s="9"/>
      <c r="E83" s="13"/>
      <c r="F83" s="14"/>
      <c r="G83" s="12"/>
    </row>
    <row r="84" spans="1:7" ht="15" customHeight="1" x14ac:dyDescent="0.2">
      <c r="A84" s="22"/>
      <c r="B84" s="12"/>
      <c r="C84" s="9"/>
      <c r="D84" s="9"/>
      <c r="E84" s="13"/>
      <c r="F84" s="14"/>
      <c r="G84" s="12"/>
    </row>
    <row r="85" spans="1:7" ht="15" customHeight="1" x14ac:dyDescent="0.2">
      <c r="A85" s="22"/>
      <c r="B85" s="12"/>
      <c r="C85" s="9"/>
      <c r="D85" s="9"/>
      <c r="E85" s="13"/>
      <c r="F85" s="14"/>
      <c r="G85" s="12"/>
    </row>
    <row r="86" spans="1:7" ht="15" customHeight="1" x14ac:dyDescent="0.2">
      <c r="A86" s="22"/>
      <c r="B86" s="12"/>
      <c r="C86" s="9"/>
      <c r="D86" s="9"/>
      <c r="E86" s="13"/>
      <c r="F86" s="14"/>
      <c r="G86" s="12"/>
    </row>
    <row r="87" spans="1:7" ht="15" customHeight="1" x14ac:dyDescent="0.2">
      <c r="A87" s="22"/>
      <c r="B87" s="12"/>
      <c r="C87" s="9"/>
      <c r="D87" s="9"/>
      <c r="E87" s="13"/>
      <c r="F87" s="14"/>
      <c r="G87" s="12"/>
    </row>
    <row r="88" spans="1:7" ht="15" customHeight="1" x14ac:dyDescent="0.2">
      <c r="A88" s="22"/>
      <c r="B88" s="12"/>
      <c r="C88" s="9"/>
      <c r="D88" s="9"/>
      <c r="E88" s="13"/>
      <c r="F88" s="14"/>
      <c r="G88" s="12"/>
    </row>
    <row r="89" spans="1:7" ht="15" customHeight="1" x14ac:dyDescent="0.2">
      <c r="A89" s="22"/>
      <c r="B89" s="12"/>
      <c r="C89" s="9"/>
      <c r="D89" s="9"/>
      <c r="E89" s="13"/>
      <c r="F89" s="14"/>
      <c r="G89" s="12"/>
    </row>
    <row r="90" spans="1:7" ht="15" customHeight="1" x14ac:dyDescent="0.2">
      <c r="A90" s="22"/>
      <c r="B90" s="12"/>
      <c r="C90" s="9"/>
      <c r="D90" s="9"/>
      <c r="E90" s="13"/>
      <c r="F90" s="14"/>
      <c r="G90" s="12"/>
    </row>
    <row r="91" spans="1:7" ht="15" customHeight="1" x14ac:dyDescent="0.2">
      <c r="A91" s="22"/>
      <c r="B91" s="12"/>
      <c r="C91" s="9"/>
      <c r="D91" s="9"/>
      <c r="E91" s="13"/>
      <c r="F91" s="14"/>
      <c r="G91" s="12"/>
    </row>
    <row r="92" spans="1:7" ht="15" customHeight="1" x14ac:dyDescent="0.2">
      <c r="A92" s="22"/>
      <c r="B92" s="12"/>
      <c r="C92" s="9"/>
      <c r="D92" s="9"/>
      <c r="E92" s="13"/>
      <c r="F92" s="14"/>
      <c r="G92" s="12"/>
    </row>
    <row r="93" spans="1:7" ht="15" customHeight="1" x14ac:dyDescent="0.2">
      <c r="A93" s="22"/>
      <c r="B93" s="12"/>
      <c r="C93" s="9"/>
      <c r="D93" s="9"/>
      <c r="E93" s="13"/>
      <c r="F93" s="14"/>
      <c r="G93" s="12"/>
    </row>
    <row r="94" spans="1:7" ht="15" customHeight="1" x14ac:dyDescent="0.2">
      <c r="A94" s="22"/>
      <c r="B94" s="12"/>
      <c r="C94" s="9"/>
      <c r="D94" s="9"/>
      <c r="E94" s="13"/>
      <c r="F94" s="14"/>
      <c r="G94" s="12"/>
    </row>
    <row r="95" spans="1:7" ht="15" customHeight="1" x14ac:dyDescent="0.2">
      <c r="A95" s="22"/>
      <c r="B95" s="12"/>
      <c r="C95" s="9"/>
      <c r="D95" s="9"/>
      <c r="E95" s="13"/>
      <c r="F95" s="14"/>
      <c r="G95" s="12"/>
    </row>
    <row r="96" spans="1:7" ht="15" customHeight="1" x14ac:dyDescent="0.2">
      <c r="A96" s="22"/>
      <c r="B96" s="12"/>
      <c r="C96" s="9"/>
      <c r="D96" s="9"/>
      <c r="E96" s="13"/>
      <c r="F96" s="14"/>
      <c r="G96" s="12"/>
    </row>
    <row r="97" spans="1:7" ht="15" customHeight="1" x14ac:dyDescent="0.2">
      <c r="A97" s="22"/>
      <c r="B97" s="12"/>
      <c r="C97" s="9"/>
      <c r="D97" s="9"/>
      <c r="E97" s="13"/>
      <c r="F97" s="14"/>
      <c r="G97" s="12"/>
    </row>
    <row r="98" spans="1:7" ht="15" customHeight="1" x14ac:dyDescent="0.2">
      <c r="A98" s="22"/>
      <c r="B98" s="12"/>
      <c r="C98" s="9"/>
      <c r="D98" s="9"/>
      <c r="E98" s="13"/>
      <c r="F98" s="14"/>
      <c r="G98" s="12"/>
    </row>
    <row r="99" spans="1:7" ht="15" customHeight="1" x14ac:dyDescent="0.2">
      <c r="A99" s="22"/>
      <c r="B99" s="12"/>
      <c r="C99" s="9"/>
      <c r="D99" s="9"/>
      <c r="E99" s="13"/>
      <c r="F99" s="14"/>
      <c r="G99" s="12"/>
    </row>
    <row r="100" spans="1:7" ht="15" customHeight="1" x14ac:dyDescent="0.2">
      <c r="A100" s="22"/>
      <c r="B100" s="12"/>
      <c r="C100" s="9"/>
      <c r="D100" s="9"/>
      <c r="E100" s="13"/>
      <c r="F100" s="14"/>
      <c r="G100" s="12"/>
    </row>
    <row r="101" spans="1:7" ht="15" customHeight="1" x14ac:dyDescent="0.2">
      <c r="A101" s="22"/>
      <c r="B101" s="12"/>
      <c r="C101" s="9"/>
      <c r="D101" s="9"/>
      <c r="E101" s="13"/>
      <c r="F101" s="14"/>
      <c r="G101" s="12"/>
    </row>
    <row r="102" spans="1:7" ht="15" customHeight="1" x14ac:dyDescent="0.2">
      <c r="A102" s="22"/>
      <c r="B102" s="12"/>
      <c r="C102" s="9"/>
      <c r="D102" s="9"/>
      <c r="E102" s="13"/>
      <c r="F102" s="14"/>
      <c r="G102" s="12"/>
    </row>
    <row r="103" spans="1:7" ht="15" customHeight="1" x14ac:dyDescent="0.2">
      <c r="A103" s="22"/>
      <c r="B103" s="12"/>
      <c r="C103" s="9"/>
      <c r="D103" s="9"/>
      <c r="E103" s="13"/>
      <c r="F103" s="14"/>
      <c r="G103" s="12"/>
    </row>
    <row r="104" spans="1:7" ht="15" customHeight="1" x14ac:dyDescent="0.2">
      <c r="A104" s="22"/>
      <c r="B104" s="12"/>
      <c r="C104" s="9"/>
      <c r="D104" s="9"/>
      <c r="E104" s="13"/>
      <c r="F104" s="14"/>
      <c r="G104" s="12"/>
    </row>
    <row r="105" spans="1:7" ht="15" customHeight="1" x14ac:dyDescent="0.2">
      <c r="A105" s="22"/>
      <c r="B105" s="12"/>
      <c r="C105" s="9"/>
      <c r="D105" s="9"/>
      <c r="E105" s="13"/>
      <c r="F105" s="14"/>
      <c r="G105" s="12"/>
    </row>
    <row r="106" spans="1:7" ht="15" customHeight="1" x14ac:dyDescent="0.2">
      <c r="A106" s="22"/>
      <c r="B106" s="12"/>
      <c r="C106" s="9"/>
      <c r="D106" s="9"/>
      <c r="E106" s="13"/>
      <c r="F106" s="14"/>
      <c r="G106" s="12"/>
    </row>
    <row r="107" spans="1:7" ht="15" customHeight="1" x14ac:dyDescent="0.2">
      <c r="A107" s="22"/>
      <c r="B107" s="12"/>
      <c r="C107" s="9"/>
      <c r="D107" s="9"/>
      <c r="E107" s="13"/>
      <c r="F107" s="14"/>
      <c r="G107" s="12"/>
    </row>
    <row r="108" spans="1:7" ht="15" customHeight="1" x14ac:dyDescent="0.2">
      <c r="A108" s="22"/>
      <c r="B108" s="12"/>
      <c r="C108" s="9"/>
      <c r="D108" s="9"/>
      <c r="E108" s="13"/>
      <c r="F108" s="14"/>
      <c r="G108" s="12"/>
    </row>
    <row r="109" spans="1:7" ht="15" customHeight="1" x14ac:dyDescent="0.2">
      <c r="A109" s="22"/>
      <c r="B109" s="12"/>
      <c r="C109" s="9"/>
      <c r="D109" s="9"/>
      <c r="E109" s="13"/>
      <c r="F109" s="14"/>
      <c r="G109" s="12"/>
    </row>
    <row r="110" spans="1:7" ht="15" customHeight="1" x14ac:dyDescent="0.2">
      <c r="A110" s="22"/>
      <c r="B110" s="12"/>
      <c r="C110" s="9"/>
      <c r="D110" s="9"/>
      <c r="E110" s="13"/>
      <c r="F110" s="14"/>
      <c r="G110" s="12"/>
    </row>
    <row r="111" spans="1:7" ht="15" customHeight="1" x14ac:dyDescent="0.2">
      <c r="A111" s="22"/>
      <c r="B111" s="12"/>
      <c r="C111" s="9"/>
      <c r="D111" s="9"/>
      <c r="E111" s="13"/>
      <c r="F111" s="14"/>
      <c r="G111" s="12"/>
    </row>
    <row r="112" spans="1:7" ht="15" customHeight="1" x14ac:dyDescent="0.2">
      <c r="A112" s="22"/>
      <c r="B112" s="12"/>
      <c r="C112" s="9"/>
      <c r="D112" s="9"/>
      <c r="E112" s="13"/>
      <c r="F112" s="14"/>
      <c r="G112" s="12"/>
    </row>
    <row r="113" spans="1:7" ht="15" customHeight="1" x14ac:dyDescent="0.2">
      <c r="A113" s="22"/>
      <c r="B113" s="12"/>
      <c r="C113" s="9"/>
      <c r="D113" s="9"/>
      <c r="E113" s="13"/>
      <c r="F113" s="14"/>
      <c r="G113" s="12"/>
    </row>
    <row r="114" spans="1:7" ht="15" customHeight="1" x14ac:dyDescent="0.2">
      <c r="A114" s="22"/>
      <c r="B114" s="12"/>
      <c r="C114" s="9"/>
      <c r="D114" s="9"/>
      <c r="E114" s="13"/>
      <c r="F114" s="14"/>
      <c r="G114" s="12"/>
    </row>
    <row r="115" spans="1:7" ht="15" customHeight="1" x14ac:dyDescent="0.2">
      <c r="A115" s="22"/>
      <c r="B115" s="12"/>
      <c r="C115" s="9"/>
      <c r="D115" s="9"/>
      <c r="E115" s="13"/>
      <c r="F115" s="14"/>
      <c r="G115" s="12"/>
    </row>
    <row r="116" spans="1:7" ht="15" customHeight="1" x14ac:dyDescent="0.2">
      <c r="A116" s="22"/>
      <c r="B116" s="12"/>
      <c r="C116" s="9"/>
      <c r="D116" s="9"/>
      <c r="E116" s="13"/>
      <c r="F116" s="14"/>
      <c r="G116" s="12"/>
    </row>
    <row r="117" spans="1:7" ht="15" customHeight="1" x14ac:dyDescent="0.2">
      <c r="A117" s="22"/>
      <c r="B117" s="12"/>
      <c r="C117" s="9"/>
      <c r="D117" s="9"/>
      <c r="E117" s="13"/>
      <c r="F117" s="14"/>
      <c r="G117" s="12"/>
    </row>
    <row r="118" spans="1:7" ht="15" customHeight="1" x14ac:dyDescent="0.2">
      <c r="A118" s="22"/>
      <c r="B118" s="12"/>
      <c r="C118" s="9"/>
      <c r="D118" s="9"/>
      <c r="E118" s="13"/>
      <c r="F118" s="14"/>
      <c r="G118" s="12"/>
    </row>
    <row r="119" spans="1:7" ht="15" customHeight="1" x14ac:dyDescent="0.2">
      <c r="A119" s="22"/>
      <c r="B119" s="12"/>
      <c r="C119" s="9"/>
      <c r="D119" s="9"/>
      <c r="E119" s="13"/>
      <c r="F119" s="14"/>
      <c r="G119" s="12"/>
    </row>
    <row r="120" spans="1:7" ht="15" customHeight="1" x14ac:dyDescent="0.2">
      <c r="A120" s="22"/>
      <c r="B120" s="12"/>
      <c r="C120" s="9"/>
      <c r="D120" s="9"/>
      <c r="E120" s="13"/>
      <c r="F120" s="14"/>
      <c r="G120" s="12"/>
    </row>
    <row r="121" spans="1:7" ht="15" customHeight="1" x14ac:dyDescent="0.2">
      <c r="A121" s="22"/>
      <c r="B121" s="12"/>
      <c r="C121" s="9"/>
      <c r="D121" s="9"/>
      <c r="E121" s="13"/>
      <c r="F121" s="14"/>
      <c r="G121" s="12"/>
    </row>
    <row r="122" spans="1:7" ht="15" customHeight="1" x14ac:dyDescent="0.2">
      <c r="A122" s="22"/>
      <c r="B122" s="12"/>
      <c r="C122" s="9"/>
      <c r="D122" s="9"/>
      <c r="E122" s="13"/>
      <c r="F122" s="14"/>
      <c r="G122" s="12"/>
    </row>
    <row r="123" spans="1:7" ht="15" customHeight="1" x14ac:dyDescent="0.2">
      <c r="A123" s="22"/>
      <c r="B123" s="12"/>
      <c r="C123" s="9"/>
      <c r="D123" s="9"/>
      <c r="E123" s="13"/>
      <c r="F123" s="14"/>
      <c r="G123" s="12"/>
    </row>
    <row r="124" spans="1:7" ht="15" customHeight="1" x14ac:dyDescent="0.2">
      <c r="A124" s="22"/>
      <c r="B124" s="12"/>
      <c r="C124" s="9"/>
      <c r="D124" s="9"/>
      <c r="E124" s="13"/>
      <c r="F124" s="14"/>
      <c r="G124" s="12"/>
    </row>
    <row r="125" spans="1:7" ht="15" customHeight="1" x14ac:dyDescent="0.2">
      <c r="A125" s="22"/>
      <c r="B125" s="12"/>
      <c r="C125" s="9"/>
      <c r="D125" s="9"/>
      <c r="E125" s="13"/>
      <c r="F125" s="14"/>
      <c r="G125" s="12"/>
    </row>
    <row r="126" spans="1:7" ht="15" customHeight="1" x14ac:dyDescent="0.2">
      <c r="A126" s="22"/>
      <c r="B126" s="12"/>
      <c r="C126" s="9"/>
      <c r="D126" s="9"/>
      <c r="E126" s="13"/>
      <c r="F126" s="14"/>
      <c r="G126" s="12"/>
    </row>
    <row r="127" spans="1:7" ht="15" customHeight="1" x14ac:dyDescent="0.2">
      <c r="A127" s="22"/>
      <c r="B127" s="12"/>
      <c r="C127" s="9"/>
      <c r="D127" s="9"/>
      <c r="E127" s="13"/>
      <c r="F127" s="14"/>
      <c r="G127" s="12"/>
    </row>
    <row r="128" spans="1:7" ht="15" customHeight="1" x14ac:dyDescent="0.2">
      <c r="A128" s="22"/>
      <c r="B128" s="12"/>
      <c r="C128" s="9"/>
      <c r="D128" s="9"/>
      <c r="E128" s="13"/>
      <c r="F128" s="14"/>
      <c r="G128" s="12"/>
    </row>
    <row r="129" spans="1:7" ht="15" customHeight="1" x14ac:dyDescent="0.2">
      <c r="A129" s="22"/>
      <c r="B129" s="12"/>
      <c r="C129" s="9"/>
      <c r="D129" s="9"/>
      <c r="E129" s="13"/>
      <c r="F129" s="14"/>
      <c r="G129" s="12"/>
    </row>
    <row r="130" spans="1:7" ht="15" customHeight="1" x14ac:dyDescent="0.2">
      <c r="A130" s="22"/>
      <c r="B130" s="12"/>
      <c r="C130" s="9"/>
      <c r="D130" s="9"/>
      <c r="E130" s="13"/>
      <c r="F130" s="14"/>
      <c r="G130" s="12"/>
    </row>
    <row r="131" spans="1:7" ht="15" customHeight="1" x14ac:dyDescent="0.2">
      <c r="A131" s="22"/>
      <c r="B131" s="12"/>
      <c r="C131" s="9"/>
      <c r="D131" s="9"/>
      <c r="E131" s="13"/>
      <c r="F131" s="14"/>
      <c r="G131" s="12"/>
    </row>
    <row r="132" spans="1:7" ht="15" customHeight="1" x14ac:dyDescent="0.2">
      <c r="A132" s="22"/>
      <c r="B132" s="12"/>
      <c r="C132" s="9"/>
      <c r="D132" s="9"/>
      <c r="E132" s="13"/>
      <c r="F132" s="14"/>
      <c r="G132" s="12"/>
    </row>
    <row r="133" spans="1:7" ht="15" customHeight="1" x14ac:dyDescent="0.2">
      <c r="A133" s="22"/>
      <c r="B133" s="12"/>
      <c r="C133" s="9"/>
      <c r="D133" s="9"/>
      <c r="E133" s="13"/>
      <c r="F133" s="14"/>
      <c r="G133" s="12"/>
    </row>
    <row r="134" spans="1:7" ht="15" customHeight="1" x14ac:dyDescent="0.2">
      <c r="A134" s="22"/>
      <c r="B134" s="12"/>
      <c r="C134" s="9"/>
      <c r="D134" s="9"/>
      <c r="E134" s="13"/>
      <c r="F134" s="14"/>
      <c r="G134" s="12"/>
    </row>
    <row r="135" spans="1:7" ht="15" customHeight="1" x14ac:dyDescent="0.2">
      <c r="A135" s="22"/>
      <c r="B135" s="12"/>
      <c r="C135" s="9"/>
      <c r="D135" s="9"/>
      <c r="E135" s="13"/>
      <c r="F135" s="14"/>
      <c r="G135" s="12"/>
    </row>
    <row r="136" spans="1:7" ht="15" customHeight="1" x14ac:dyDescent="0.2">
      <c r="A136" s="22"/>
      <c r="B136" s="12"/>
      <c r="C136" s="9"/>
      <c r="D136" s="9"/>
      <c r="E136" s="13"/>
      <c r="F136" s="14"/>
      <c r="G136" s="12"/>
    </row>
    <row r="137" spans="1:7" ht="15" customHeight="1" x14ac:dyDescent="0.2">
      <c r="A137" s="22"/>
      <c r="B137" s="12"/>
      <c r="C137" s="9"/>
      <c r="D137" s="9"/>
      <c r="E137" s="13"/>
      <c r="F137" s="14"/>
      <c r="G137" s="12"/>
    </row>
    <row r="138" spans="1:7" ht="15" customHeight="1" x14ac:dyDescent="0.2">
      <c r="A138" s="22"/>
      <c r="B138" s="12"/>
      <c r="C138" s="9"/>
      <c r="D138" s="9"/>
      <c r="E138" s="13"/>
      <c r="F138" s="14"/>
      <c r="G138" s="12"/>
    </row>
    <row r="139" spans="1:7" ht="15" customHeight="1" x14ac:dyDescent="0.2">
      <c r="A139" s="22"/>
      <c r="B139" s="12"/>
      <c r="C139" s="9"/>
      <c r="D139" s="9"/>
      <c r="E139" s="13"/>
      <c r="F139" s="14"/>
      <c r="G139" s="12"/>
    </row>
    <row r="140" spans="1:7" ht="15" customHeight="1" x14ac:dyDescent="0.2">
      <c r="A140" s="22"/>
      <c r="B140" s="12"/>
      <c r="C140" s="9"/>
      <c r="D140" s="9"/>
      <c r="E140" s="13"/>
      <c r="F140" s="14"/>
      <c r="G140" s="12"/>
    </row>
    <row r="141" spans="1:7" ht="15" customHeight="1" x14ac:dyDescent="0.2">
      <c r="A141" s="22"/>
      <c r="B141" s="12"/>
      <c r="C141" s="9"/>
      <c r="D141" s="9"/>
      <c r="E141" s="13"/>
      <c r="F141" s="14"/>
      <c r="G141" s="12"/>
    </row>
    <row r="142" spans="1:7" ht="15" customHeight="1" x14ac:dyDescent="0.2">
      <c r="A142" s="22"/>
      <c r="B142" s="12"/>
      <c r="C142" s="9"/>
      <c r="D142" s="9"/>
      <c r="E142" s="13"/>
      <c r="F142" s="14"/>
      <c r="G142" s="12"/>
    </row>
    <row r="143" spans="1:7" ht="15" customHeight="1" x14ac:dyDescent="0.2">
      <c r="A143" s="22"/>
      <c r="B143" s="12"/>
      <c r="C143" s="9"/>
      <c r="D143" s="9"/>
      <c r="E143" s="13"/>
      <c r="F143" s="14"/>
      <c r="G143" s="12"/>
    </row>
    <row r="144" spans="1:7" ht="15" customHeight="1" x14ac:dyDescent="0.2">
      <c r="A144" s="22"/>
      <c r="B144" s="12"/>
      <c r="C144" s="9"/>
      <c r="D144" s="9"/>
      <c r="E144" s="13"/>
      <c r="F144" s="14"/>
      <c r="G144" s="12"/>
    </row>
    <row r="145" spans="1:7" ht="15" customHeight="1" x14ac:dyDescent="0.2">
      <c r="A145" s="22"/>
      <c r="B145" s="12"/>
      <c r="C145" s="9"/>
      <c r="D145" s="9"/>
      <c r="E145" s="13"/>
      <c r="F145" s="14"/>
      <c r="G145" s="12"/>
    </row>
    <row r="146" spans="1:7" ht="15" customHeight="1" x14ac:dyDescent="0.2">
      <c r="A146" s="22"/>
      <c r="B146" s="12"/>
      <c r="C146" s="9"/>
      <c r="D146" s="9"/>
      <c r="E146" s="13"/>
      <c r="F146" s="14"/>
      <c r="G146" s="12"/>
    </row>
    <row r="147" spans="1:7" ht="15" customHeight="1" x14ac:dyDescent="0.2">
      <c r="A147" s="22"/>
      <c r="B147" s="12"/>
      <c r="C147" s="9"/>
      <c r="D147" s="9"/>
      <c r="E147" s="13"/>
      <c r="F147" s="14"/>
      <c r="G147" s="12"/>
    </row>
    <row r="148" spans="1:7" ht="15" customHeight="1" x14ac:dyDescent="0.2">
      <c r="A148" s="22"/>
      <c r="B148" s="12"/>
      <c r="C148" s="9"/>
      <c r="D148" s="9"/>
      <c r="E148" s="13"/>
      <c r="F148" s="14"/>
      <c r="G148" s="12"/>
    </row>
    <row r="149" spans="1:7" ht="15" customHeight="1" x14ac:dyDescent="0.2">
      <c r="A149" s="22"/>
      <c r="B149" s="12"/>
      <c r="C149" s="9"/>
      <c r="D149" s="9"/>
      <c r="E149" s="13"/>
      <c r="F149" s="14"/>
      <c r="G149" s="12"/>
    </row>
    <row r="150" spans="1:7" ht="15" customHeight="1" x14ac:dyDescent="0.2">
      <c r="A150" s="22"/>
      <c r="B150" s="12"/>
      <c r="C150" s="9"/>
      <c r="D150" s="9"/>
      <c r="E150" s="13"/>
      <c r="F150" s="14"/>
      <c r="G150" s="12"/>
    </row>
    <row r="151" spans="1:7" ht="15" customHeight="1" x14ac:dyDescent="0.2">
      <c r="A151" s="22"/>
      <c r="B151" s="12"/>
      <c r="C151" s="9"/>
      <c r="D151" s="9"/>
      <c r="E151" s="13"/>
      <c r="F151" s="14"/>
      <c r="G151" s="12"/>
    </row>
    <row r="152" spans="1:7" ht="15" customHeight="1" x14ac:dyDescent="0.2">
      <c r="A152" s="22"/>
      <c r="B152" s="12"/>
      <c r="C152" s="9"/>
      <c r="D152" s="9"/>
      <c r="E152" s="13"/>
      <c r="F152" s="14"/>
      <c r="G152" s="12"/>
    </row>
    <row r="153" spans="1:7" ht="15" customHeight="1" x14ac:dyDescent="0.2">
      <c r="A153" s="22"/>
      <c r="B153" s="12"/>
      <c r="C153" s="9"/>
      <c r="D153" s="9"/>
      <c r="E153" s="13"/>
      <c r="F153" s="14"/>
      <c r="G153" s="12"/>
    </row>
    <row r="154" spans="1:7" ht="15" customHeight="1" x14ac:dyDescent="0.2">
      <c r="A154" s="22"/>
      <c r="B154" s="12"/>
      <c r="C154" s="9"/>
      <c r="D154" s="9"/>
      <c r="E154" s="13"/>
      <c r="F154" s="14"/>
      <c r="G154" s="12"/>
    </row>
    <row r="155" spans="1:7" ht="15" customHeight="1" x14ac:dyDescent="0.2">
      <c r="A155" s="22"/>
      <c r="B155" s="12"/>
      <c r="C155" s="9"/>
      <c r="D155" s="9"/>
      <c r="E155" s="13"/>
      <c r="F155" s="14"/>
      <c r="G155" s="12"/>
    </row>
    <row r="156" spans="1:7" ht="15" customHeight="1" x14ac:dyDescent="0.2">
      <c r="A156" s="22"/>
      <c r="B156" s="12"/>
      <c r="C156" s="9"/>
      <c r="D156" s="9"/>
      <c r="E156" s="13"/>
      <c r="F156" s="14"/>
      <c r="G156" s="12"/>
    </row>
    <row r="157" spans="1:7" ht="15" customHeight="1" x14ac:dyDescent="0.2">
      <c r="A157" s="22"/>
      <c r="B157" s="12"/>
      <c r="C157" s="9"/>
      <c r="D157" s="9"/>
      <c r="E157" s="13"/>
      <c r="F157" s="14"/>
      <c r="G157" s="12"/>
    </row>
    <row r="158" spans="1:7" ht="15" customHeight="1" x14ac:dyDescent="0.2">
      <c r="A158" s="22"/>
      <c r="B158" s="12"/>
      <c r="C158" s="9"/>
      <c r="D158" s="9"/>
      <c r="E158" s="13"/>
      <c r="F158" s="14"/>
      <c r="G158" s="12"/>
    </row>
    <row r="159" spans="1:7" ht="15" customHeight="1" x14ac:dyDescent="0.2">
      <c r="A159" s="22"/>
      <c r="B159" s="12"/>
      <c r="C159" s="9"/>
      <c r="D159" s="9"/>
      <c r="E159" s="13"/>
      <c r="F159" s="14"/>
      <c r="G159" s="12"/>
    </row>
    <row r="160" spans="1:7" ht="15" customHeight="1" x14ac:dyDescent="0.2">
      <c r="A160" s="22"/>
      <c r="B160" s="12"/>
      <c r="C160" s="9"/>
      <c r="D160" s="9"/>
      <c r="E160" s="13"/>
      <c r="F160" s="14"/>
      <c r="G160" s="12"/>
    </row>
    <row r="161" spans="1:7" ht="15" customHeight="1" x14ac:dyDescent="0.2">
      <c r="A161" s="22"/>
      <c r="B161" s="12"/>
      <c r="C161" s="9"/>
      <c r="D161" s="9"/>
      <c r="E161" s="13"/>
      <c r="F161" s="14"/>
      <c r="G161" s="12"/>
    </row>
    <row r="162" spans="1:7" ht="15" customHeight="1" x14ac:dyDescent="0.2">
      <c r="A162" s="22"/>
      <c r="B162" s="12"/>
      <c r="C162" s="9"/>
      <c r="D162" s="9"/>
      <c r="E162" s="13"/>
      <c r="F162" s="14"/>
      <c r="G162" s="12"/>
    </row>
    <row r="163" spans="1:7" ht="15" customHeight="1" x14ac:dyDescent="0.2">
      <c r="A163" s="22"/>
      <c r="B163" s="12"/>
      <c r="C163" s="9"/>
      <c r="D163" s="9"/>
      <c r="E163" s="13"/>
      <c r="F163" s="14"/>
      <c r="G163" s="12"/>
    </row>
    <row r="164" spans="1:7" ht="15" customHeight="1" x14ac:dyDescent="0.2">
      <c r="A164" s="22"/>
      <c r="B164" s="12"/>
      <c r="C164" s="9"/>
      <c r="D164" s="9"/>
      <c r="E164" s="13"/>
      <c r="F164" s="14"/>
      <c r="G164" s="12"/>
    </row>
    <row r="165" spans="1:7" ht="15" customHeight="1" x14ac:dyDescent="0.2">
      <c r="A165" s="22"/>
      <c r="B165" s="12"/>
      <c r="C165" s="9"/>
      <c r="D165" s="9"/>
      <c r="E165" s="13"/>
      <c r="F165" s="14"/>
      <c r="G165" s="12"/>
    </row>
    <row r="166" spans="1:7" ht="15" customHeight="1" x14ac:dyDescent="0.2">
      <c r="A166" s="22"/>
      <c r="B166" s="12"/>
      <c r="C166" s="9"/>
      <c r="D166" s="9"/>
      <c r="E166" s="13"/>
      <c r="F166" s="14"/>
      <c r="G166" s="12"/>
    </row>
    <row r="167" spans="1:7" ht="15" customHeight="1" x14ac:dyDescent="0.2">
      <c r="A167" s="22"/>
      <c r="B167" s="12"/>
      <c r="C167" s="9"/>
      <c r="D167" s="9"/>
      <c r="E167" s="13"/>
      <c r="F167" s="14"/>
      <c r="G167" s="12"/>
    </row>
    <row r="168" spans="1:7" ht="15" customHeight="1" x14ac:dyDescent="0.2">
      <c r="A168" s="22"/>
      <c r="B168" s="12"/>
      <c r="C168" s="9"/>
      <c r="D168" s="9"/>
      <c r="E168" s="13"/>
      <c r="F168" s="14"/>
      <c r="G168" s="12"/>
    </row>
    <row r="169" spans="1:7" ht="15" customHeight="1" x14ac:dyDescent="0.2">
      <c r="A169" s="22"/>
      <c r="B169" s="12"/>
      <c r="C169" s="9"/>
      <c r="D169" s="9"/>
      <c r="E169" s="13"/>
      <c r="F169" s="14"/>
      <c r="G169" s="12"/>
    </row>
    <row r="170" spans="1:7" ht="15" customHeight="1" x14ac:dyDescent="0.2">
      <c r="A170" s="22"/>
      <c r="B170" s="12"/>
      <c r="C170" s="9"/>
      <c r="D170" s="9"/>
      <c r="E170" s="13"/>
      <c r="F170" s="14"/>
      <c r="G170" s="12"/>
    </row>
    <row r="171" spans="1:7" ht="15" customHeight="1" x14ac:dyDescent="0.2">
      <c r="A171" s="22"/>
      <c r="B171" s="12"/>
      <c r="C171" s="9"/>
      <c r="D171" s="9"/>
      <c r="E171" s="13"/>
      <c r="F171" s="14"/>
      <c r="G171" s="12"/>
    </row>
    <row r="172" spans="1:7" ht="15" customHeight="1" x14ac:dyDescent="0.2">
      <c r="A172" s="22"/>
      <c r="B172" s="12"/>
      <c r="C172" s="9"/>
      <c r="D172" s="9"/>
      <c r="E172" s="13"/>
      <c r="F172" s="14"/>
      <c r="G172" s="12"/>
    </row>
    <row r="173" spans="1:7" ht="15" customHeight="1" x14ac:dyDescent="0.2">
      <c r="A173" s="22"/>
      <c r="B173" s="12"/>
      <c r="C173" s="9"/>
      <c r="D173" s="9"/>
      <c r="E173" s="13"/>
      <c r="F173" s="14"/>
      <c r="G173" s="12"/>
    </row>
    <row r="174" spans="1:7" ht="15" customHeight="1" x14ac:dyDescent="0.2">
      <c r="A174" s="22"/>
      <c r="B174" s="12"/>
      <c r="C174" s="9"/>
      <c r="D174" s="9"/>
      <c r="E174" s="13"/>
      <c r="F174" s="14"/>
      <c r="G174" s="12"/>
    </row>
    <row r="175" spans="1:7" ht="15" customHeight="1" x14ac:dyDescent="0.2">
      <c r="A175" s="22"/>
      <c r="B175" s="12"/>
      <c r="C175" s="9"/>
      <c r="D175" s="9"/>
      <c r="E175" s="13"/>
      <c r="F175" s="14"/>
      <c r="G175" s="12"/>
    </row>
    <row r="176" spans="1:7" ht="15" customHeight="1" x14ac:dyDescent="0.2">
      <c r="A176" s="22"/>
      <c r="B176" s="12"/>
      <c r="C176" s="9"/>
      <c r="D176" s="9"/>
      <c r="E176" s="13"/>
      <c r="F176" s="14"/>
      <c r="G176" s="12"/>
    </row>
    <row r="177" spans="1:7" ht="15" customHeight="1" x14ac:dyDescent="0.2">
      <c r="A177" s="22"/>
      <c r="B177" s="12"/>
      <c r="C177" s="9"/>
      <c r="D177" s="9"/>
      <c r="E177" s="13"/>
      <c r="F177" s="14"/>
      <c r="G177" s="12"/>
    </row>
    <row r="178" spans="1:7" ht="15" customHeight="1" x14ac:dyDescent="0.2">
      <c r="A178" s="22"/>
      <c r="B178" s="12"/>
      <c r="C178" s="9"/>
      <c r="D178" s="9"/>
      <c r="E178" s="13"/>
      <c r="F178" s="14"/>
      <c r="G178" s="12"/>
    </row>
    <row r="179" spans="1:7" ht="15" customHeight="1" x14ac:dyDescent="0.2">
      <c r="A179" s="22"/>
      <c r="B179" s="12"/>
      <c r="C179" s="9"/>
      <c r="D179" s="9"/>
      <c r="E179" s="13"/>
      <c r="F179" s="14"/>
      <c r="G179" s="12"/>
    </row>
    <row r="180" spans="1:7" ht="15" customHeight="1" x14ac:dyDescent="0.2">
      <c r="A180" s="22"/>
      <c r="B180" s="12"/>
      <c r="C180" s="9"/>
      <c r="D180" s="9"/>
      <c r="E180" s="13"/>
      <c r="F180" s="14"/>
      <c r="G180" s="12"/>
    </row>
    <row r="181" spans="1:7" ht="15" customHeight="1" x14ac:dyDescent="0.2">
      <c r="A181" s="22"/>
      <c r="B181" s="12"/>
      <c r="C181" s="9"/>
      <c r="D181" s="9"/>
      <c r="E181" s="13"/>
      <c r="F181" s="14"/>
      <c r="G181" s="12"/>
    </row>
    <row r="182" spans="1:7" ht="15" customHeight="1" x14ac:dyDescent="0.2">
      <c r="A182" s="22"/>
      <c r="B182" s="12"/>
      <c r="C182" s="9"/>
      <c r="D182" s="9"/>
      <c r="E182" s="13"/>
      <c r="F182" s="14"/>
      <c r="G182" s="12"/>
    </row>
    <row r="183" spans="1:7" ht="15" customHeight="1" x14ac:dyDescent="0.2">
      <c r="A183" s="22"/>
      <c r="B183" s="12"/>
      <c r="C183" s="9"/>
      <c r="D183" s="9"/>
      <c r="E183" s="13"/>
      <c r="F183" s="14"/>
      <c r="G183" s="12"/>
    </row>
    <row r="184" spans="1:7" ht="15" customHeight="1" x14ac:dyDescent="0.2">
      <c r="A184" s="22"/>
      <c r="B184" s="12"/>
      <c r="C184" s="9"/>
      <c r="D184" s="9"/>
      <c r="E184" s="13"/>
      <c r="F184" s="14"/>
      <c r="G184" s="12"/>
    </row>
    <row r="185" spans="1:7" ht="15" customHeight="1" x14ac:dyDescent="0.2">
      <c r="A185" s="22"/>
      <c r="B185" s="12"/>
      <c r="C185" s="9"/>
      <c r="D185" s="9"/>
      <c r="E185" s="13"/>
      <c r="F185" s="14"/>
      <c r="G185" s="12"/>
    </row>
    <row r="186" spans="1:7" ht="15" customHeight="1" x14ac:dyDescent="0.2">
      <c r="A186" s="22"/>
      <c r="B186" s="12"/>
      <c r="C186" s="9"/>
      <c r="D186" s="9"/>
      <c r="E186" s="13"/>
      <c r="F186" s="14"/>
      <c r="G186" s="12"/>
    </row>
    <row r="187" spans="1:7" ht="15" customHeight="1" x14ac:dyDescent="0.2">
      <c r="A187" s="22"/>
      <c r="B187" s="12"/>
      <c r="C187" s="9"/>
      <c r="D187" s="9"/>
      <c r="E187" s="13"/>
      <c r="F187" s="14"/>
      <c r="G187" s="12"/>
    </row>
    <row r="188" spans="1:7" ht="15" customHeight="1" x14ac:dyDescent="0.2">
      <c r="A188" s="22"/>
      <c r="B188" s="12"/>
      <c r="C188" s="9"/>
      <c r="D188" s="9"/>
      <c r="E188" s="13"/>
      <c r="F188" s="14"/>
      <c r="G188" s="12"/>
    </row>
    <row r="189" spans="1:7" ht="15" customHeight="1" x14ac:dyDescent="0.2">
      <c r="A189" s="22"/>
      <c r="B189" s="12"/>
      <c r="C189" s="9"/>
      <c r="D189" s="9"/>
      <c r="E189" s="13"/>
      <c r="F189" s="14"/>
      <c r="G189" s="12"/>
    </row>
    <row r="190" spans="1:7" ht="15" customHeight="1" x14ac:dyDescent="0.2">
      <c r="A190" s="22"/>
      <c r="B190" s="12"/>
      <c r="C190" s="9"/>
      <c r="D190" s="9"/>
      <c r="E190" s="13"/>
      <c r="F190" s="14"/>
      <c r="G190" s="12"/>
    </row>
    <row r="191" spans="1:7" ht="15" customHeight="1" x14ac:dyDescent="0.2">
      <c r="A191" s="22"/>
      <c r="B191" s="12"/>
      <c r="C191" s="9"/>
      <c r="D191" s="9"/>
      <c r="E191" s="13"/>
      <c r="F191" s="14"/>
      <c r="G191" s="12"/>
    </row>
    <row r="192" spans="1:7" ht="15" customHeight="1" x14ac:dyDescent="0.2">
      <c r="A192" s="22"/>
      <c r="B192" s="12"/>
      <c r="C192" s="9"/>
      <c r="D192" s="9"/>
      <c r="E192" s="13"/>
      <c r="F192" s="14"/>
      <c r="G192" s="12"/>
    </row>
    <row r="193" spans="1:7" ht="15" customHeight="1" x14ac:dyDescent="0.2">
      <c r="A193" s="22"/>
      <c r="B193" s="12"/>
      <c r="C193" s="9"/>
      <c r="D193" s="9"/>
      <c r="E193" s="13"/>
      <c r="F193" s="14"/>
      <c r="G193" s="12"/>
    </row>
    <row r="194" spans="1:7" ht="15" customHeight="1" x14ac:dyDescent="0.2">
      <c r="A194" s="22"/>
      <c r="B194" s="12"/>
      <c r="C194" s="9"/>
      <c r="D194" s="9"/>
      <c r="E194" s="13"/>
      <c r="F194" s="14"/>
      <c r="G194" s="12"/>
    </row>
    <row r="195" spans="1:7" ht="15" customHeight="1" x14ac:dyDescent="0.2">
      <c r="A195" s="22"/>
      <c r="B195" s="12"/>
      <c r="C195" s="9"/>
      <c r="D195" s="9"/>
      <c r="E195" s="13"/>
      <c r="F195" s="14"/>
      <c r="G195" s="12"/>
    </row>
    <row r="196" spans="1:7" ht="15" customHeight="1" x14ac:dyDescent="0.2">
      <c r="A196" s="22"/>
      <c r="B196" s="12"/>
      <c r="C196" s="9"/>
      <c r="D196" s="9"/>
      <c r="E196" s="13"/>
      <c r="F196" s="14"/>
      <c r="G196" s="12"/>
    </row>
    <row r="197" spans="1:7" ht="15" customHeight="1" x14ac:dyDescent="0.2">
      <c r="A197" s="22"/>
      <c r="B197" s="12"/>
      <c r="C197" s="9"/>
      <c r="D197" s="9"/>
      <c r="E197" s="13"/>
      <c r="F197" s="14"/>
      <c r="G197" s="12"/>
    </row>
    <row r="198" spans="1:7" ht="15" customHeight="1" x14ac:dyDescent="0.2">
      <c r="A198" s="22"/>
      <c r="B198" s="12"/>
      <c r="C198" s="9"/>
      <c r="D198" s="9"/>
      <c r="E198" s="13"/>
      <c r="F198" s="14"/>
      <c r="G198" s="12"/>
    </row>
    <row r="199" spans="1:7" ht="15" customHeight="1" x14ac:dyDescent="0.2">
      <c r="A199" s="22"/>
      <c r="B199" s="12"/>
      <c r="C199" s="9"/>
      <c r="D199" s="9"/>
      <c r="E199" s="13"/>
      <c r="F199" s="14"/>
      <c r="G199" s="12"/>
    </row>
    <row r="200" spans="1:7" ht="15" customHeight="1" x14ac:dyDescent="0.2">
      <c r="A200" s="22"/>
      <c r="B200" s="12"/>
      <c r="C200" s="9"/>
      <c r="D200" s="9"/>
      <c r="E200" s="13"/>
      <c r="F200" s="14"/>
      <c r="G200" s="12"/>
    </row>
    <row r="201" spans="1:7" ht="15" customHeight="1" x14ac:dyDescent="0.2">
      <c r="A201" s="22"/>
      <c r="B201" s="12"/>
      <c r="C201" s="9"/>
      <c r="D201" s="9"/>
      <c r="E201" s="13"/>
      <c r="F201" s="14"/>
      <c r="G201" s="12"/>
    </row>
    <row r="202" spans="1:7" ht="15" customHeight="1" x14ac:dyDescent="0.2">
      <c r="A202" s="22"/>
      <c r="B202" s="12"/>
      <c r="C202" s="9"/>
      <c r="D202" s="9"/>
      <c r="E202" s="13"/>
      <c r="F202" s="14"/>
      <c r="G202" s="12"/>
    </row>
    <row r="203" spans="1:7" ht="15" customHeight="1" x14ac:dyDescent="0.2">
      <c r="A203" s="22"/>
      <c r="B203" s="12"/>
      <c r="C203" s="9"/>
      <c r="D203" s="9"/>
      <c r="E203" s="13"/>
      <c r="F203" s="14"/>
      <c r="G203" s="12"/>
    </row>
    <row r="204" spans="1:7" ht="15" customHeight="1" x14ac:dyDescent="0.2">
      <c r="A204" s="22"/>
      <c r="B204" s="12"/>
      <c r="C204" s="9"/>
      <c r="D204" s="9"/>
      <c r="E204" s="13"/>
      <c r="F204" s="14"/>
      <c r="G204" s="12"/>
    </row>
    <row r="205" spans="1:7" ht="15" customHeight="1" x14ac:dyDescent="0.2">
      <c r="A205" s="22"/>
      <c r="B205" s="12"/>
      <c r="C205" s="9"/>
      <c r="D205" s="9"/>
      <c r="E205" s="13"/>
      <c r="F205" s="14"/>
      <c r="G205" s="12"/>
    </row>
    <row r="206" spans="1:7" ht="15" customHeight="1" x14ac:dyDescent="0.2">
      <c r="A206" s="22"/>
      <c r="B206" s="12"/>
      <c r="C206" s="9"/>
      <c r="D206" s="9"/>
      <c r="E206" s="13"/>
      <c r="F206" s="14"/>
      <c r="G206" s="12"/>
    </row>
    <row r="207" spans="1:7" ht="15" customHeight="1" x14ac:dyDescent="0.2">
      <c r="A207" s="22"/>
      <c r="B207" s="12"/>
      <c r="C207" s="9"/>
      <c r="D207" s="9"/>
      <c r="E207" s="13"/>
      <c r="F207" s="14"/>
      <c r="G207" s="12"/>
    </row>
    <row r="208" spans="1:7" ht="15" customHeight="1" x14ac:dyDescent="0.2">
      <c r="A208" s="22"/>
      <c r="B208" s="12"/>
      <c r="C208" s="9"/>
      <c r="D208" s="9"/>
      <c r="E208" s="13"/>
      <c r="F208" s="14"/>
      <c r="G208" s="12"/>
    </row>
    <row r="209" spans="1:7" ht="15" customHeight="1" x14ac:dyDescent="0.2">
      <c r="A209" s="22"/>
      <c r="B209" s="12"/>
      <c r="C209" s="9"/>
      <c r="D209" s="9"/>
      <c r="E209" s="13"/>
      <c r="F209" s="14"/>
      <c r="G209" s="12"/>
    </row>
    <row r="210" spans="1:7" ht="15" customHeight="1" x14ac:dyDescent="0.2">
      <c r="A210" s="22"/>
      <c r="B210" s="12"/>
      <c r="C210" s="9"/>
      <c r="D210" s="9"/>
      <c r="E210" s="13"/>
      <c r="F210" s="14"/>
      <c r="G210" s="12"/>
    </row>
    <row r="211" spans="1:7" ht="15" customHeight="1" x14ac:dyDescent="0.2">
      <c r="A211" s="22"/>
      <c r="B211" s="12"/>
      <c r="C211" s="9"/>
      <c r="D211" s="9"/>
      <c r="E211" s="13"/>
      <c r="F211" s="14"/>
      <c r="G211" s="12"/>
    </row>
    <row r="212" spans="1:7" ht="15" customHeight="1" x14ac:dyDescent="0.2">
      <c r="A212" s="22"/>
      <c r="B212" s="12"/>
      <c r="C212" s="9"/>
      <c r="D212" s="9"/>
      <c r="E212" s="13"/>
      <c r="F212" s="14"/>
      <c r="G212" s="12"/>
    </row>
    <row r="213" spans="1:7" ht="15" customHeight="1" x14ac:dyDescent="0.2">
      <c r="A213" s="22"/>
      <c r="B213" s="12"/>
      <c r="C213" s="9"/>
      <c r="D213" s="9"/>
      <c r="E213" s="13"/>
      <c r="F213" s="14"/>
      <c r="G213" s="12"/>
    </row>
    <row r="214" spans="1:7" ht="15" customHeight="1" x14ac:dyDescent="0.2">
      <c r="A214" s="22"/>
      <c r="B214" s="12"/>
      <c r="C214" s="9"/>
      <c r="D214" s="9"/>
      <c r="E214" s="13"/>
      <c r="F214" s="14"/>
      <c r="G214" s="12"/>
    </row>
    <row r="215" spans="1:7" ht="15" customHeight="1" x14ac:dyDescent="0.2">
      <c r="A215" s="22"/>
      <c r="B215" s="12"/>
      <c r="C215" s="9"/>
      <c r="D215" s="9"/>
      <c r="E215" s="13"/>
      <c r="F215" s="14"/>
      <c r="G215" s="12"/>
    </row>
    <row r="216" spans="1:7" ht="15" customHeight="1" x14ac:dyDescent="0.2">
      <c r="A216" s="22"/>
      <c r="B216" s="12"/>
      <c r="C216" s="9"/>
      <c r="D216" s="9"/>
      <c r="E216" s="13"/>
      <c r="F216" s="14"/>
      <c r="G216" s="12"/>
    </row>
    <row r="217" spans="1:7" ht="15" customHeight="1" x14ac:dyDescent="0.2">
      <c r="A217" s="22"/>
      <c r="B217" s="12"/>
      <c r="C217" s="9"/>
      <c r="D217" s="9"/>
      <c r="E217" s="13"/>
      <c r="F217" s="14"/>
      <c r="G217" s="12"/>
    </row>
    <row r="218" spans="1:7" ht="15" customHeight="1" x14ac:dyDescent="0.2">
      <c r="A218" s="22"/>
      <c r="B218" s="12"/>
      <c r="C218" s="9"/>
      <c r="D218" s="9"/>
      <c r="E218" s="13"/>
      <c r="F218" s="14"/>
      <c r="G218" s="12"/>
    </row>
    <row r="219" spans="1:7" ht="15" customHeight="1" x14ac:dyDescent="0.2">
      <c r="A219" s="22"/>
      <c r="B219" s="12"/>
      <c r="C219" s="9"/>
      <c r="D219" s="9"/>
      <c r="E219" s="13"/>
      <c r="F219" s="14"/>
      <c r="G219" s="12"/>
    </row>
    <row r="220" spans="1:7" ht="15" customHeight="1" x14ac:dyDescent="0.2">
      <c r="A220" s="22"/>
      <c r="B220" s="12"/>
      <c r="C220" s="9"/>
      <c r="D220" s="9"/>
      <c r="E220" s="13"/>
      <c r="F220" s="14"/>
      <c r="G220" s="12"/>
    </row>
    <row r="221" spans="1:7" ht="15" customHeight="1" x14ac:dyDescent="0.2">
      <c r="A221" s="22"/>
      <c r="B221" s="12"/>
      <c r="C221" s="9"/>
      <c r="D221" s="9"/>
      <c r="E221" s="13"/>
      <c r="F221" s="14"/>
      <c r="G221" s="12"/>
    </row>
    <row r="222" spans="1:7" ht="15" customHeight="1" x14ac:dyDescent="0.2">
      <c r="A222" s="22"/>
      <c r="B222" s="12"/>
      <c r="C222" s="9"/>
      <c r="D222" s="9"/>
      <c r="E222" s="13"/>
      <c r="F222" s="14"/>
      <c r="G222" s="12"/>
    </row>
    <row r="223" spans="1:7" ht="15" customHeight="1" x14ac:dyDescent="0.2">
      <c r="A223" s="22"/>
      <c r="B223" s="12"/>
      <c r="C223" s="9"/>
      <c r="D223" s="9"/>
      <c r="E223" s="13"/>
      <c r="F223" s="14"/>
      <c r="G223" s="12"/>
    </row>
    <row r="224" spans="1:7" ht="15" customHeight="1" x14ac:dyDescent="0.2">
      <c r="A224" s="22"/>
      <c r="B224" s="12"/>
      <c r="C224" s="9"/>
      <c r="D224" s="9"/>
      <c r="E224" s="13"/>
      <c r="F224" s="14"/>
      <c r="G224" s="12"/>
    </row>
    <row r="225" spans="1:7" ht="15" customHeight="1" x14ac:dyDescent="0.2">
      <c r="A225" s="22"/>
      <c r="B225" s="12"/>
      <c r="C225" s="9"/>
      <c r="D225" s="9"/>
      <c r="E225" s="13"/>
      <c r="F225" s="14"/>
      <c r="G225" s="12"/>
    </row>
    <row r="226" spans="1:7" ht="15" customHeight="1" x14ac:dyDescent="0.2">
      <c r="A226" s="22"/>
      <c r="B226" s="12"/>
      <c r="C226" s="9"/>
      <c r="D226" s="9"/>
      <c r="E226" s="13"/>
      <c r="F226" s="14"/>
      <c r="G226" s="12"/>
    </row>
    <row r="227" spans="1:7" ht="15" customHeight="1" x14ac:dyDescent="0.2">
      <c r="A227" s="22"/>
      <c r="B227" s="12"/>
      <c r="C227" s="9"/>
      <c r="D227" s="9"/>
      <c r="E227" s="13"/>
      <c r="F227" s="14"/>
      <c r="G227" s="12"/>
    </row>
    <row r="228" spans="1:7" ht="15" customHeight="1" x14ac:dyDescent="0.2">
      <c r="A228" s="22"/>
      <c r="B228" s="12"/>
      <c r="C228" s="9"/>
      <c r="D228" s="9"/>
      <c r="E228" s="13"/>
      <c r="F228" s="14"/>
      <c r="G228" s="12"/>
    </row>
    <row r="229" spans="1:7" ht="15" customHeight="1" x14ac:dyDescent="0.2">
      <c r="A229" s="22"/>
      <c r="B229" s="12"/>
      <c r="C229" s="9"/>
      <c r="D229" s="9"/>
      <c r="E229" s="13"/>
      <c r="F229" s="14"/>
      <c r="G229" s="12"/>
    </row>
    <row r="230" spans="1:7" ht="15" customHeight="1" x14ac:dyDescent="0.2">
      <c r="A230" s="22"/>
      <c r="B230" s="12"/>
      <c r="C230" s="9"/>
      <c r="D230" s="9"/>
      <c r="E230" s="13"/>
      <c r="F230" s="14"/>
      <c r="G230" s="12"/>
    </row>
    <row r="231" spans="1:7" ht="15" customHeight="1" x14ac:dyDescent="0.2">
      <c r="A231" s="22"/>
      <c r="B231" s="12"/>
      <c r="C231" s="9"/>
      <c r="D231" s="9"/>
      <c r="E231" s="13"/>
      <c r="F231" s="14"/>
      <c r="G231" s="12"/>
    </row>
    <row r="232" spans="1:7" ht="15" customHeight="1" x14ac:dyDescent="0.2">
      <c r="A232" s="22"/>
      <c r="B232" s="12"/>
      <c r="C232" s="9"/>
      <c r="D232" s="9"/>
      <c r="E232" s="13"/>
      <c r="F232" s="14"/>
      <c r="G232" s="12"/>
    </row>
    <row r="233" spans="1:7" ht="15" customHeight="1" x14ac:dyDescent="0.2">
      <c r="A233" s="22"/>
      <c r="B233" s="12"/>
      <c r="C233" s="9"/>
      <c r="D233" s="9"/>
      <c r="E233" s="13"/>
      <c r="F233" s="14"/>
      <c r="G233" s="12"/>
    </row>
    <row r="234" spans="1:7" ht="15" customHeight="1" x14ac:dyDescent="0.2">
      <c r="A234" s="22"/>
      <c r="B234" s="12"/>
      <c r="C234" s="9"/>
      <c r="D234" s="9"/>
      <c r="E234" s="13"/>
      <c r="F234" s="14"/>
      <c r="G234" s="12"/>
    </row>
    <row r="235" spans="1:7" ht="15" customHeight="1" x14ac:dyDescent="0.2">
      <c r="A235" s="22"/>
      <c r="B235" s="12"/>
      <c r="C235" s="9"/>
      <c r="D235" s="9"/>
      <c r="E235" s="13"/>
      <c r="F235" s="14"/>
      <c r="G235" s="12"/>
    </row>
    <row r="236" spans="1:7" ht="15" customHeight="1" x14ac:dyDescent="0.2">
      <c r="A236" s="22"/>
      <c r="B236" s="12"/>
      <c r="C236" s="9"/>
      <c r="D236" s="9"/>
      <c r="E236" s="13"/>
      <c r="F236" s="14"/>
      <c r="G236" s="12"/>
    </row>
    <row r="237" spans="1:7" ht="15" customHeight="1" x14ac:dyDescent="0.2">
      <c r="A237" s="22"/>
      <c r="B237" s="12"/>
      <c r="C237" s="9"/>
      <c r="D237" s="9"/>
      <c r="E237" s="13"/>
      <c r="F237" s="14"/>
      <c r="G237" s="12"/>
    </row>
    <row r="238" spans="1:7" ht="15" customHeight="1" x14ac:dyDescent="0.2">
      <c r="A238" s="22"/>
      <c r="B238" s="12"/>
      <c r="C238" s="9"/>
      <c r="D238" s="9"/>
      <c r="E238" s="13"/>
      <c r="F238" s="14"/>
      <c r="G238" s="12"/>
    </row>
    <row r="239" spans="1:7" ht="15" customHeight="1" x14ac:dyDescent="0.2">
      <c r="A239" s="22"/>
      <c r="B239" s="12"/>
      <c r="C239" s="9"/>
      <c r="D239" s="9"/>
      <c r="E239" s="13"/>
      <c r="F239" s="14"/>
      <c r="G239" s="12"/>
    </row>
    <row r="240" spans="1:7" ht="15" customHeight="1" x14ac:dyDescent="0.2">
      <c r="A240" s="22"/>
      <c r="B240" s="12"/>
      <c r="C240" s="9"/>
      <c r="D240" s="9"/>
      <c r="E240" s="13"/>
      <c r="F240" s="14"/>
      <c r="G240" s="12"/>
    </row>
    <row r="241" spans="1:7" ht="15" customHeight="1" x14ac:dyDescent="0.2">
      <c r="A241" s="22"/>
      <c r="B241" s="12"/>
      <c r="C241" s="9"/>
      <c r="D241" s="9"/>
      <c r="E241" s="13"/>
      <c r="F241" s="14"/>
      <c r="G241" s="12"/>
    </row>
    <row r="242" spans="1:7" ht="15" customHeight="1" x14ac:dyDescent="0.2">
      <c r="A242" s="22"/>
      <c r="B242" s="12"/>
      <c r="C242" s="9"/>
      <c r="D242" s="9"/>
      <c r="E242" s="13"/>
      <c r="F242" s="14"/>
      <c r="G242" s="12"/>
    </row>
    <row r="243" spans="1:7" ht="15" customHeight="1" x14ac:dyDescent="0.2">
      <c r="A243" s="22"/>
      <c r="B243" s="12"/>
      <c r="C243" s="9"/>
      <c r="D243" s="9"/>
      <c r="E243" s="13"/>
      <c r="F243" s="14"/>
      <c r="G243" s="12"/>
    </row>
    <row r="244" spans="1:7" ht="15" customHeight="1" x14ac:dyDescent="0.2">
      <c r="A244" s="22"/>
      <c r="B244" s="12"/>
      <c r="C244" s="9"/>
      <c r="D244" s="9"/>
      <c r="E244" s="13"/>
      <c r="F244" s="14"/>
      <c r="G244" s="12"/>
    </row>
    <row r="245" spans="1:7" ht="15" customHeight="1" x14ac:dyDescent="0.2">
      <c r="A245" s="22"/>
      <c r="B245" s="12"/>
      <c r="C245" s="9"/>
      <c r="D245" s="9"/>
      <c r="E245" s="13"/>
      <c r="F245" s="14"/>
      <c r="G245" s="12"/>
    </row>
    <row r="246" spans="1:7" ht="15" customHeight="1" x14ac:dyDescent="0.2">
      <c r="A246" s="22"/>
      <c r="B246" s="12"/>
      <c r="C246" s="9"/>
      <c r="D246" s="9"/>
      <c r="E246" s="13"/>
      <c r="F246" s="14"/>
      <c r="G246" s="12"/>
    </row>
    <row r="247" spans="1:7" ht="15" customHeight="1" x14ac:dyDescent="0.2">
      <c r="A247" s="22"/>
      <c r="B247" s="12"/>
      <c r="C247" s="9"/>
      <c r="D247" s="9"/>
      <c r="E247" s="13"/>
      <c r="F247" s="14"/>
      <c r="G247" s="12"/>
    </row>
    <row r="248" spans="1:7" ht="15" customHeight="1" x14ac:dyDescent="0.2">
      <c r="A248" s="22"/>
      <c r="B248" s="12"/>
      <c r="C248" s="9"/>
      <c r="D248" s="9"/>
      <c r="E248" s="13"/>
      <c r="F248" s="14"/>
      <c r="G248" s="12"/>
    </row>
    <row r="249" spans="1:7" ht="15" customHeight="1" x14ac:dyDescent="0.2">
      <c r="A249" s="22"/>
      <c r="B249" s="12"/>
      <c r="C249" s="9"/>
      <c r="D249" s="9"/>
      <c r="E249" s="13"/>
      <c r="F249" s="14"/>
      <c r="G249" s="12"/>
    </row>
    <row r="250" spans="1:7" ht="15" customHeight="1" x14ac:dyDescent="0.2">
      <c r="A250" s="22"/>
      <c r="B250" s="12"/>
      <c r="C250" s="9"/>
      <c r="D250" s="9"/>
      <c r="E250" s="13"/>
      <c r="F250" s="14"/>
      <c r="G250" s="12"/>
    </row>
    <row r="251" spans="1:7" ht="15" customHeight="1" x14ac:dyDescent="0.2">
      <c r="A251" s="22"/>
      <c r="B251" s="12"/>
      <c r="C251" s="9"/>
      <c r="D251" s="9"/>
      <c r="E251" s="13"/>
      <c r="F251" s="14"/>
      <c r="G251" s="12"/>
    </row>
    <row r="252" spans="1:7" ht="15" customHeight="1" x14ac:dyDescent="0.2">
      <c r="A252" s="22"/>
      <c r="B252" s="12"/>
      <c r="C252" s="9"/>
      <c r="D252" s="9"/>
      <c r="E252" s="13"/>
      <c r="F252" s="14"/>
      <c r="G252" s="12"/>
    </row>
    <row r="253" spans="1:7" ht="15" customHeight="1" x14ac:dyDescent="0.2">
      <c r="A253" s="22"/>
      <c r="B253" s="12"/>
      <c r="C253" s="9"/>
      <c r="D253" s="9"/>
      <c r="E253" s="13"/>
      <c r="F253" s="14"/>
      <c r="G253" s="12"/>
    </row>
    <row r="254" spans="1:7" ht="15" customHeight="1" x14ac:dyDescent="0.2">
      <c r="A254" s="22"/>
      <c r="B254" s="12"/>
      <c r="C254" s="9"/>
      <c r="D254" s="9"/>
      <c r="E254" s="13"/>
      <c r="F254" s="14"/>
      <c r="G254" s="12"/>
    </row>
    <row r="255" spans="1:7" ht="15" customHeight="1" x14ac:dyDescent="0.2">
      <c r="A255" s="22"/>
      <c r="B255" s="12"/>
      <c r="C255" s="9"/>
      <c r="D255" s="9"/>
      <c r="E255" s="13"/>
      <c r="F255" s="14"/>
      <c r="G255" s="12"/>
    </row>
    <row r="256" spans="1:7" ht="15" customHeight="1" x14ac:dyDescent="0.2">
      <c r="A256" s="22"/>
      <c r="B256" s="12"/>
      <c r="C256" s="9"/>
      <c r="D256" s="9"/>
      <c r="E256" s="13"/>
      <c r="F256" s="14"/>
      <c r="G256" s="12"/>
    </row>
    <row r="257" spans="1:7" ht="15" customHeight="1" x14ac:dyDescent="0.2">
      <c r="A257" s="22"/>
      <c r="B257" s="12"/>
      <c r="C257" s="9"/>
      <c r="D257" s="9"/>
      <c r="E257" s="13"/>
      <c r="F257" s="14"/>
      <c r="G257" s="12"/>
    </row>
    <row r="258" spans="1:7" ht="15" customHeight="1" x14ac:dyDescent="0.2">
      <c r="A258" s="22"/>
      <c r="B258" s="12"/>
      <c r="C258" s="9"/>
      <c r="D258" s="9"/>
      <c r="E258" s="13"/>
      <c r="F258" s="14"/>
      <c r="G258" s="12"/>
    </row>
    <row r="259" spans="1:7" ht="15" customHeight="1" x14ac:dyDescent="0.2">
      <c r="A259" s="22"/>
      <c r="B259" s="12"/>
      <c r="C259" s="9"/>
      <c r="D259" s="9"/>
      <c r="E259" s="13"/>
      <c r="F259" s="14"/>
      <c r="G259" s="12"/>
    </row>
    <row r="260" spans="1:7" ht="15" customHeight="1" x14ac:dyDescent="0.2">
      <c r="A260" s="22"/>
      <c r="B260" s="12"/>
      <c r="C260" s="9"/>
      <c r="D260" s="9"/>
      <c r="E260" s="13"/>
      <c r="F260" s="14"/>
      <c r="G260" s="12"/>
    </row>
    <row r="261" spans="1:7" ht="15" customHeight="1" x14ac:dyDescent="0.2">
      <c r="A261" s="22"/>
      <c r="B261" s="12"/>
      <c r="C261" s="9"/>
      <c r="D261" s="9"/>
      <c r="E261" s="13"/>
      <c r="F261" s="14"/>
      <c r="G261" s="12"/>
    </row>
    <row r="262" spans="1:7" ht="15" customHeight="1" x14ac:dyDescent="0.2">
      <c r="A262" s="22"/>
      <c r="B262" s="12"/>
      <c r="C262" s="9"/>
      <c r="D262" s="9"/>
      <c r="E262" s="13"/>
      <c r="F262" s="14"/>
      <c r="G262" s="12"/>
    </row>
    <row r="263" spans="1:7" ht="15" customHeight="1" x14ac:dyDescent="0.2">
      <c r="A263" s="22"/>
      <c r="B263" s="12"/>
      <c r="C263" s="9"/>
      <c r="D263" s="9"/>
      <c r="E263" s="13"/>
      <c r="F263" s="14"/>
      <c r="G263" s="12"/>
    </row>
    <row r="264" spans="1:7" ht="15" customHeight="1" x14ac:dyDescent="0.2">
      <c r="A264" s="22"/>
      <c r="B264" s="12"/>
      <c r="C264" s="9"/>
      <c r="D264" s="9"/>
      <c r="E264" s="13"/>
      <c r="F264" s="14"/>
      <c r="G264" s="12"/>
    </row>
    <row r="265" spans="1:7" ht="15" customHeight="1" x14ac:dyDescent="0.2">
      <c r="A265" s="22"/>
      <c r="B265" s="12"/>
      <c r="C265" s="9"/>
      <c r="D265" s="9"/>
      <c r="E265" s="13"/>
      <c r="F265" s="14"/>
      <c r="G265" s="12"/>
    </row>
    <row r="266" spans="1:7" ht="15" customHeight="1" x14ac:dyDescent="0.2">
      <c r="A266" s="22"/>
      <c r="B266" s="12"/>
      <c r="C266" s="9"/>
      <c r="D266" s="9"/>
      <c r="E266" s="13"/>
      <c r="F266" s="14"/>
      <c r="G266" s="12"/>
    </row>
    <row r="267" spans="1:7" ht="15" customHeight="1" x14ac:dyDescent="0.2">
      <c r="A267" s="22"/>
      <c r="B267" s="12"/>
      <c r="C267" s="9"/>
      <c r="D267" s="9"/>
      <c r="E267" s="13"/>
      <c r="F267" s="14"/>
      <c r="G267" s="12"/>
    </row>
    <row r="268" spans="1:7" ht="15" customHeight="1" x14ac:dyDescent="0.2">
      <c r="A268" s="22"/>
      <c r="B268" s="12"/>
      <c r="C268" s="9"/>
      <c r="D268" s="9"/>
      <c r="E268" s="13"/>
      <c r="F268" s="14"/>
      <c r="G268" s="12"/>
    </row>
    <row r="269" spans="1:7" ht="15" customHeight="1" x14ac:dyDescent="0.2">
      <c r="A269" s="22"/>
      <c r="B269" s="12"/>
      <c r="C269" s="9"/>
      <c r="D269" s="9"/>
      <c r="E269" s="13"/>
      <c r="F269" s="14"/>
      <c r="G269" s="12"/>
    </row>
    <row r="270" spans="1:7" ht="15" customHeight="1" x14ac:dyDescent="0.2">
      <c r="A270" s="22"/>
      <c r="B270" s="12"/>
      <c r="C270" s="9"/>
      <c r="D270" s="9"/>
      <c r="E270" s="13"/>
      <c r="F270" s="14"/>
      <c r="G270" s="12"/>
    </row>
    <row r="271" spans="1:7" ht="15" customHeight="1" x14ac:dyDescent="0.2">
      <c r="A271" s="22"/>
      <c r="B271" s="12"/>
      <c r="C271" s="9"/>
      <c r="D271" s="9"/>
      <c r="E271" s="13"/>
      <c r="F271" s="14"/>
      <c r="G271" s="12"/>
    </row>
    <row r="272" spans="1:7" ht="15" customHeight="1" x14ac:dyDescent="0.2">
      <c r="A272" s="22"/>
      <c r="B272" s="12"/>
      <c r="C272" s="9"/>
      <c r="D272" s="9"/>
      <c r="E272" s="13"/>
      <c r="F272" s="14"/>
      <c r="G272" s="12"/>
    </row>
    <row r="273" spans="1:7" ht="15" customHeight="1" x14ac:dyDescent="0.2">
      <c r="A273" s="22"/>
      <c r="B273" s="12"/>
      <c r="C273" s="9"/>
      <c r="D273" s="9"/>
      <c r="E273" s="13"/>
      <c r="F273" s="14"/>
      <c r="G273" s="12"/>
    </row>
    <row r="274" spans="1:7" ht="15" customHeight="1" x14ac:dyDescent="0.2">
      <c r="A274" s="22"/>
      <c r="B274" s="12"/>
      <c r="C274" s="9"/>
      <c r="D274" s="9"/>
      <c r="E274" s="13"/>
      <c r="F274" s="14"/>
      <c r="G274" s="12"/>
    </row>
    <row r="275" spans="1:7" ht="15" customHeight="1" x14ac:dyDescent="0.2">
      <c r="A275" s="22"/>
      <c r="B275" s="12"/>
      <c r="C275" s="9"/>
      <c r="D275" s="9"/>
      <c r="E275" s="13"/>
      <c r="F275" s="14"/>
      <c r="G275" s="12"/>
    </row>
    <row r="276" spans="1:7" ht="15" customHeight="1" x14ac:dyDescent="0.2">
      <c r="A276" s="22"/>
      <c r="B276" s="12"/>
      <c r="C276" s="9"/>
      <c r="D276" s="9"/>
      <c r="E276" s="13"/>
      <c r="F276" s="14"/>
      <c r="G276" s="12"/>
    </row>
    <row r="277" spans="1:7" ht="15" customHeight="1" x14ac:dyDescent="0.2">
      <c r="A277" s="22"/>
      <c r="B277" s="12"/>
      <c r="C277" s="9"/>
      <c r="D277" s="9"/>
      <c r="E277" s="13"/>
      <c r="F277" s="14"/>
      <c r="G277" s="12"/>
    </row>
    <row r="278" spans="1:7" ht="15" customHeight="1" x14ac:dyDescent="0.2">
      <c r="A278" s="22"/>
      <c r="B278" s="12"/>
      <c r="C278" s="9"/>
      <c r="D278" s="9"/>
      <c r="E278" s="13"/>
      <c r="F278" s="14"/>
      <c r="G278" s="12"/>
    </row>
    <row r="279" spans="1:7" ht="15" customHeight="1" x14ac:dyDescent="0.2">
      <c r="A279" s="22"/>
      <c r="B279" s="12"/>
      <c r="C279" s="9"/>
      <c r="D279" s="9"/>
      <c r="E279" s="13"/>
      <c r="F279" s="14"/>
      <c r="G279" s="12"/>
    </row>
    <row r="280" spans="1:7" ht="15" customHeight="1" x14ac:dyDescent="0.2">
      <c r="A280" s="22"/>
      <c r="B280" s="12"/>
      <c r="C280" s="9"/>
      <c r="D280" s="9"/>
      <c r="E280" s="13"/>
      <c r="F280" s="14"/>
      <c r="G280" s="12"/>
    </row>
    <row r="281" spans="1:7" ht="15" customHeight="1" x14ac:dyDescent="0.2">
      <c r="A281" s="22"/>
      <c r="B281" s="12"/>
      <c r="C281" s="9"/>
      <c r="D281" s="9"/>
      <c r="E281" s="13"/>
      <c r="F281" s="14"/>
      <c r="G281" s="12"/>
    </row>
    <row r="282" spans="1:7" ht="15" customHeight="1" x14ac:dyDescent="0.2">
      <c r="A282" s="22"/>
      <c r="B282" s="12"/>
      <c r="C282" s="9"/>
      <c r="D282" s="9"/>
      <c r="E282" s="13"/>
      <c r="F282" s="14"/>
      <c r="G282" s="12"/>
    </row>
    <row r="283" spans="1:7" ht="15" customHeight="1" x14ac:dyDescent="0.2">
      <c r="A283" s="22"/>
      <c r="B283" s="12"/>
      <c r="C283" s="9"/>
      <c r="D283" s="9"/>
      <c r="E283" s="13"/>
      <c r="F283" s="14"/>
      <c r="G283" s="12"/>
    </row>
    <row r="284" spans="1:7" ht="15" customHeight="1" x14ac:dyDescent="0.2">
      <c r="A284" s="22"/>
      <c r="B284" s="12"/>
      <c r="C284" s="9"/>
      <c r="D284" s="9"/>
      <c r="E284" s="13"/>
      <c r="F284" s="14"/>
      <c r="G284" s="12"/>
    </row>
    <row r="285" spans="1:7" ht="15" customHeight="1" x14ac:dyDescent="0.2">
      <c r="A285" s="22"/>
      <c r="B285" s="12"/>
      <c r="C285" s="9"/>
      <c r="D285" s="9"/>
      <c r="E285" s="13"/>
      <c r="F285" s="14"/>
      <c r="G285" s="12"/>
    </row>
    <row r="286" spans="1:7" ht="15" customHeight="1" x14ac:dyDescent="0.2">
      <c r="A286" s="22"/>
      <c r="B286" s="12"/>
      <c r="C286" s="9"/>
      <c r="D286" s="9"/>
      <c r="E286" s="13"/>
      <c r="F286" s="14"/>
      <c r="G286" s="12"/>
    </row>
    <row r="287" spans="1:7" ht="15" customHeight="1" x14ac:dyDescent="0.2">
      <c r="A287" s="22"/>
      <c r="B287" s="12"/>
      <c r="C287" s="9"/>
      <c r="D287" s="9"/>
      <c r="E287" s="13"/>
      <c r="F287" s="14"/>
      <c r="G287" s="12"/>
    </row>
    <row r="288" spans="1:7" ht="15" customHeight="1" x14ac:dyDescent="0.2">
      <c r="A288" s="22"/>
      <c r="B288" s="12"/>
      <c r="C288" s="9"/>
      <c r="D288" s="9"/>
      <c r="E288" s="13"/>
      <c r="F288" s="14"/>
      <c r="G288" s="12"/>
    </row>
    <row r="289" spans="1:7" ht="15" customHeight="1" x14ac:dyDescent="0.2">
      <c r="A289" s="22"/>
      <c r="B289" s="12"/>
      <c r="C289" s="9"/>
      <c r="D289" s="9"/>
      <c r="E289" s="13"/>
      <c r="F289" s="14"/>
      <c r="G289" s="12"/>
    </row>
    <row r="290" spans="1:7" ht="15" customHeight="1" x14ac:dyDescent="0.2">
      <c r="A290" s="22"/>
      <c r="B290" s="12"/>
      <c r="C290" s="9"/>
      <c r="D290" s="9"/>
      <c r="E290" s="13"/>
      <c r="F290" s="14"/>
      <c r="G290" s="12"/>
    </row>
    <row r="291" spans="1:7" ht="15" customHeight="1" x14ac:dyDescent="0.2">
      <c r="A291" s="22"/>
      <c r="B291" s="12"/>
      <c r="C291" s="9"/>
      <c r="D291" s="9"/>
      <c r="E291" s="13"/>
      <c r="F291" s="14"/>
      <c r="G291" s="12"/>
    </row>
    <row r="292" spans="1:7" ht="15" customHeight="1" x14ac:dyDescent="0.2">
      <c r="A292" s="22"/>
      <c r="B292" s="12"/>
      <c r="C292" s="9"/>
      <c r="D292" s="9"/>
      <c r="E292" s="13"/>
      <c r="F292" s="14"/>
      <c r="G292" s="12"/>
    </row>
    <row r="293" spans="1:7" ht="15" customHeight="1" x14ac:dyDescent="0.2">
      <c r="A293" s="22"/>
      <c r="B293" s="12"/>
      <c r="C293" s="9"/>
      <c r="D293" s="9"/>
      <c r="E293" s="13"/>
      <c r="F293" s="14"/>
      <c r="G293" s="12"/>
    </row>
    <row r="294" spans="1:7" ht="15" customHeight="1" x14ac:dyDescent="0.2">
      <c r="A294" s="22"/>
      <c r="B294" s="12"/>
      <c r="C294" s="9"/>
      <c r="D294" s="9"/>
      <c r="E294" s="13"/>
      <c r="F294" s="14"/>
      <c r="G294" s="12"/>
    </row>
    <row r="295" spans="1:7" ht="15" customHeight="1" x14ac:dyDescent="0.2">
      <c r="A295" s="22"/>
      <c r="B295" s="12"/>
      <c r="C295" s="9"/>
      <c r="D295" s="9"/>
      <c r="E295" s="13"/>
      <c r="F295" s="14"/>
      <c r="G295" s="12"/>
    </row>
    <row r="296" spans="1:7" ht="15" customHeight="1" x14ac:dyDescent="0.2">
      <c r="A296" s="22"/>
      <c r="B296" s="12"/>
      <c r="C296" s="9"/>
      <c r="D296" s="9"/>
      <c r="E296" s="13"/>
      <c r="F296" s="14"/>
      <c r="G296" s="12"/>
    </row>
    <row r="297" spans="1:7" ht="15" customHeight="1" x14ac:dyDescent="0.2">
      <c r="A297" s="22"/>
      <c r="B297" s="12"/>
      <c r="C297" s="9"/>
      <c r="D297" s="9"/>
      <c r="E297" s="13"/>
      <c r="F297" s="14"/>
      <c r="G297" s="12"/>
    </row>
    <row r="298" spans="1:7" ht="15" customHeight="1" x14ac:dyDescent="0.2">
      <c r="A298" s="22"/>
      <c r="B298" s="12"/>
      <c r="C298" s="9"/>
      <c r="D298" s="9"/>
      <c r="E298" s="13"/>
      <c r="F298" s="14"/>
      <c r="G298" s="12"/>
    </row>
    <row r="299" spans="1:7" ht="15" customHeight="1" x14ac:dyDescent="0.2">
      <c r="A299" s="22"/>
      <c r="B299" s="12"/>
      <c r="C299" s="9"/>
      <c r="D299" s="9"/>
      <c r="E299" s="13"/>
      <c r="F299" s="14"/>
      <c r="G299" s="12"/>
    </row>
    <row r="300" spans="1:7" ht="15" customHeight="1" x14ac:dyDescent="0.2">
      <c r="A300" s="22"/>
      <c r="B300" s="12"/>
      <c r="C300" s="9"/>
      <c r="D300" s="9"/>
      <c r="E300" s="13"/>
      <c r="F300" s="14"/>
      <c r="G300" s="12"/>
    </row>
    <row r="301" spans="1:7" ht="15" customHeight="1" x14ac:dyDescent="0.2">
      <c r="A301" s="22"/>
      <c r="B301" s="12"/>
      <c r="C301" s="9"/>
      <c r="D301" s="9"/>
      <c r="E301" s="13"/>
      <c r="F301" s="14"/>
      <c r="G301" s="12"/>
    </row>
    <row r="302" spans="1:7" ht="15" customHeight="1" x14ac:dyDescent="0.2">
      <c r="A302" s="22"/>
      <c r="B302" s="12"/>
      <c r="C302" s="9"/>
      <c r="D302" s="9"/>
      <c r="E302" s="13"/>
      <c r="F302" s="14"/>
      <c r="G302" s="12"/>
    </row>
    <row r="303" spans="1:7" ht="15" customHeight="1" x14ac:dyDescent="0.2">
      <c r="A303" s="22"/>
      <c r="B303" s="12"/>
      <c r="C303" s="9"/>
      <c r="D303" s="9"/>
      <c r="E303" s="13"/>
      <c r="F303" s="14"/>
      <c r="G303" s="12"/>
    </row>
    <row r="304" spans="1:7" ht="15" customHeight="1" x14ac:dyDescent="0.2">
      <c r="A304" s="22"/>
      <c r="B304" s="12"/>
      <c r="C304" s="9"/>
      <c r="D304" s="9"/>
      <c r="E304" s="13"/>
      <c r="F304" s="14"/>
      <c r="G304" s="12"/>
    </row>
    <row r="305" spans="1:7" ht="15" customHeight="1" x14ac:dyDescent="0.2">
      <c r="A305" s="22"/>
      <c r="B305" s="12"/>
      <c r="C305" s="9"/>
      <c r="D305" s="9"/>
      <c r="E305" s="13"/>
      <c r="F305" s="14"/>
      <c r="G305" s="12"/>
    </row>
    <row r="306" spans="1:7" ht="15" customHeight="1" x14ac:dyDescent="0.2">
      <c r="A306" s="22"/>
      <c r="B306" s="12"/>
      <c r="C306" s="9"/>
      <c r="D306" s="9"/>
      <c r="E306" s="13"/>
      <c r="F306" s="14"/>
      <c r="G306" s="12"/>
    </row>
    <row r="307" spans="1:7" ht="15" customHeight="1" x14ac:dyDescent="0.2">
      <c r="A307" s="22"/>
      <c r="B307" s="12"/>
      <c r="C307" s="9"/>
      <c r="D307" s="9"/>
      <c r="E307" s="13"/>
      <c r="F307" s="14"/>
      <c r="G307" s="12"/>
    </row>
    <row r="308" spans="1:7" ht="15" customHeight="1" x14ac:dyDescent="0.2">
      <c r="A308" s="22"/>
      <c r="B308" s="12"/>
      <c r="C308" s="9"/>
      <c r="D308" s="9"/>
      <c r="E308" s="13"/>
      <c r="F308" s="14"/>
      <c r="G308" s="12"/>
    </row>
    <row r="309" spans="1:7" ht="15" customHeight="1" x14ac:dyDescent="0.2">
      <c r="A309" s="22"/>
      <c r="B309" s="12"/>
      <c r="C309" s="9"/>
      <c r="D309" s="9"/>
      <c r="E309" s="13"/>
      <c r="F309" s="14"/>
      <c r="G309" s="12"/>
    </row>
    <row r="310" spans="1:7" ht="15" customHeight="1" x14ac:dyDescent="0.2">
      <c r="A310" s="22"/>
      <c r="B310" s="12"/>
      <c r="C310" s="9"/>
      <c r="D310" s="9"/>
      <c r="E310" s="13"/>
      <c r="F310" s="14"/>
      <c r="G310" s="12"/>
    </row>
    <row r="311" spans="1:7" ht="15" customHeight="1" x14ac:dyDescent="0.2">
      <c r="A311" s="22"/>
      <c r="B311" s="12"/>
      <c r="C311" s="9"/>
      <c r="D311" s="9"/>
      <c r="E311" s="13"/>
      <c r="F311" s="14"/>
      <c r="G311" s="12"/>
    </row>
    <row r="312" spans="1:7" ht="15" customHeight="1" x14ac:dyDescent="0.2">
      <c r="A312" s="22"/>
      <c r="B312" s="12"/>
      <c r="C312" s="9"/>
      <c r="D312" s="9"/>
      <c r="E312" s="13"/>
      <c r="F312" s="14"/>
      <c r="G312" s="12"/>
    </row>
    <row r="313" spans="1:7" ht="15" customHeight="1" x14ac:dyDescent="0.2">
      <c r="A313" s="22"/>
      <c r="B313" s="12"/>
      <c r="C313" s="9"/>
      <c r="D313" s="9"/>
      <c r="E313" s="13"/>
      <c r="F313" s="14"/>
      <c r="G313" s="12"/>
    </row>
    <row r="314" spans="1:7" ht="15" customHeight="1" x14ac:dyDescent="0.2">
      <c r="A314" s="22"/>
      <c r="B314" s="12"/>
      <c r="C314" s="9"/>
      <c r="D314" s="9"/>
      <c r="E314" s="13"/>
      <c r="F314" s="14"/>
      <c r="G314" s="12"/>
    </row>
    <row r="315" spans="1:7" ht="15" customHeight="1" x14ac:dyDescent="0.2">
      <c r="A315" s="22"/>
      <c r="B315" s="12"/>
      <c r="C315" s="9"/>
      <c r="D315" s="9"/>
      <c r="E315" s="13"/>
      <c r="F315" s="14"/>
      <c r="G315" s="12"/>
    </row>
    <row r="316" spans="1:7" ht="15" customHeight="1" x14ac:dyDescent="0.2">
      <c r="A316" s="22"/>
      <c r="B316" s="12"/>
      <c r="C316" s="9"/>
      <c r="D316" s="9"/>
      <c r="E316" s="13"/>
      <c r="F316" s="14"/>
      <c r="G316" s="12"/>
    </row>
    <row r="317" spans="1:7" ht="15" customHeight="1" x14ac:dyDescent="0.2">
      <c r="A317" s="22"/>
      <c r="B317" s="12"/>
      <c r="C317" s="9"/>
      <c r="D317" s="9"/>
      <c r="E317" s="13"/>
      <c r="F317" s="14"/>
      <c r="G317" s="12"/>
    </row>
    <row r="318" spans="1:7" ht="15" customHeight="1" x14ac:dyDescent="0.2">
      <c r="A318" s="22"/>
      <c r="B318" s="12"/>
      <c r="C318" s="9"/>
      <c r="D318" s="9"/>
      <c r="E318" s="13"/>
      <c r="F318" s="14"/>
      <c r="G318" s="12"/>
    </row>
    <row r="319" spans="1:7" ht="15" customHeight="1" x14ac:dyDescent="0.2">
      <c r="A319" s="22"/>
      <c r="B319" s="12"/>
      <c r="C319" s="9"/>
      <c r="D319" s="9"/>
      <c r="E319" s="13"/>
      <c r="F319" s="14"/>
      <c r="G319" s="12"/>
    </row>
    <row r="320" spans="1:7" ht="15" customHeight="1" x14ac:dyDescent="0.2">
      <c r="A320" s="22"/>
      <c r="B320" s="12"/>
      <c r="C320" s="9"/>
      <c r="D320" s="9"/>
      <c r="E320" s="13"/>
      <c r="F320" s="14"/>
      <c r="G320" s="12"/>
    </row>
    <row r="321" spans="1:7" ht="15" customHeight="1" x14ac:dyDescent="0.2">
      <c r="A321" s="22"/>
      <c r="B321" s="12"/>
      <c r="C321" s="9"/>
      <c r="D321" s="9"/>
      <c r="E321" s="13"/>
      <c r="F321" s="14"/>
      <c r="G321" s="12"/>
    </row>
    <row r="322" spans="1:7" ht="15" customHeight="1" x14ac:dyDescent="0.2">
      <c r="A322" s="22"/>
      <c r="B322" s="12"/>
      <c r="C322" s="9"/>
      <c r="D322" s="9"/>
      <c r="E322" s="13"/>
      <c r="F322" s="14"/>
      <c r="G322" s="12"/>
    </row>
    <row r="323" spans="1:7" ht="15" customHeight="1" x14ac:dyDescent="0.2">
      <c r="A323" s="22"/>
      <c r="B323" s="12"/>
      <c r="C323" s="9"/>
      <c r="D323" s="9"/>
      <c r="E323" s="13"/>
      <c r="F323" s="14"/>
      <c r="G323" s="12"/>
    </row>
    <row r="324" spans="1:7" ht="15" customHeight="1" x14ac:dyDescent="0.2">
      <c r="A324" s="22"/>
      <c r="B324" s="12"/>
      <c r="C324" s="9"/>
      <c r="D324" s="9"/>
      <c r="E324" s="13"/>
      <c r="F324" s="14"/>
      <c r="G324" s="12"/>
    </row>
    <row r="325" spans="1:7" ht="15" customHeight="1" x14ac:dyDescent="0.2">
      <c r="A325" s="22"/>
      <c r="B325" s="12"/>
      <c r="C325" s="9"/>
      <c r="D325" s="9"/>
      <c r="E325" s="13"/>
      <c r="F325" s="14"/>
      <c r="G325" s="12"/>
    </row>
    <row r="326" spans="1:7" ht="15" customHeight="1" x14ac:dyDescent="0.2">
      <c r="A326" s="22"/>
      <c r="B326" s="12"/>
      <c r="C326" s="9"/>
      <c r="D326" s="9"/>
      <c r="E326" s="13"/>
      <c r="F326" s="14"/>
      <c r="G326" s="12"/>
    </row>
    <row r="327" spans="1:7" ht="15" customHeight="1" x14ac:dyDescent="0.2">
      <c r="A327" s="22"/>
      <c r="B327" s="12"/>
      <c r="C327" s="9"/>
      <c r="D327" s="9"/>
      <c r="E327" s="13"/>
      <c r="F327" s="14"/>
      <c r="G327" s="12"/>
    </row>
    <row r="328" spans="1:7" ht="15" customHeight="1" x14ac:dyDescent="0.2">
      <c r="A328" s="22"/>
      <c r="B328" s="12"/>
      <c r="C328" s="9"/>
      <c r="D328" s="9"/>
      <c r="E328" s="13"/>
      <c r="F328" s="14"/>
      <c r="G328" s="12"/>
    </row>
    <row r="329" spans="1:7" ht="15" customHeight="1" x14ac:dyDescent="0.2">
      <c r="A329" s="22"/>
      <c r="B329" s="12"/>
      <c r="C329" s="9"/>
      <c r="D329" s="9"/>
      <c r="E329" s="13"/>
      <c r="F329" s="14"/>
      <c r="G329" s="12"/>
    </row>
    <row r="330" spans="1:7" ht="15" customHeight="1" x14ac:dyDescent="0.2">
      <c r="A330" s="22"/>
      <c r="B330" s="12"/>
      <c r="C330" s="9"/>
      <c r="D330" s="9"/>
      <c r="E330" s="13"/>
      <c r="F330" s="14"/>
      <c r="G330" s="12"/>
    </row>
    <row r="331" spans="1:7" ht="15" customHeight="1" x14ac:dyDescent="0.2">
      <c r="A331" s="22"/>
      <c r="B331" s="12"/>
      <c r="C331" s="9"/>
      <c r="D331" s="9"/>
      <c r="E331" s="13"/>
      <c r="F331" s="14"/>
      <c r="G331" s="12"/>
    </row>
    <row r="332" spans="1:7" ht="15" customHeight="1" x14ac:dyDescent="0.2">
      <c r="A332" s="22"/>
      <c r="B332" s="12"/>
      <c r="C332" s="9"/>
      <c r="D332" s="9"/>
      <c r="E332" s="13"/>
      <c r="F332" s="14"/>
      <c r="G332" s="12"/>
    </row>
    <row r="333" spans="1:7" ht="15" customHeight="1" x14ac:dyDescent="0.2">
      <c r="A333" s="22"/>
      <c r="B333" s="12"/>
      <c r="C333" s="9"/>
      <c r="D333" s="9"/>
      <c r="E333" s="13"/>
      <c r="F333" s="14"/>
      <c r="G333" s="12"/>
    </row>
    <row r="334" spans="1:7" ht="15" customHeight="1" x14ac:dyDescent="0.2">
      <c r="A334" s="22"/>
      <c r="B334" s="12"/>
      <c r="C334" s="9"/>
      <c r="D334" s="9"/>
      <c r="E334" s="13"/>
      <c r="F334" s="14"/>
      <c r="G334" s="12"/>
    </row>
    <row r="335" spans="1:7" ht="15" customHeight="1" x14ac:dyDescent="0.2">
      <c r="A335" s="22"/>
      <c r="B335" s="12"/>
      <c r="C335" s="9"/>
      <c r="D335" s="9"/>
      <c r="E335" s="13"/>
      <c r="F335" s="14"/>
      <c r="G335" s="12"/>
    </row>
    <row r="336" spans="1:7" ht="15" customHeight="1" x14ac:dyDescent="0.2">
      <c r="A336" s="22"/>
      <c r="B336" s="12"/>
      <c r="C336" s="9"/>
      <c r="D336" s="9"/>
      <c r="E336" s="13"/>
      <c r="F336" s="14"/>
      <c r="G336" s="12"/>
    </row>
    <row r="337" spans="1:7" ht="15" customHeight="1" x14ac:dyDescent="0.2">
      <c r="A337" s="22"/>
      <c r="B337" s="12"/>
      <c r="C337" s="9"/>
      <c r="D337" s="9"/>
      <c r="E337" s="13"/>
      <c r="F337" s="14"/>
      <c r="G337" s="12"/>
    </row>
    <row r="338" spans="1:7" ht="15" customHeight="1" x14ac:dyDescent="0.2">
      <c r="A338" s="22"/>
      <c r="B338" s="12"/>
      <c r="C338" s="9"/>
      <c r="D338" s="9"/>
      <c r="E338" s="13"/>
      <c r="F338" s="14"/>
      <c r="G338" s="12"/>
    </row>
    <row r="339" spans="1:7" ht="15" customHeight="1" x14ac:dyDescent="0.2">
      <c r="A339" s="22"/>
      <c r="B339" s="12"/>
      <c r="C339" s="9"/>
      <c r="D339" s="9"/>
      <c r="E339" s="13"/>
      <c r="F339" s="14"/>
      <c r="G339" s="12"/>
    </row>
    <row r="340" spans="1:7" ht="15" customHeight="1" x14ac:dyDescent="0.2">
      <c r="A340" s="22"/>
      <c r="B340" s="12"/>
      <c r="C340" s="9"/>
      <c r="D340" s="9"/>
      <c r="E340" s="13"/>
      <c r="F340" s="14"/>
      <c r="G340" s="12"/>
    </row>
    <row r="341" spans="1:7" ht="15" customHeight="1" x14ac:dyDescent="0.2">
      <c r="A341" s="22"/>
      <c r="B341" s="12"/>
      <c r="C341" s="9"/>
      <c r="D341" s="9"/>
      <c r="E341" s="13"/>
      <c r="F341" s="14"/>
      <c r="G341" s="12"/>
    </row>
    <row r="342" spans="1:7" ht="15" customHeight="1" x14ac:dyDescent="0.2">
      <c r="A342" s="22"/>
      <c r="B342" s="12"/>
      <c r="C342" s="9"/>
      <c r="D342" s="9"/>
      <c r="E342" s="13"/>
      <c r="F342" s="14"/>
      <c r="G342" s="12"/>
    </row>
    <row r="343" spans="1:7" ht="15" customHeight="1" x14ac:dyDescent="0.2">
      <c r="A343" s="22"/>
      <c r="B343" s="12"/>
      <c r="C343" s="9"/>
      <c r="D343" s="9"/>
      <c r="E343" s="13"/>
      <c r="F343" s="14"/>
      <c r="G343" s="12"/>
    </row>
    <row r="344" spans="1:7" ht="15" customHeight="1" x14ac:dyDescent="0.2">
      <c r="A344" s="22"/>
      <c r="B344" s="12"/>
      <c r="C344" s="9"/>
      <c r="D344" s="9"/>
      <c r="E344" s="13"/>
      <c r="F344" s="14"/>
      <c r="G344" s="12"/>
    </row>
    <row r="345" spans="1:7" ht="15" customHeight="1" x14ac:dyDescent="0.2">
      <c r="A345" s="22"/>
      <c r="B345" s="12"/>
      <c r="C345" s="9"/>
      <c r="D345" s="9"/>
      <c r="E345" s="13"/>
      <c r="F345" s="14"/>
      <c r="G345" s="12"/>
    </row>
    <row r="346" spans="1:7" ht="15" customHeight="1" x14ac:dyDescent="0.2">
      <c r="A346" s="22"/>
      <c r="B346" s="12"/>
      <c r="C346" s="9"/>
      <c r="D346" s="9"/>
      <c r="E346" s="13"/>
      <c r="F346" s="14"/>
      <c r="G346" s="12"/>
    </row>
    <row r="347" spans="1:7" ht="15" customHeight="1" x14ac:dyDescent="0.2">
      <c r="A347" s="22"/>
      <c r="B347" s="12"/>
      <c r="C347" s="9"/>
      <c r="D347" s="9"/>
      <c r="E347" s="13"/>
      <c r="F347" s="14"/>
      <c r="G347" s="12"/>
    </row>
    <row r="348" spans="1:7" ht="15" customHeight="1" x14ac:dyDescent="0.2">
      <c r="A348" s="22"/>
      <c r="B348" s="12"/>
      <c r="C348" s="9"/>
      <c r="D348" s="9"/>
      <c r="E348" s="13"/>
      <c r="F348" s="14"/>
      <c r="G348" s="12"/>
    </row>
    <row r="349" spans="1:7" ht="15" customHeight="1" x14ac:dyDescent="0.2">
      <c r="A349" s="22"/>
      <c r="B349" s="12"/>
      <c r="C349" s="9"/>
      <c r="D349" s="9"/>
      <c r="E349" s="13"/>
      <c r="F349" s="14"/>
      <c r="G349" s="12"/>
    </row>
    <row r="350" spans="1:7" ht="15" customHeight="1" x14ac:dyDescent="0.2">
      <c r="A350" s="22"/>
      <c r="B350" s="12"/>
      <c r="C350" s="9"/>
      <c r="D350" s="9"/>
      <c r="E350" s="13"/>
      <c r="F350" s="14"/>
      <c r="G350" s="12"/>
    </row>
    <row r="351" spans="1:7" ht="15" customHeight="1" x14ac:dyDescent="0.2">
      <c r="A351" s="22"/>
      <c r="B351" s="12"/>
      <c r="C351" s="9"/>
      <c r="D351" s="9"/>
      <c r="E351" s="13"/>
      <c r="F351" s="14"/>
      <c r="G351" s="12"/>
    </row>
    <row r="352" spans="1:7" ht="15" customHeight="1" x14ac:dyDescent="0.2">
      <c r="A352" s="22"/>
      <c r="B352" s="12"/>
      <c r="C352" s="9"/>
      <c r="D352" s="9"/>
      <c r="E352" s="13"/>
      <c r="F352" s="14"/>
      <c r="G352" s="12"/>
    </row>
    <row r="353" spans="1:7" ht="15" customHeight="1" x14ac:dyDescent="0.2">
      <c r="A353" s="22"/>
      <c r="B353" s="12"/>
      <c r="C353" s="9"/>
      <c r="D353" s="9"/>
      <c r="E353" s="13"/>
      <c r="F353" s="14"/>
      <c r="G353" s="12"/>
    </row>
    <row r="354" spans="1:7" ht="15" customHeight="1" x14ac:dyDescent="0.2">
      <c r="A354" s="22"/>
      <c r="B354" s="12"/>
      <c r="C354" s="9"/>
      <c r="D354" s="9"/>
      <c r="E354" s="13"/>
      <c r="F354" s="14"/>
      <c r="G354" s="12"/>
    </row>
    <row r="355" spans="1:7" ht="15" customHeight="1" x14ac:dyDescent="0.2">
      <c r="A355" s="22"/>
      <c r="B355" s="12"/>
      <c r="C355" s="9"/>
      <c r="D355" s="9"/>
      <c r="E355" s="13"/>
      <c r="F355" s="14"/>
      <c r="G355" s="12"/>
    </row>
    <row r="356" spans="1:7" ht="15" customHeight="1" x14ac:dyDescent="0.2">
      <c r="A356" s="22"/>
      <c r="B356" s="12"/>
      <c r="C356" s="9"/>
      <c r="D356" s="9"/>
      <c r="E356" s="13"/>
      <c r="F356" s="14"/>
      <c r="G356" s="12"/>
    </row>
    <row r="357" spans="1:7" ht="15" customHeight="1" x14ac:dyDescent="0.2">
      <c r="A357" s="22"/>
      <c r="B357" s="12"/>
      <c r="C357" s="9"/>
      <c r="D357" s="9"/>
      <c r="E357" s="13"/>
      <c r="F357" s="14"/>
      <c r="G357" s="12"/>
    </row>
    <row r="358" spans="1:7" ht="15" customHeight="1" x14ac:dyDescent="0.2">
      <c r="A358" s="22"/>
      <c r="B358" s="12"/>
      <c r="C358" s="9"/>
      <c r="D358" s="9"/>
      <c r="E358" s="13"/>
      <c r="F358" s="14"/>
      <c r="G358" s="12"/>
    </row>
    <row r="359" spans="1:7" ht="15" customHeight="1" x14ac:dyDescent="0.2">
      <c r="A359" s="22"/>
      <c r="B359" s="12"/>
      <c r="C359" s="9"/>
      <c r="D359" s="9"/>
      <c r="E359" s="13"/>
      <c r="F359" s="14"/>
      <c r="G359" s="12"/>
    </row>
    <row r="360" spans="1:7" ht="15" customHeight="1" x14ac:dyDescent="0.2">
      <c r="A360" s="22"/>
      <c r="B360" s="12"/>
      <c r="C360" s="9"/>
      <c r="D360" s="9"/>
      <c r="E360" s="13"/>
      <c r="F360" s="14"/>
      <c r="G360" s="12"/>
    </row>
    <row r="361" spans="1:7" ht="15" customHeight="1" x14ac:dyDescent="0.2">
      <c r="A361" s="22"/>
      <c r="B361" s="12"/>
      <c r="C361" s="9"/>
      <c r="D361" s="9"/>
      <c r="E361" s="13"/>
      <c r="F361" s="14"/>
      <c r="G361" s="12"/>
    </row>
    <row r="362" spans="1:7" ht="15" customHeight="1" x14ac:dyDescent="0.2">
      <c r="A362" s="22"/>
      <c r="B362" s="12"/>
      <c r="C362" s="9"/>
      <c r="D362" s="9"/>
      <c r="E362" s="13"/>
      <c r="F362" s="14"/>
      <c r="G362" s="12"/>
    </row>
    <row r="363" spans="1:7" ht="15" customHeight="1" x14ac:dyDescent="0.2">
      <c r="A363" s="22"/>
      <c r="B363" s="12"/>
      <c r="C363" s="9"/>
      <c r="D363" s="9"/>
      <c r="E363" s="13"/>
      <c r="F363" s="14"/>
      <c r="G363" s="12"/>
    </row>
    <row r="364" spans="1:7" ht="15" customHeight="1" x14ac:dyDescent="0.2">
      <c r="A364" s="22"/>
      <c r="B364" s="12"/>
      <c r="C364" s="9"/>
      <c r="D364" s="9"/>
      <c r="E364" s="13"/>
      <c r="F364" s="14"/>
      <c r="G364" s="12"/>
    </row>
    <row r="365" spans="1:7" ht="15" customHeight="1" x14ac:dyDescent="0.2">
      <c r="A365" s="22"/>
      <c r="B365" s="12"/>
      <c r="C365" s="9"/>
      <c r="D365" s="9"/>
      <c r="E365" s="13"/>
      <c r="F365" s="14"/>
      <c r="G365" s="12"/>
    </row>
    <row r="366" spans="1:7" ht="15" customHeight="1" x14ac:dyDescent="0.2">
      <c r="A366" s="22"/>
      <c r="B366" s="12"/>
      <c r="C366" s="9"/>
      <c r="D366" s="9"/>
      <c r="E366" s="13"/>
      <c r="F366" s="14"/>
      <c r="G366" s="12"/>
    </row>
    <row r="367" spans="1:7" ht="15" customHeight="1" x14ac:dyDescent="0.2">
      <c r="A367" s="22"/>
      <c r="B367" s="12"/>
      <c r="C367" s="9"/>
      <c r="D367" s="9"/>
      <c r="E367" s="13"/>
      <c r="F367" s="14"/>
      <c r="G367" s="12"/>
    </row>
    <row r="368" spans="1:7" ht="15" customHeight="1" x14ac:dyDescent="0.2">
      <c r="A368" s="22"/>
      <c r="B368" s="12"/>
      <c r="C368" s="9"/>
      <c r="D368" s="9"/>
      <c r="E368" s="13"/>
      <c r="F368" s="14"/>
      <c r="G368" s="12"/>
    </row>
    <row r="369" spans="1:7" ht="15" customHeight="1" x14ac:dyDescent="0.2">
      <c r="A369" s="22"/>
      <c r="B369" s="12"/>
      <c r="C369" s="9"/>
      <c r="D369" s="9"/>
      <c r="E369" s="13"/>
      <c r="F369" s="14"/>
      <c r="G369" s="12"/>
    </row>
    <row r="370" spans="1:7" ht="15" customHeight="1" x14ac:dyDescent="0.2">
      <c r="A370" s="22"/>
      <c r="B370" s="12"/>
      <c r="C370" s="9"/>
      <c r="D370" s="9"/>
      <c r="E370" s="13"/>
      <c r="F370" s="14"/>
      <c r="G370" s="12"/>
    </row>
    <row r="371" spans="1:7" ht="15" customHeight="1" x14ac:dyDescent="0.2">
      <c r="A371" s="22"/>
      <c r="B371" s="12"/>
      <c r="C371" s="9"/>
      <c r="D371" s="9"/>
      <c r="E371" s="13"/>
      <c r="F371" s="14"/>
      <c r="G371" s="12"/>
    </row>
    <row r="372" spans="1:7" ht="15" customHeight="1" x14ac:dyDescent="0.2">
      <c r="A372" s="22"/>
      <c r="B372" s="12"/>
      <c r="C372" s="9"/>
      <c r="D372" s="9"/>
      <c r="E372" s="13"/>
      <c r="F372" s="14"/>
      <c r="G372" s="12"/>
    </row>
    <row r="373" spans="1:7" ht="15" customHeight="1" x14ac:dyDescent="0.2">
      <c r="A373" s="22"/>
      <c r="B373" s="12"/>
      <c r="C373" s="9"/>
      <c r="D373" s="9"/>
      <c r="E373" s="13"/>
      <c r="F373" s="14"/>
      <c r="G373" s="12"/>
    </row>
    <row r="374" spans="1:7" ht="15" customHeight="1" x14ac:dyDescent="0.2">
      <c r="A374" s="22"/>
      <c r="B374" s="12"/>
      <c r="C374" s="9"/>
      <c r="D374" s="9"/>
      <c r="E374" s="13"/>
      <c r="F374" s="14"/>
      <c r="G374" s="12"/>
    </row>
    <row r="375" spans="1:7" ht="15" customHeight="1" x14ac:dyDescent="0.2">
      <c r="A375" s="22"/>
      <c r="B375" s="12"/>
      <c r="C375" s="9"/>
      <c r="D375" s="9"/>
      <c r="E375" s="13"/>
      <c r="F375" s="14"/>
      <c r="G375" s="12"/>
    </row>
    <row r="376" spans="1:7" ht="15" customHeight="1" x14ac:dyDescent="0.2">
      <c r="A376" s="22"/>
      <c r="B376" s="12"/>
      <c r="C376" s="9"/>
      <c r="D376" s="9"/>
      <c r="E376" s="13"/>
      <c r="F376" s="14"/>
      <c r="G376" s="12"/>
    </row>
    <row r="377" spans="1:7" ht="15" customHeight="1" x14ac:dyDescent="0.2">
      <c r="A377" s="22"/>
      <c r="B377" s="12"/>
      <c r="C377" s="9"/>
      <c r="D377" s="9"/>
      <c r="E377" s="13"/>
      <c r="F377" s="14"/>
      <c r="G377" s="12"/>
    </row>
    <row r="378" spans="1:7" ht="15" customHeight="1" x14ac:dyDescent="0.2">
      <c r="A378" s="22"/>
      <c r="B378" s="12"/>
      <c r="C378" s="9"/>
      <c r="D378" s="9"/>
      <c r="E378" s="13"/>
      <c r="F378" s="14"/>
      <c r="G378" s="12"/>
    </row>
    <row r="379" spans="1:7" ht="15" customHeight="1" x14ac:dyDescent="0.2">
      <c r="A379" s="22"/>
      <c r="B379" s="12"/>
      <c r="C379" s="9"/>
      <c r="D379" s="9"/>
      <c r="E379" s="13"/>
      <c r="F379" s="14"/>
      <c r="G379" s="12"/>
    </row>
    <row r="380" spans="1:7" ht="15" customHeight="1" x14ac:dyDescent="0.2">
      <c r="A380" s="22"/>
      <c r="B380" s="12"/>
      <c r="C380" s="9"/>
      <c r="D380" s="9"/>
      <c r="E380" s="13"/>
      <c r="F380" s="14"/>
      <c r="G380" s="12"/>
    </row>
    <row r="381" spans="1:7" ht="15" customHeight="1" x14ac:dyDescent="0.2">
      <c r="A381" s="22"/>
      <c r="B381" s="12"/>
      <c r="C381" s="9"/>
      <c r="D381" s="9"/>
      <c r="E381" s="13"/>
      <c r="F381" s="14"/>
      <c r="G381" s="12"/>
    </row>
    <row r="382" spans="1:7" ht="15" customHeight="1" x14ac:dyDescent="0.2">
      <c r="A382" s="22"/>
      <c r="B382" s="12"/>
      <c r="C382" s="9"/>
      <c r="D382" s="9"/>
      <c r="E382" s="13"/>
      <c r="F382" s="14"/>
      <c r="G382" s="12"/>
    </row>
    <row r="383" spans="1:7" ht="15" customHeight="1" x14ac:dyDescent="0.2">
      <c r="A383" s="22"/>
      <c r="B383" s="12"/>
      <c r="C383" s="9"/>
      <c r="D383" s="9"/>
      <c r="E383" s="13"/>
      <c r="F383" s="14"/>
      <c r="G383" s="12"/>
    </row>
    <row r="384" spans="1:7" ht="15" customHeight="1" x14ac:dyDescent="0.2">
      <c r="A384" s="22"/>
      <c r="B384" s="12"/>
      <c r="C384" s="9"/>
      <c r="D384" s="9"/>
      <c r="E384" s="13"/>
      <c r="F384" s="14"/>
      <c r="G384" s="12"/>
    </row>
    <row r="385" spans="1:7" ht="15" customHeight="1" x14ac:dyDescent="0.2">
      <c r="A385" s="22"/>
      <c r="B385" s="12"/>
      <c r="C385" s="9"/>
      <c r="D385" s="9"/>
      <c r="E385" s="13"/>
      <c r="F385" s="14"/>
      <c r="G385" s="12"/>
    </row>
    <row r="386" spans="1:7" ht="15" customHeight="1" x14ac:dyDescent="0.2">
      <c r="A386" s="22"/>
      <c r="B386" s="12"/>
      <c r="C386" s="9"/>
      <c r="D386" s="9"/>
      <c r="E386" s="13"/>
      <c r="F386" s="14"/>
      <c r="G386" s="12"/>
    </row>
    <row r="387" spans="1:7" ht="15" customHeight="1" x14ac:dyDescent="0.2">
      <c r="A387" s="22"/>
      <c r="B387" s="12"/>
      <c r="C387" s="9"/>
      <c r="D387" s="9"/>
      <c r="E387" s="13"/>
      <c r="F387" s="14"/>
      <c r="G387" s="12"/>
    </row>
    <row r="388" spans="1:7" ht="15" customHeight="1" x14ac:dyDescent="0.2">
      <c r="A388" s="22"/>
      <c r="B388" s="12"/>
      <c r="C388" s="9"/>
      <c r="D388" s="9"/>
      <c r="E388" s="13"/>
      <c r="F388" s="14"/>
      <c r="G388" s="12"/>
    </row>
    <row r="389" spans="1:7" ht="15" customHeight="1" x14ac:dyDescent="0.2">
      <c r="A389" s="22"/>
      <c r="B389" s="12"/>
      <c r="C389" s="9"/>
      <c r="D389" s="9"/>
      <c r="E389" s="13"/>
      <c r="F389" s="14"/>
      <c r="G389" s="12"/>
    </row>
    <row r="390" spans="1:7" ht="15" customHeight="1" x14ac:dyDescent="0.2">
      <c r="A390" s="22"/>
      <c r="B390" s="12"/>
      <c r="C390" s="9"/>
      <c r="D390" s="9"/>
      <c r="E390" s="13"/>
      <c r="F390" s="14"/>
      <c r="G390" s="12"/>
    </row>
    <row r="391" spans="1:7" ht="15" customHeight="1" x14ac:dyDescent="0.2">
      <c r="A391" s="22"/>
      <c r="B391" s="12"/>
      <c r="C391" s="9"/>
      <c r="D391" s="9"/>
      <c r="E391" s="13"/>
      <c r="F391" s="14"/>
      <c r="G391" s="12"/>
    </row>
    <row r="392" spans="1:7" ht="15" customHeight="1" x14ac:dyDescent="0.2">
      <c r="A392" s="22"/>
      <c r="B392" s="12"/>
      <c r="C392" s="9"/>
      <c r="D392" s="9"/>
      <c r="E392" s="13"/>
      <c r="F392" s="14"/>
      <c r="G392" s="12"/>
    </row>
    <row r="393" spans="1:7" ht="15" customHeight="1" x14ac:dyDescent="0.2">
      <c r="A393" s="22"/>
      <c r="B393" s="12"/>
      <c r="C393" s="9"/>
      <c r="D393" s="9"/>
      <c r="E393" s="13"/>
      <c r="F393" s="14"/>
      <c r="G393" s="12"/>
    </row>
    <row r="394" spans="1:7" ht="15" customHeight="1" x14ac:dyDescent="0.2">
      <c r="A394" s="22"/>
      <c r="B394" s="12"/>
      <c r="C394" s="9"/>
      <c r="D394" s="9"/>
      <c r="E394" s="13"/>
      <c r="F394" s="14"/>
      <c r="G394" s="12"/>
    </row>
    <row r="395" spans="1:7" ht="15" customHeight="1" x14ac:dyDescent="0.2">
      <c r="A395" s="22"/>
      <c r="B395" s="12"/>
      <c r="C395" s="9"/>
      <c r="D395" s="9"/>
      <c r="E395" s="13"/>
      <c r="F395" s="14"/>
      <c r="G395" s="12"/>
    </row>
    <row r="396" spans="1:7" ht="15" customHeight="1" x14ac:dyDescent="0.2">
      <c r="A396" s="22"/>
      <c r="B396" s="12"/>
      <c r="C396" s="9"/>
      <c r="D396" s="9"/>
      <c r="E396" s="13"/>
      <c r="F396" s="14"/>
      <c r="G396" s="12"/>
    </row>
    <row r="397" spans="1:7" ht="15" customHeight="1" x14ac:dyDescent="0.2">
      <c r="A397" s="22"/>
      <c r="B397" s="12"/>
      <c r="C397" s="9"/>
      <c r="D397" s="9"/>
      <c r="E397" s="13"/>
      <c r="F397" s="14"/>
      <c r="G397" s="12"/>
    </row>
    <row r="398" spans="1:7" ht="15" customHeight="1" x14ac:dyDescent="0.2">
      <c r="A398" s="22"/>
      <c r="B398" s="12"/>
      <c r="C398" s="9"/>
      <c r="D398" s="9"/>
      <c r="E398" s="13"/>
      <c r="F398" s="14"/>
      <c r="G398" s="12"/>
    </row>
    <row r="399" spans="1:7" ht="15" customHeight="1" x14ac:dyDescent="0.2">
      <c r="A399" s="22"/>
      <c r="B399" s="12"/>
      <c r="C399" s="9"/>
      <c r="D399" s="9"/>
      <c r="E399" s="13"/>
      <c r="F399" s="14"/>
      <c r="G399" s="12"/>
    </row>
    <row r="400" spans="1:7" ht="15" customHeight="1" x14ac:dyDescent="0.2">
      <c r="A400" s="22"/>
      <c r="B400" s="12"/>
      <c r="C400" s="9"/>
      <c r="D400" s="9"/>
      <c r="E400" s="13"/>
      <c r="F400" s="14"/>
      <c r="G400" s="12"/>
    </row>
    <row r="401" spans="1:7" ht="15" customHeight="1" x14ac:dyDescent="0.2">
      <c r="A401" s="22"/>
      <c r="B401" s="12"/>
      <c r="C401" s="9"/>
      <c r="D401" s="9"/>
      <c r="E401" s="13"/>
      <c r="F401" s="14"/>
      <c r="G401" s="12"/>
    </row>
    <row r="402" spans="1:7" ht="15" customHeight="1" x14ac:dyDescent="0.2">
      <c r="A402" s="22"/>
      <c r="B402" s="12"/>
      <c r="C402" s="9"/>
      <c r="D402" s="9"/>
      <c r="E402" s="13"/>
      <c r="F402" s="14"/>
      <c r="G402" s="12"/>
    </row>
    <row r="403" spans="1:7" ht="15" customHeight="1" x14ac:dyDescent="0.2">
      <c r="A403" s="22"/>
      <c r="B403" s="12"/>
      <c r="C403" s="9"/>
      <c r="D403" s="9"/>
      <c r="E403" s="13"/>
      <c r="F403" s="14"/>
      <c r="G403" s="12"/>
    </row>
    <row r="404" spans="1:7" ht="15" customHeight="1" x14ac:dyDescent="0.2">
      <c r="A404" s="22"/>
      <c r="B404" s="12"/>
      <c r="C404" s="9"/>
      <c r="D404" s="9"/>
      <c r="E404" s="13"/>
      <c r="F404" s="14"/>
      <c r="G404" s="12"/>
    </row>
    <row r="405" spans="1:7" ht="15" customHeight="1" x14ac:dyDescent="0.2">
      <c r="A405" s="22"/>
      <c r="B405" s="12"/>
      <c r="C405" s="9"/>
      <c r="D405" s="9"/>
      <c r="E405" s="13"/>
      <c r="F405" s="14"/>
      <c r="G405" s="12"/>
    </row>
    <row r="406" spans="1:7" ht="15" customHeight="1" x14ac:dyDescent="0.2">
      <c r="A406" s="22"/>
      <c r="B406" s="12"/>
      <c r="C406" s="9"/>
      <c r="D406" s="9"/>
      <c r="E406" s="13"/>
      <c r="F406" s="14"/>
      <c r="G406" s="12"/>
    </row>
    <row r="407" spans="1:7" ht="15" customHeight="1" x14ac:dyDescent="0.2">
      <c r="A407" s="22"/>
      <c r="B407" s="12"/>
      <c r="C407" s="9"/>
      <c r="D407" s="9"/>
      <c r="E407" s="13"/>
      <c r="F407" s="14"/>
      <c r="G407" s="12"/>
    </row>
    <row r="408" spans="1:7" ht="15" customHeight="1" x14ac:dyDescent="0.2">
      <c r="A408" s="22"/>
      <c r="B408" s="12"/>
      <c r="C408" s="9"/>
      <c r="D408" s="9"/>
      <c r="E408" s="13"/>
      <c r="F408" s="14"/>
      <c r="G408" s="12"/>
    </row>
    <row r="409" spans="1:7" ht="15" customHeight="1" x14ac:dyDescent="0.2">
      <c r="A409" s="22"/>
      <c r="B409" s="12"/>
      <c r="C409" s="9"/>
      <c r="D409" s="9"/>
      <c r="E409" s="13"/>
      <c r="F409" s="14"/>
      <c r="G409" s="12"/>
    </row>
    <row r="410" spans="1:7" ht="15" customHeight="1" x14ac:dyDescent="0.2">
      <c r="A410" s="22"/>
      <c r="B410" s="12"/>
      <c r="C410" s="9"/>
      <c r="D410" s="9"/>
      <c r="E410" s="13"/>
      <c r="F410" s="14"/>
      <c r="G410" s="12"/>
    </row>
    <row r="411" spans="1:7" ht="15" customHeight="1" x14ac:dyDescent="0.2">
      <c r="A411" s="22"/>
      <c r="B411" s="12"/>
      <c r="C411" s="9"/>
      <c r="D411" s="9"/>
      <c r="E411" s="13"/>
      <c r="F411" s="14"/>
      <c r="G411" s="12"/>
    </row>
    <row r="412" spans="1:7" ht="15" customHeight="1" x14ac:dyDescent="0.2">
      <c r="A412" s="22"/>
      <c r="B412" s="12"/>
      <c r="C412" s="9"/>
      <c r="D412" s="9"/>
      <c r="E412" s="13"/>
      <c r="F412" s="14"/>
      <c r="G412" s="12"/>
    </row>
    <row r="413" spans="1:7" ht="15" customHeight="1" x14ac:dyDescent="0.2">
      <c r="A413" s="22"/>
      <c r="B413" s="12"/>
      <c r="C413" s="9"/>
      <c r="D413" s="9"/>
      <c r="E413" s="13"/>
      <c r="F413" s="14"/>
      <c r="G413" s="12"/>
    </row>
    <row r="414" spans="1:7" ht="15" customHeight="1" x14ac:dyDescent="0.2">
      <c r="A414" s="22"/>
      <c r="B414" s="12"/>
      <c r="C414" s="9"/>
      <c r="D414" s="9"/>
      <c r="E414" s="13"/>
      <c r="F414" s="14"/>
      <c r="G414" s="12"/>
    </row>
    <row r="415" spans="1:7" ht="15" customHeight="1" x14ac:dyDescent="0.2">
      <c r="A415" s="22"/>
      <c r="B415" s="12"/>
      <c r="C415" s="9"/>
      <c r="D415" s="9"/>
      <c r="E415" s="13"/>
      <c r="F415" s="14"/>
      <c r="G415" s="12"/>
    </row>
    <row r="416" spans="1:7" ht="15" customHeight="1" x14ac:dyDescent="0.2">
      <c r="A416" s="22"/>
      <c r="B416" s="12"/>
      <c r="C416" s="9"/>
      <c r="D416" s="9"/>
      <c r="E416" s="13"/>
      <c r="F416" s="14"/>
      <c r="G416" s="12"/>
    </row>
    <row r="417" spans="1:7" ht="15" customHeight="1" x14ac:dyDescent="0.2">
      <c r="A417" s="22"/>
      <c r="B417" s="12"/>
      <c r="C417" s="9"/>
      <c r="D417" s="9"/>
      <c r="E417" s="13"/>
      <c r="F417" s="14"/>
      <c r="G417" s="12"/>
    </row>
    <row r="418" spans="1:7" ht="15" customHeight="1" x14ac:dyDescent="0.2">
      <c r="A418" s="22"/>
      <c r="B418" s="12"/>
      <c r="C418" s="9"/>
      <c r="D418" s="9"/>
      <c r="E418" s="13"/>
      <c r="F418" s="14"/>
      <c r="G418" s="12"/>
    </row>
    <row r="419" spans="1:7" ht="15" customHeight="1" x14ac:dyDescent="0.2">
      <c r="A419" s="22"/>
      <c r="B419" s="12"/>
      <c r="C419" s="9"/>
      <c r="D419" s="9"/>
      <c r="E419" s="13"/>
      <c r="F419" s="14"/>
      <c r="G419" s="12"/>
    </row>
    <row r="420" spans="1:7" ht="15" customHeight="1" x14ac:dyDescent="0.2">
      <c r="A420" s="22"/>
      <c r="B420" s="12"/>
      <c r="C420" s="9"/>
      <c r="D420" s="9"/>
      <c r="E420" s="13"/>
      <c r="F420" s="14"/>
      <c r="G420" s="12"/>
    </row>
    <row r="421" spans="1:7" ht="15" customHeight="1" x14ac:dyDescent="0.2">
      <c r="A421" s="22"/>
      <c r="B421" s="12"/>
      <c r="C421" s="9"/>
      <c r="D421" s="9"/>
      <c r="E421" s="13"/>
      <c r="F421" s="14"/>
      <c r="G421" s="12"/>
    </row>
    <row r="422" spans="1:7" ht="15" customHeight="1" x14ac:dyDescent="0.2">
      <c r="A422" s="22"/>
      <c r="B422" s="12"/>
      <c r="C422" s="9"/>
      <c r="D422" s="9"/>
      <c r="E422" s="13"/>
      <c r="F422" s="14"/>
      <c r="G422" s="12"/>
    </row>
    <row r="423" spans="1:7" ht="15" customHeight="1" x14ac:dyDescent="0.2">
      <c r="A423" s="22"/>
      <c r="B423" s="12"/>
      <c r="C423" s="9"/>
      <c r="D423" s="9"/>
      <c r="E423" s="13"/>
      <c r="F423" s="14"/>
      <c r="G423" s="12"/>
    </row>
    <row r="424" spans="1:7" ht="15" customHeight="1" x14ac:dyDescent="0.2">
      <c r="A424" s="22"/>
      <c r="B424" s="12"/>
      <c r="C424" s="9"/>
      <c r="D424" s="9"/>
      <c r="E424" s="13"/>
      <c r="F424" s="14"/>
      <c r="G424" s="12"/>
    </row>
    <row r="425" spans="1:7" ht="15" customHeight="1" x14ac:dyDescent="0.2">
      <c r="A425" s="22"/>
      <c r="B425" s="12"/>
      <c r="C425" s="9"/>
      <c r="D425" s="9"/>
      <c r="E425" s="13"/>
      <c r="F425" s="14"/>
      <c r="G425" s="12"/>
    </row>
    <row r="426" spans="1:7" ht="15" customHeight="1" x14ac:dyDescent="0.2">
      <c r="A426" s="22"/>
      <c r="B426" s="12"/>
      <c r="C426" s="9"/>
      <c r="D426" s="9"/>
      <c r="E426" s="13"/>
      <c r="F426" s="14"/>
      <c r="G426" s="12"/>
    </row>
    <row r="427" spans="1:7" ht="15" customHeight="1" x14ac:dyDescent="0.2">
      <c r="A427" s="22"/>
      <c r="B427" s="12"/>
      <c r="C427" s="9"/>
      <c r="D427" s="9"/>
      <c r="E427" s="13"/>
      <c r="F427" s="14"/>
      <c r="G427" s="12"/>
    </row>
    <row r="428" spans="1:7" ht="15" customHeight="1" x14ac:dyDescent="0.2">
      <c r="A428" s="22"/>
      <c r="B428" s="12"/>
      <c r="C428" s="9"/>
      <c r="D428" s="9"/>
      <c r="E428" s="13"/>
      <c r="F428" s="14"/>
      <c r="G428" s="12"/>
    </row>
    <row r="429" spans="1:7" ht="15" customHeight="1" x14ac:dyDescent="0.2">
      <c r="A429" s="22"/>
      <c r="B429" s="12"/>
      <c r="C429" s="9"/>
      <c r="D429" s="9"/>
      <c r="E429" s="13"/>
      <c r="F429" s="14"/>
      <c r="G429" s="12"/>
    </row>
    <row r="430" spans="1:7" ht="15" customHeight="1" x14ac:dyDescent="0.2">
      <c r="A430" s="22"/>
      <c r="B430" s="12"/>
      <c r="C430" s="9"/>
      <c r="D430" s="9"/>
      <c r="E430" s="13"/>
      <c r="F430" s="14"/>
      <c r="G430" s="12"/>
    </row>
    <row r="431" spans="1:7" ht="15" customHeight="1" x14ac:dyDescent="0.2">
      <c r="A431" s="22"/>
      <c r="B431" s="12"/>
      <c r="C431" s="9"/>
      <c r="D431" s="9"/>
      <c r="E431" s="13"/>
      <c r="F431" s="14"/>
      <c r="G431" s="12"/>
    </row>
    <row r="432" spans="1:7" ht="15" customHeight="1" x14ac:dyDescent="0.2">
      <c r="A432" s="22"/>
      <c r="B432" s="12"/>
      <c r="C432" s="9"/>
      <c r="D432" s="9"/>
      <c r="E432" s="13"/>
      <c r="F432" s="14"/>
      <c r="G432" s="12"/>
    </row>
    <row r="433" spans="1:7" ht="15" customHeight="1" x14ac:dyDescent="0.2">
      <c r="A433" s="22"/>
      <c r="B433" s="12"/>
      <c r="C433" s="9"/>
      <c r="D433" s="9"/>
      <c r="E433" s="13"/>
      <c r="F433" s="14"/>
      <c r="G433" s="12"/>
    </row>
    <row r="434" spans="1:7" ht="15" customHeight="1" x14ac:dyDescent="0.2">
      <c r="A434" s="22"/>
      <c r="B434" s="12"/>
      <c r="C434" s="9"/>
      <c r="D434" s="9"/>
      <c r="E434" s="13"/>
      <c r="F434" s="14"/>
      <c r="G434" s="12"/>
    </row>
    <row r="435" spans="1:7" ht="15" customHeight="1" x14ac:dyDescent="0.2">
      <c r="A435" s="22"/>
      <c r="B435" s="12"/>
      <c r="C435" s="9"/>
      <c r="D435" s="9"/>
      <c r="E435" s="13"/>
      <c r="F435" s="14"/>
      <c r="G435" s="12"/>
    </row>
    <row r="436" spans="1:7" ht="15" customHeight="1" x14ac:dyDescent="0.2">
      <c r="A436" s="22"/>
      <c r="B436" s="12"/>
      <c r="C436" s="9"/>
      <c r="D436" s="9"/>
      <c r="E436" s="13"/>
      <c r="F436" s="14"/>
      <c r="G436" s="12"/>
    </row>
    <row r="437" spans="1:7" ht="15" customHeight="1" x14ac:dyDescent="0.2">
      <c r="A437" s="22"/>
      <c r="B437" s="12"/>
      <c r="C437" s="9"/>
      <c r="D437" s="9"/>
      <c r="E437" s="13"/>
      <c r="F437" s="14"/>
      <c r="G437" s="12"/>
    </row>
    <row r="438" spans="1:7" ht="15" customHeight="1" x14ac:dyDescent="0.2">
      <c r="A438" s="22"/>
      <c r="B438" s="12"/>
      <c r="C438" s="9"/>
      <c r="D438" s="9"/>
      <c r="E438" s="13"/>
      <c r="F438" s="14"/>
      <c r="G438" s="12"/>
    </row>
    <row r="439" spans="1:7" ht="15" customHeight="1" x14ac:dyDescent="0.2">
      <c r="A439" s="22"/>
      <c r="B439" s="12"/>
      <c r="C439" s="9"/>
      <c r="D439" s="9"/>
      <c r="E439" s="13"/>
      <c r="F439" s="14"/>
      <c r="G439" s="12"/>
    </row>
    <row r="440" spans="1:7" ht="15" customHeight="1" x14ac:dyDescent="0.2">
      <c r="A440" s="22"/>
      <c r="B440" s="12"/>
      <c r="C440" s="9"/>
      <c r="D440" s="9"/>
      <c r="E440" s="13"/>
      <c r="F440" s="14"/>
      <c r="G440" s="12"/>
    </row>
    <row r="441" spans="1:7" ht="15" customHeight="1" x14ac:dyDescent="0.2">
      <c r="A441" s="22"/>
      <c r="B441" s="12"/>
      <c r="C441" s="9"/>
      <c r="D441" s="9"/>
      <c r="E441" s="13"/>
      <c r="F441" s="14"/>
      <c r="G441" s="12"/>
    </row>
    <row r="442" spans="1:7" ht="15" customHeight="1" x14ac:dyDescent="0.2">
      <c r="A442" s="22"/>
      <c r="B442" s="12"/>
      <c r="C442" s="9"/>
      <c r="D442" s="9"/>
      <c r="E442" s="13"/>
      <c r="F442" s="14"/>
      <c r="G442" s="12"/>
    </row>
    <row r="443" spans="1:7" ht="15" customHeight="1" x14ac:dyDescent="0.2">
      <c r="A443" s="22"/>
      <c r="B443" s="12"/>
      <c r="C443" s="9"/>
      <c r="D443" s="9"/>
      <c r="E443" s="13"/>
      <c r="F443" s="14"/>
      <c r="G443" s="12"/>
    </row>
    <row r="444" spans="1:7" ht="15" customHeight="1" x14ac:dyDescent="0.2">
      <c r="A444" s="22"/>
      <c r="B444" s="12"/>
      <c r="C444" s="9"/>
      <c r="D444" s="9"/>
      <c r="E444" s="13"/>
      <c r="F444" s="14"/>
      <c r="G444" s="12"/>
    </row>
    <row r="445" spans="1:7" ht="15" customHeight="1" x14ac:dyDescent="0.2">
      <c r="A445" s="22"/>
      <c r="B445" s="12"/>
      <c r="C445" s="9"/>
      <c r="D445" s="9"/>
      <c r="E445" s="13"/>
      <c r="F445" s="14"/>
      <c r="G445" s="12"/>
    </row>
    <row r="446" spans="1:7" ht="15" customHeight="1" x14ac:dyDescent="0.2">
      <c r="A446" s="22"/>
      <c r="B446" s="12"/>
      <c r="C446" s="9"/>
      <c r="D446" s="9"/>
      <c r="E446" s="13"/>
      <c r="F446" s="14"/>
      <c r="G446" s="12"/>
    </row>
    <row r="447" spans="1:7" ht="15" customHeight="1" x14ac:dyDescent="0.2">
      <c r="A447" s="22"/>
      <c r="B447" s="12"/>
      <c r="C447" s="9"/>
      <c r="D447" s="9"/>
      <c r="E447" s="13"/>
      <c r="F447" s="14"/>
      <c r="G447" s="12"/>
    </row>
    <row r="448" spans="1:7" ht="15" customHeight="1" x14ac:dyDescent="0.2">
      <c r="A448" s="22"/>
      <c r="B448" s="12"/>
      <c r="C448" s="9"/>
      <c r="D448" s="9"/>
      <c r="E448" s="13"/>
      <c r="F448" s="14"/>
      <c r="G448" s="12"/>
    </row>
    <row r="449" spans="1:7" ht="15" customHeight="1" x14ac:dyDescent="0.2">
      <c r="A449" s="22"/>
      <c r="B449" s="12"/>
      <c r="C449" s="9"/>
      <c r="D449" s="9"/>
      <c r="E449" s="13"/>
      <c r="F449" s="14"/>
      <c r="G449" s="12"/>
    </row>
    <row r="450" spans="1:7" ht="15" customHeight="1" x14ac:dyDescent="0.2">
      <c r="A450" s="22"/>
      <c r="B450" s="12"/>
      <c r="C450" s="9"/>
      <c r="D450" s="9"/>
      <c r="E450" s="13"/>
      <c r="F450" s="14"/>
      <c r="G450" s="12"/>
    </row>
    <row r="451" spans="1:7" ht="15" customHeight="1" x14ac:dyDescent="0.2">
      <c r="A451" s="22"/>
      <c r="B451" s="12"/>
      <c r="C451" s="9"/>
      <c r="D451" s="9"/>
      <c r="E451" s="13"/>
      <c r="F451" s="14"/>
      <c r="G451" s="12"/>
    </row>
    <row r="452" spans="1:7" ht="15" customHeight="1" x14ac:dyDescent="0.2">
      <c r="A452" s="22"/>
      <c r="B452" s="12"/>
      <c r="C452" s="9"/>
      <c r="D452" s="9"/>
      <c r="E452" s="13"/>
      <c r="F452" s="14"/>
      <c r="G452" s="12"/>
    </row>
    <row r="453" spans="1:7" ht="15" customHeight="1" x14ac:dyDescent="0.2">
      <c r="A453" s="22"/>
      <c r="B453" s="12"/>
      <c r="C453" s="9"/>
      <c r="D453" s="9"/>
      <c r="E453" s="13"/>
      <c r="F453" s="14"/>
      <c r="G453" s="12"/>
    </row>
    <row r="454" spans="1:7" ht="15" customHeight="1" x14ac:dyDescent="0.2">
      <c r="A454" s="22"/>
      <c r="B454" s="12"/>
      <c r="C454" s="9"/>
      <c r="D454" s="9"/>
      <c r="E454" s="13"/>
      <c r="F454" s="14"/>
      <c r="G454" s="12"/>
    </row>
    <row r="455" spans="1:7" ht="15" customHeight="1" x14ac:dyDescent="0.2">
      <c r="A455" s="22"/>
      <c r="B455" s="12"/>
      <c r="C455" s="9"/>
      <c r="D455" s="9"/>
      <c r="E455" s="13"/>
      <c r="F455" s="14"/>
      <c r="G455" s="12"/>
    </row>
    <row r="456" spans="1:7" ht="15" customHeight="1" x14ac:dyDescent="0.2">
      <c r="A456" s="22"/>
      <c r="B456" s="12"/>
      <c r="C456" s="9"/>
      <c r="D456" s="9"/>
      <c r="E456" s="13"/>
      <c r="F456" s="14"/>
      <c r="G456" s="12"/>
    </row>
    <row r="457" spans="1:7" ht="15" customHeight="1" x14ac:dyDescent="0.2">
      <c r="A457" s="22"/>
      <c r="B457" s="12"/>
      <c r="C457" s="9"/>
      <c r="D457" s="9"/>
      <c r="E457" s="13"/>
      <c r="F457" s="14"/>
      <c r="G457" s="12"/>
    </row>
    <row r="458" spans="1:7" ht="15" customHeight="1" x14ac:dyDescent="0.2">
      <c r="A458" s="22"/>
      <c r="B458" s="12"/>
      <c r="C458" s="9"/>
      <c r="D458" s="9"/>
      <c r="E458" s="13"/>
      <c r="F458" s="14"/>
      <c r="G458" s="12"/>
    </row>
    <row r="459" spans="1:7" ht="15" customHeight="1" x14ac:dyDescent="0.2">
      <c r="A459" s="22"/>
      <c r="B459" s="12"/>
      <c r="C459" s="9"/>
      <c r="D459" s="9"/>
      <c r="E459" s="13"/>
      <c r="F459" s="14"/>
      <c r="G459" s="12"/>
    </row>
    <row r="460" spans="1:7" ht="15" customHeight="1" x14ac:dyDescent="0.2">
      <c r="A460" s="22"/>
      <c r="B460" s="12"/>
      <c r="C460" s="9"/>
      <c r="D460" s="9"/>
      <c r="E460" s="13"/>
      <c r="F460" s="14"/>
      <c r="G460" s="12"/>
    </row>
    <row r="461" spans="1:7" ht="15" customHeight="1" x14ac:dyDescent="0.2">
      <c r="A461" s="22"/>
      <c r="B461" s="12"/>
      <c r="C461" s="9"/>
      <c r="D461" s="9"/>
      <c r="E461" s="13"/>
      <c r="F461" s="14"/>
      <c r="G461" s="12"/>
    </row>
    <row r="462" spans="1:7" ht="15" customHeight="1" x14ac:dyDescent="0.2">
      <c r="A462" s="22"/>
      <c r="B462" s="12"/>
      <c r="C462" s="9"/>
      <c r="D462" s="9"/>
      <c r="E462" s="13"/>
      <c r="F462" s="14"/>
      <c r="G462" s="12"/>
    </row>
    <row r="463" spans="1:7" ht="15" customHeight="1" x14ac:dyDescent="0.2">
      <c r="A463" s="22"/>
      <c r="B463" s="12"/>
      <c r="C463" s="9"/>
      <c r="D463" s="9"/>
      <c r="E463" s="13"/>
      <c r="F463" s="14"/>
      <c r="G463" s="12"/>
    </row>
    <row r="464" spans="1:7" ht="15" customHeight="1" x14ac:dyDescent="0.2">
      <c r="A464" s="22"/>
      <c r="B464" s="12"/>
      <c r="C464" s="9"/>
      <c r="D464" s="9"/>
      <c r="E464" s="13"/>
      <c r="F464" s="14"/>
      <c r="G464" s="12"/>
    </row>
    <row r="465" spans="1:7" ht="15" customHeight="1" x14ac:dyDescent="0.2">
      <c r="A465" s="22"/>
      <c r="B465" s="12"/>
      <c r="C465" s="9"/>
      <c r="D465" s="9"/>
      <c r="E465" s="13"/>
      <c r="F465" s="14"/>
      <c r="G465" s="12"/>
    </row>
    <row r="466" spans="1:7" ht="15" customHeight="1" x14ac:dyDescent="0.2">
      <c r="A466" s="22"/>
      <c r="B466" s="12"/>
      <c r="C466" s="9"/>
      <c r="D466" s="9"/>
      <c r="E466" s="13"/>
      <c r="F466" s="14"/>
      <c r="G466" s="12"/>
    </row>
    <row r="467" spans="1:7" ht="15" customHeight="1" x14ac:dyDescent="0.2">
      <c r="A467" s="22"/>
      <c r="B467" s="12"/>
      <c r="C467" s="9"/>
      <c r="D467" s="9"/>
      <c r="E467" s="13"/>
      <c r="F467" s="14"/>
      <c r="G467" s="12"/>
    </row>
    <row r="468" spans="1:7" ht="15" customHeight="1" x14ac:dyDescent="0.2">
      <c r="A468" s="22"/>
      <c r="B468" s="12"/>
      <c r="C468" s="9"/>
      <c r="D468" s="9"/>
      <c r="E468" s="13"/>
      <c r="F468" s="14"/>
      <c r="G468" s="12"/>
    </row>
    <row r="469" spans="1:7" ht="15" customHeight="1" x14ac:dyDescent="0.2">
      <c r="A469" s="22"/>
      <c r="B469" s="12"/>
      <c r="C469" s="9"/>
      <c r="D469" s="9"/>
      <c r="E469" s="13"/>
      <c r="F469" s="14"/>
      <c r="G469" s="12"/>
    </row>
    <row r="470" spans="1:7" ht="15" customHeight="1" x14ac:dyDescent="0.2">
      <c r="A470" s="22"/>
      <c r="B470" s="12"/>
      <c r="C470" s="9"/>
      <c r="D470" s="9"/>
      <c r="E470" s="13"/>
      <c r="F470" s="14"/>
      <c r="G470" s="12"/>
    </row>
    <row r="471" spans="1:7" ht="15" customHeight="1" x14ac:dyDescent="0.2">
      <c r="A471" s="22"/>
      <c r="B471" s="12"/>
      <c r="C471" s="9"/>
      <c r="D471" s="9"/>
      <c r="E471" s="13"/>
      <c r="F471" s="14"/>
      <c r="G471" s="12"/>
    </row>
    <row r="472" spans="1:7" ht="15" customHeight="1" x14ac:dyDescent="0.2">
      <c r="A472" s="22"/>
      <c r="B472" s="12"/>
      <c r="C472" s="9"/>
      <c r="D472" s="9"/>
      <c r="E472" s="13"/>
      <c r="F472" s="14"/>
      <c r="G472" s="12"/>
    </row>
    <row r="473" spans="1:7" ht="15" customHeight="1" x14ac:dyDescent="0.2">
      <c r="A473" s="22"/>
      <c r="B473" s="12"/>
      <c r="C473" s="9"/>
      <c r="D473" s="9"/>
      <c r="E473" s="13"/>
      <c r="F473" s="14"/>
      <c r="G473" s="12"/>
    </row>
    <row r="474" spans="1:7" ht="15" customHeight="1" x14ac:dyDescent="0.2">
      <c r="A474" s="22"/>
      <c r="B474" s="12"/>
      <c r="C474" s="9"/>
      <c r="D474" s="9"/>
      <c r="E474" s="13"/>
      <c r="F474" s="14"/>
      <c r="G474" s="12"/>
    </row>
    <row r="475" spans="1:7" ht="15" customHeight="1" x14ac:dyDescent="0.2">
      <c r="A475" s="22"/>
      <c r="B475" s="12"/>
      <c r="C475" s="9"/>
      <c r="D475" s="9"/>
      <c r="E475" s="13"/>
      <c r="F475" s="14"/>
      <c r="G475" s="12"/>
    </row>
    <row r="476" spans="1:7" ht="15" customHeight="1" x14ac:dyDescent="0.2">
      <c r="A476" s="22"/>
      <c r="B476" s="12"/>
      <c r="C476" s="9"/>
      <c r="D476" s="9"/>
      <c r="E476" s="13"/>
      <c r="F476" s="14"/>
      <c r="G476" s="12"/>
    </row>
    <row r="477" spans="1:7" ht="15" customHeight="1" x14ac:dyDescent="0.2">
      <c r="A477" s="22"/>
      <c r="B477" s="12"/>
      <c r="C477" s="9"/>
      <c r="D477" s="9"/>
      <c r="E477" s="13"/>
      <c r="F477" s="14"/>
      <c r="G477" s="12"/>
    </row>
    <row r="478" spans="1:7" ht="15" customHeight="1" x14ac:dyDescent="0.2">
      <c r="A478" s="22"/>
      <c r="B478" s="12"/>
      <c r="C478" s="9"/>
      <c r="D478" s="9"/>
      <c r="E478" s="13"/>
      <c r="F478" s="14"/>
      <c r="G478" s="12"/>
    </row>
    <row r="479" spans="1:7" ht="15" customHeight="1" x14ac:dyDescent="0.2">
      <c r="A479" s="22"/>
      <c r="B479" s="12"/>
      <c r="C479" s="9"/>
      <c r="D479" s="9"/>
      <c r="E479" s="13"/>
      <c r="F479" s="14"/>
      <c r="G479" s="12"/>
    </row>
    <row r="480" spans="1:7" ht="15" customHeight="1" x14ac:dyDescent="0.2">
      <c r="A480" s="22"/>
      <c r="B480" s="12"/>
      <c r="C480" s="9"/>
      <c r="D480" s="9"/>
      <c r="E480" s="13"/>
      <c r="F480" s="14"/>
      <c r="G480" s="12"/>
    </row>
    <row r="481" spans="1:7" ht="15" customHeight="1" x14ac:dyDescent="0.2">
      <c r="A481" s="22"/>
      <c r="B481" s="12"/>
      <c r="C481" s="9"/>
      <c r="D481" s="9"/>
      <c r="E481" s="13"/>
      <c r="F481" s="14"/>
      <c r="G481" s="12"/>
    </row>
    <row r="482" spans="1:7" ht="15" customHeight="1" x14ac:dyDescent="0.2">
      <c r="A482" s="22"/>
      <c r="B482" s="12"/>
      <c r="C482" s="9"/>
      <c r="D482" s="9"/>
      <c r="E482" s="13"/>
      <c r="F482" s="14"/>
      <c r="G482" s="12"/>
    </row>
    <row r="483" spans="1:7" ht="15" customHeight="1" x14ac:dyDescent="0.2">
      <c r="A483" s="22"/>
      <c r="B483" s="12"/>
      <c r="C483" s="9"/>
      <c r="D483" s="9"/>
      <c r="E483" s="13"/>
      <c r="F483" s="14"/>
      <c r="G483" s="12"/>
    </row>
    <row r="484" spans="1:7" ht="15" customHeight="1" x14ac:dyDescent="0.2">
      <c r="A484" s="22"/>
      <c r="B484" s="12"/>
      <c r="C484" s="9"/>
      <c r="D484" s="9"/>
      <c r="E484" s="13"/>
      <c r="F484" s="14"/>
      <c r="G484" s="12"/>
    </row>
    <row r="485" spans="1:7" ht="15" customHeight="1" x14ac:dyDescent="0.2">
      <c r="A485" s="22"/>
      <c r="B485" s="12"/>
      <c r="C485" s="9"/>
      <c r="D485" s="9"/>
      <c r="E485" s="13"/>
      <c r="F485" s="14"/>
      <c r="G485" s="12"/>
    </row>
    <row r="486" spans="1:7" ht="15" customHeight="1" x14ac:dyDescent="0.2">
      <c r="A486" s="22"/>
      <c r="B486" s="12"/>
      <c r="C486" s="9"/>
      <c r="D486" s="9"/>
      <c r="E486" s="13"/>
      <c r="F486" s="14"/>
      <c r="G486" s="12"/>
    </row>
    <row r="487" spans="1:7" ht="15" customHeight="1" x14ac:dyDescent="0.2">
      <c r="A487" s="22"/>
      <c r="B487" s="12"/>
      <c r="C487" s="9"/>
      <c r="D487" s="9"/>
      <c r="E487" s="13"/>
      <c r="F487" s="14"/>
      <c r="G487" s="12"/>
    </row>
    <row r="488" spans="1:7" ht="15" customHeight="1" x14ac:dyDescent="0.2">
      <c r="A488" s="22"/>
      <c r="B488" s="12"/>
      <c r="C488" s="9"/>
      <c r="D488" s="9"/>
      <c r="E488" s="13"/>
      <c r="F488" s="14"/>
      <c r="G488" s="12"/>
    </row>
    <row r="489" spans="1:7" ht="15" customHeight="1" x14ac:dyDescent="0.2">
      <c r="A489" s="22"/>
      <c r="B489" s="12"/>
      <c r="C489" s="9"/>
      <c r="D489" s="9"/>
      <c r="E489" s="13"/>
      <c r="F489" s="14"/>
      <c r="G489" s="12"/>
    </row>
    <row r="490" spans="1:7" ht="15" customHeight="1" x14ac:dyDescent="0.2">
      <c r="A490" s="22"/>
      <c r="B490" s="12"/>
      <c r="C490" s="9"/>
      <c r="D490" s="9"/>
      <c r="E490" s="13"/>
      <c r="F490" s="14"/>
      <c r="G490" s="12"/>
    </row>
    <row r="491" spans="1:7" ht="15" customHeight="1" x14ac:dyDescent="0.2">
      <c r="A491" s="22"/>
      <c r="B491" s="12"/>
      <c r="C491" s="9"/>
      <c r="D491" s="9"/>
      <c r="E491" s="13"/>
      <c r="F491" s="14"/>
      <c r="G491" s="12"/>
    </row>
    <row r="492" spans="1:7" ht="15" customHeight="1" x14ac:dyDescent="0.2">
      <c r="A492" s="22"/>
      <c r="B492" s="12"/>
      <c r="C492" s="9"/>
      <c r="D492" s="9"/>
      <c r="E492" s="13"/>
      <c r="F492" s="14"/>
      <c r="G492" s="12"/>
    </row>
    <row r="493" spans="1:7" ht="15" customHeight="1" x14ac:dyDescent="0.2">
      <c r="A493" s="22"/>
      <c r="B493" s="12"/>
      <c r="C493" s="9"/>
      <c r="D493" s="9"/>
      <c r="E493" s="13"/>
      <c r="F493" s="14"/>
      <c r="G493" s="12"/>
    </row>
    <row r="494" spans="1:7" ht="15" customHeight="1" x14ac:dyDescent="0.2">
      <c r="A494" s="22"/>
      <c r="B494" s="12"/>
      <c r="C494" s="9"/>
      <c r="D494" s="9"/>
      <c r="E494" s="13"/>
      <c r="F494" s="14"/>
      <c r="G494" s="12"/>
    </row>
    <row r="495" spans="1:7" ht="15" customHeight="1" x14ac:dyDescent="0.2">
      <c r="A495" s="22"/>
      <c r="B495" s="12"/>
      <c r="C495" s="9"/>
      <c r="D495" s="9"/>
      <c r="E495" s="13"/>
      <c r="F495" s="14"/>
      <c r="G495" s="12"/>
    </row>
    <row r="496" spans="1:7" ht="15" customHeight="1" x14ac:dyDescent="0.2">
      <c r="A496" s="22"/>
      <c r="B496" s="12"/>
      <c r="C496" s="9"/>
      <c r="D496" s="9"/>
      <c r="E496" s="13"/>
      <c r="F496" s="14"/>
      <c r="G496" s="12"/>
    </row>
    <row r="497" spans="1:7" ht="15" customHeight="1" x14ac:dyDescent="0.2">
      <c r="A497" s="22"/>
      <c r="B497" s="12"/>
      <c r="C497" s="9"/>
      <c r="D497" s="9"/>
      <c r="E497" s="13"/>
      <c r="F497" s="14"/>
      <c r="G497" s="12"/>
    </row>
    <row r="498" spans="1:7" ht="15" customHeight="1" x14ac:dyDescent="0.2">
      <c r="A498" s="22"/>
      <c r="B498" s="12"/>
      <c r="C498" s="9"/>
      <c r="D498" s="9"/>
      <c r="E498" s="13"/>
      <c r="F498" s="14"/>
      <c r="G498" s="12"/>
    </row>
    <row r="499" spans="1:7" ht="15" customHeight="1" x14ac:dyDescent="0.2">
      <c r="A499" s="22"/>
      <c r="B499" s="12"/>
      <c r="C499" s="9"/>
      <c r="D499" s="9"/>
      <c r="E499" s="13"/>
      <c r="F499" s="14"/>
      <c r="G499" s="12"/>
    </row>
    <row r="500" spans="1:7" ht="15" customHeight="1" x14ac:dyDescent="0.2">
      <c r="A500" s="22"/>
      <c r="B500" s="12"/>
      <c r="C500" s="9"/>
      <c r="D500" s="9"/>
      <c r="E500" s="13"/>
      <c r="F500" s="14"/>
      <c r="G500" s="12"/>
    </row>
    <row r="501" spans="1:7" ht="15" customHeight="1" x14ac:dyDescent="0.2">
      <c r="A501" s="22"/>
      <c r="B501" s="12"/>
      <c r="C501" s="9"/>
      <c r="D501" s="9"/>
      <c r="E501" s="13"/>
      <c r="F501" s="14"/>
      <c r="G501" s="12"/>
    </row>
    <row r="502" spans="1:7" ht="15" customHeight="1" x14ac:dyDescent="0.2">
      <c r="A502" s="22"/>
      <c r="B502" s="12"/>
      <c r="C502" s="9"/>
      <c r="D502" s="9"/>
      <c r="E502" s="13"/>
      <c r="F502" s="14"/>
      <c r="G502" s="12"/>
    </row>
    <row r="503" spans="1:7" ht="15" customHeight="1" x14ac:dyDescent="0.2">
      <c r="A503" s="22"/>
      <c r="B503" s="12"/>
      <c r="C503" s="9"/>
      <c r="D503" s="9"/>
      <c r="E503" s="13"/>
      <c r="F503" s="14"/>
      <c r="G503" s="12"/>
    </row>
    <row r="504" spans="1:7" ht="15" customHeight="1" x14ac:dyDescent="0.2">
      <c r="A504" s="22"/>
      <c r="B504" s="12"/>
      <c r="C504" s="9"/>
      <c r="D504" s="9"/>
      <c r="E504" s="13"/>
      <c r="F504" s="14"/>
      <c r="G504" s="12"/>
    </row>
    <row r="505" spans="1:7" ht="15" customHeight="1" x14ac:dyDescent="0.2">
      <c r="A505" s="22"/>
      <c r="B505" s="12"/>
      <c r="C505" s="9"/>
      <c r="D505" s="9"/>
      <c r="E505" s="13"/>
      <c r="F505" s="14"/>
      <c r="G505" s="12"/>
    </row>
    <row r="506" spans="1:7" ht="15" customHeight="1" x14ac:dyDescent="0.2">
      <c r="A506" s="22"/>
      <c r="B506" s="12"/>
      <c r="C506" s="9"/>
      <c r="D506" s="9"/>
      <c r="E506" s="13"/>
      <c r="F506" s="14"/>
      <c r="G506" s="12"/>
    </row>
    <row r="507" spans="1:7" ht="15" customHeight="1" x14ac:dyDescent="0.2">
      <c r="A507" s="22"/>
      <c r="B507" s="12"/>
      <c r="C507" s="9"/>
      <c r="D507" s="9"/>
      <c r="E507" s="13"/>
      <c r="F507" s="14"/>
      <c r="G507" s="12"/>
    </row>
    <row r="508" spans="1:7" ht="15" customHeight="1" x14ac:dyDescent="0.2">
      <c r="A508" s="22"/>
      <c r="B508" s="12"/>
      <c r="C508" s="9"/>
      <c r="D508" s="9"/>
      <c r="E508" s="13"/>
      <c r="F508" s="14"/>
      <c r="G508" s="12"/>
    </row>
    <row r="509" spans="1:7" ht="15" customHeight="1" x14ac:dyDescent="0.2">
      <c r="A509" s="22"/>
      <c r="B509" s="12"/>
      <c r="C509" s="9"/>
      <c r="D509" s="9"/>
      <c r="E509" s="13"/>
      <c r="F509" s="14"/>
      <c r="G509" s="12"/>
    </row>
    <row r="510" spans="1:7" ht="15" customHeight="1" x14ac:dyDescent="0.2">
      <c r="A510" s="22"/>
      <c r="B510" s="12"/>
      <c r="C510" s="9"/>
      <c r="D510" s="9"/>
      <c r="E510" s="13"/>
      <c r="F510" s="14"/>
      <c r="G510" s="12"/>
    </row>
    <row r="511" spans="1:7" ht="15" customHeight="1" x14ac:dyDescent="0.2">
      <c r="A511" s="22"/>
      <c r="B511" s="12"/>
      <c r="C511" s="9"/>
      <c r="D511" s="9"/>
      <c r="E511" s="13"/>
      <c r="F511" s="14"/>
      <c r="G511" s="12"/>
    </row>
    <row r="512" spans="1:7" ht="15" customHeight="1" x14ac:dyDescent="0.2">
      <c r="A512" s="22"/>
      <c r="B512" s="12"/>
      <c r="C512" s="9"/>
      <c r="D512" s="9"/>
      <c r="E512" s="13"/>
      <c r="F512" s="14"/>
      <c r="G512" s="12"/>
    </row>
    <row r="513" spans="1:7" ht="15" customHeight="1" x14ac:dyDescent="0.2">
      <c r="A513" s="22"/>
      <c r="B513" s="12"/>
      <c r="C513" s="9"/>
      <c r="D513" s="9"/>
      <c r="E513" s="13"/>
      <c r="F513" s="14"/>
      <c r="G513" s="12"/>
    </row>
    <row r="514" spans="1:7" ht="15" customHeight="1" x14ac:dyDescent="0.2">
      <c r="A514" s="22"/>
      <c r="B514" s="12"/>
      <c r="C514" s="9"/>
      <c r="D514" s="9"/>
      <c r="E514" s="13"/>
      <c r="F514" s="14"/>
      <c r="G514" s="12"/>
    </row>
    <row r="515" spans="1:7" ht="15" customHeight="1" x14ac:dyDescent="0.2">
      <c r="A515" s="22"/>
      <c r="B515" s="12"/>
      <c r="C515" s="9"/>
      <c r="D515" s="9"/>
      <c r="E515" s="13"/>
      <c r="F515" s="14"/>
      <c r="G515" s="12"/>
    </row>
    <row r="516" spans="1:7" ht="15" customHeight="1" x14ac:dyDescent="0.2">
      <c r="A516" s="22"/>
      <c r="B516" s="12"/>
      <c r="C516" s="9"/>
      <c r="D516" s="9"/>
      <c r="E516" s="13"/>
      <c r="F516" s="14"/>
      <c r="G516" s="12"/>
    </row>
    <row r="517" spans="1:7" ht="15" customHeight="1" x14ac:dyDescent="0.2">
      <c r="A517" s="22"/>
      <c r="B517" s="12"/>
      <c r="C517" s="9"/>
      <c r="D517" s="9"/>
      <c r="E517" s="13"/>
      <c r="F517" s="14"/>
      <c r="G517" s="12"/>
    </row>
    <row r="518" spans="1:7" ht="15" customHeight="1" x14ac:dyDescent="0.2">
      <c r="A518" s="22"/>
      <c r="B518" s="12"/>
      <c r="C518" s="9"/>
      <c r="D518" s="9"/>
      <c r="E518" s="13"/>
      <c r="F518" s="14"/>
      <c r="G518" s="12"/>
    </row>
    <row r="519" spans="1:7" ht="15" customHeight="1" x14ac:dyDescent="0.2">
      <c r="A519" s="22"/>
      <c r="B519" s="12"/>
      <c r="C519" s="9"/>
      <c r="D519" s="9"/>
      <c r="E519" s="13"/>
      <c r="F519" s="14"/>
      <c r="G519" s="12"/>
    </row>
    <row r="520" spans="1:7" ht="15" customHeight="1" x14ac:dyDescent="0.2">
      <c r="A520" s="22"/>
      <c r="B520" s="12"/>
      <c r="C520" s="9"/>
      <c r="D520" s="9"/>
      <c r="E520" s="13"/>
      <c r="F520" s="14"/>
      <c r="G520" s="12"/>
    </row>
    <row r="521" spans="1:7" ht="15" customHeight="1" x14ac:dyDescent="0.2">
      <c r="A521" s="22"/>
      <c r="B521" s="12"/>
      <c r="C521" s="9"/>
      <c r="D521" s="9"/>
      <c r="E521" s="13"/>
      <c r="F521" s="14"/>
      <c r="G521" s="12"/>
    </row>
    <row r="522" spans="1:7" ht="15" customHeight="1" x14ac:dyDescent="0.2">
      <c r="A522" s="22"/>
      <c r="B522" s="12"/>
      <c r="C522" s="9"/>
      <c r="D522" s="9"/>
      <c r="E522" s="13"/>
      <c r="F522" s="14"/>
      <c r="G522" s="12"/>
    </row>
    <row r="523" spans="1:7" ht="15" customHeight="1" x14ac:dyDescent="0.2">
      <c r="A523" s="22"/>
      <c r="B523" s="12"/>
      <c r="C523" s="9"/>
      <c r="D523" s="9"/>
      <c r="E523" s="13"/>
      <c r="F523" s="14"/>
      <c r="G523" s="12"/>
    </row>
    <row r="524" spans="1:7" ht="15" customHeight="1" x14ac:dyDescent="0.2">
      <c r="A524" s="22"/>
      <c r="B524" s="12"/>
      <c r="C524" s="9"/>
      <c r="D524" s="9"/>
      <c r="E524" s="13"/>
      <c r="F524" s="14"/>
      <c r="G524" s="12"/>
    </row>
    <row r="525" spans="1:7" ht="15" customHeight="1" x14ac:dyDescent="0.2">
      <c r="A525" s="22"/>
      <c r="B525" s="12"/>
      <c r="C525" s="9"/>
      <c r="D525" s="9"/>
      <c r="E525" s="13"/>
      <c r="F525" s="14"/>
      <c r="G525" s="12"/>
    </row>
    <row r="526" spans="1:7" ht="15" customHeight="1" x14ac:dyDescent="0.2">
      <c r="A526" s="22"/>
      <c r="B526" s="12"/>
      <c r="C526" s="9"/>
      <c r="D526" s="9"/>
      <c r="E526" s="13"/>
      <c r="F526" s="14"/>
      <c r="G526" s="12"/>
    </row>
    <row r="527" spans="1:7" ht="15" customHeight="1" x14ac:dyDescent="0.2">
      <c r="A527" s="22"/>
      <c r="B527" s="12"/>
      <c r="C527" s="9"/>
      <c r="D527" s="9"/>
      <c r="E527" s="13"/>
      <c r="F527" s="14"/>
      <c r="G527" s="12"/>
    </row>
    <row r="528" spans="1:7" ht="15" customHeight="1" x14ac:dyDescent="0.2">
      <c r="A528" s="22"/>
      <c r="B528" s="12"/>
      <c r="C528" s="9"/>
      <c r="D528" s="9"/>
      <c r="E528" s="13"/>
      <c r="F528" s="14"/>
      <c r="G528" s="12"/>
    </row>
    <row r="529" spans="1:7" ht="15" customHeight="1" x14ac:dyDescent="0.2">
      <c r="A529" s="22"/>
      <c r="B529" s="12"/>
      <c r="C529" s="9"/>
      <c r="D529" s="9"/>
      <c r="E529" s="13"/>
      <c r="F529" s="14"/>
      <c r="G529" s="12"/>
    </row>
    <row r="530" spans="1:7" ht="15" customHeight="1" x14ac:dyDescent="0.2">
      <c r="A530" s="22"/>
      <c r="B530" s="12"/>
      <c r="C530" s="9"/>
      <c r="D530" s="9"/>
      <c r="E530" s="13"/>
      <c r="F530" s="14"/>
      <c r="G530" s="12"/>
    </row>
    <row r="531" spans="1:7" ht="15" customHeight="1" x14ac:dyDescent="0.2">
      <c r="A531" s="22"/>
      <c r="B531" s="12"/>
      <c r="C531" s="9"/>
      <c r="D531" s="9"/>
      <c r="E531" s="13"/>
      <c r="F531" s="14"/>
      <c r="G531" s="12"/>
    </row>
    <row r="532" spans="1:7" ht="15" customHeight="1" x14ac:dyDescent="0.2">
      <c r="A532" s="22"/>
      <c r="B532" s="12"/>
      <c r="C532" s="9"/>
      <c r="D532" s="9"/>
      <c r="E532" s="13"/>
      <c r="F532" s="14"/>
      <c r="G532" s="12"/>
    </row>
    <row r="533" spans="1:7" ht="15" customHeight="1" x14ac:dyDescent="0.2">
      <c r="A533" s="22"/>
      <c r="B533" s="12"/>
      <c r="C533" s="9"/>
      <c r="D533" s="9"/>
      <c r="E533" s="13"/>
      <c r="F533" s="14"/>
      <c r="G533" s="12"/>
    </row>
    <row r="534" spans="1:7" ht="15" customHeight="1" x14ac:dyDescent="0.2">
      <c r="A534" s="22"/>
      <c r="B534" s="12"/>
      <c r="C534" s="9"/>
      <c r="D534" s="9"/>
      <c r="E534" s="13"/>
      <c r="F534" s="14"/>
      <c r="G534" s="12"/>
    </row>
    <row r="535" spans="1:7" ht="15" customHeight="1" x14ac:dyDescent="0.2">
      <c r="A535" s="22"/>
      <c r="B535" s="12"/>
      <c r="C535" s="9"/>
      <c r="D535" s="9"/>
      <c r="E535" s="13"/>
      <c r="F535" s="14"/>
      <c r="G535" s="12"/>
    </row>
    <row r="536" spans="1:7" ht="15" customHeight="1" x14ac:dyDescent="0.2">
      <c r="A536" s="22"/>
      <c r="B536" s="12"/>
      <c r="C536" s="9"/>
      <c r="D536" s="9"/>
      <c r="E536" s="13"/>
      <c r="F536" s="14"/>
      <c r="G536" s="12"/>
    </row>
    <row r="537" spans="1:7" ht="15" customHeight="1" x14ac:dyDescent="0.2">
      <c r="A537" s="22"/>
      <c r="B537" s="12"/>
      <c r="C537" s="9"/>
      <c r="D537" s="9"/>
      <c r="E537" s="13"/>
      <c r="F537" s="14"/>
      <c r="G537" s="12"/>
    </row>
    <row r="538" spans="1:7" ht="15" customHeight="1" x14ac:dyDescent="0.2">
      <c r="A538" s="22"/>
      <c r="B538" s="12"/>
      <c r="C538" s="9"/>
      <c r="D538" s="9"/>
      <c r="E538" s="13"/>
      <c r="F538" s="14"/>
      <c r="G538" s="12"/>
    </row>
    <row r="539" spans="1:7" ht="15" customHeight="1" x14ac:dyDescent="0.2">
      <c r="A539" s="22"/>
      <c r="B539" s="12"/>
      <c r="C539" s="9"/>
      <c r="D539" s="9"/>
      <c r="E539" s="13"/>
      <c r="F539" s="14"/>
      <c r="G539" s="12"/>
    </row>
    <row r="540" spans="1:7" ht="15" customHeight="1" x14ac:dyDescent="0.2">
      <c r="A540" s="22"/>
      <c r="B540" s="12"/>
      <c r="C540" s="9"/>
      <c r="D540" s="9"/>
      <c r="E540" s="13"/>
      <c r="F540" s="14"/>
      <c r="G540" s="12"/>
    </row>
    <row r="541" spans="1:7" ht="15" customHeight="1" x14ac:dyDescent="0.2">
      <c r="A541" s="22"/>
      <c r="B541" s="12"/>
      <c r="C541" s="9"/>
      <c r="D541" s="9"/>
      <c r="E541" s="13"/>
      <c r="F541" s="14"/>
      <c r="G541" s="12"/>
    </row>
    <row r="542" spans="1:7" ht="15" customHeight="1" x14ac:dyDescent="0.2">
      <c r="A542" s="22"/>
      <c r="B542" s="12"/>
      <c r="C542" s="9"/>
      <c r="D542" s="9"/>
      <c r="E542" s="13"/>
      <c r="F542" s="14"/>
      <c r="G542" s="12"/>
    </row>
    <row r="543" spans="1:7" ht="15" customHeight="1" x14ac:dyDescent="0.2">
      <c r="A543" s="22"/>
      <c r="B543" s="12"/>
      <c r="C543" s="9"/>
      <c r="D543" s="9"/>
      <c r="E543" s="13"/>
      <c r="F543" s="14"/>
      <c r="G543" s="12"/>
    </row>
    <row r="544" spans="1:7" ht="15" customHeight="1" x14ac:dyDescent="0.2">
      <c r="A544" s="22"/>
      <c r="B544" s="12"/>
      <c r="C544" s="9"/>
      <c r="D544" s="9"/>
      <c r="E544" s="13"/>
      <c r="F544" s="14"/>
      <c r="G544" s="12"/>
    </row>
    <row r="545" spans="1:7" ht="15" customHeight="1" x14ac:dyDescent="0.2">
      <c r="A545" s="22"/>
      <c r="B545" s="12"/>
      <c r="C545" s="9"/>
      <c r="D545" s="9"/>
      <c r="E545" s="13"/>
      <c r="F545" s="14"/>
      <c r="G545" s="12"/>
    </row>
    <row r="546" spans="1:7" ht="15" customHeight="1" x14ac:dyDescent="0.2">
      <c r="A546" s="22"/>
      <c r="B546" s="12"/>
      <c r="C546" s="9"/>
      <c r="D546" s="9"/>
      <c r="E546" s="13"/>
      <c r="F546" s="14"/>
      <c r="G546" s="12"/>
    </row>
    <row r="547" spans="1:7" ht="15" customHeight="1" x14ac:dyDescent="0.2">
      <c r="A547" s="22"/>
      <c r="B547" s="12"/>
      <c r="C547" s="9"/>
      <c r="D547" s="9"/>
      <c r="E547" s="13"/>
      <c r="F547" s="14"/>
      <c r="G547" s="12"/>
    </row>
    <row r="548" spans="1:7" ht="15" customHeight="1" x14ac:dyDescent="0.2">
      <c r="A548" s="22"/>
      <c r="B548" s="12"/>
      <c r="C548" s="9"/>
      <c r="D548" s="9"/>
      <c r="E548" s="13"/>
      <c r="F548" s="14"/>
      <c r="G548" s="12"/>
    </row>
    <row r="549" spans="1:7" ht="15" customHeight="1" x14ac:dyDescent="0.2">
      <c r="A549" s="22"/>
      <c r="B549" s="12"/>
      <c r="C549" s="9"/>
      <c r="D549" s="9"/>
      <c r="E549" s="13"/>
      <c r="F549" s="14"/>
      <c r="G549" s="12"/>
    </row>
    <row r="550" spans="1:7" ht="15" customHeight="1" x14ac:dyDescent="0.2">
      <c r="A550" s="22"/>
      <c r="B550" s="12"/>
      <c r="C550" s="9"/>
      <c r="D550" s="9"/>
      <c r="E550" s="13"/>
      <c r="F550" s="14"/>
      <c r="G550" s="12"/>
    </row>
    <row r="551" spans="1:7" ht="15" customHeight="1" x14ac:dyDescent="0.2">
      <c r="A551" s="22"/>
      <c r="B551" s="12"/>
      <c r="C551" s="9"/>
      <c r="D551" s="9"/>
      <c r="E551" s="13"/>
      <c r="F551" s="14"/>
      <c r="G551" s="12"/>
    </row>
    <row r="552" spans="1:7" ht="15" customHeight="1" x14ac:dyDescent="0.2">
      <c r="A552" s="22"/>
      <c r="B552" s="12"/>
      <c r="C552" s="9"/>
      <c r="D552" s="9"/>
      <c r="E552" s="13"/>
      <c r="F552" s="14"/>
      <c r="G552" s="12"/>
    </row>
    <row r="553" spans="1:7" ht="15" customHeight="1" x14ac:dyDescent="0.2">
      <c r="A553" s="22"/>
      <c r="B553" s="12"/>
      <c r="C553" s="9"/>
      <c r="D553" s="9"/>
      <c r="E553" s="13"/>
      <c r="F553" s="14"/>
      <c r="G553" s="12"/>
    </row>
    <row r="554" spans="1:7" ht="15" customHeight="1" x14ac:dyDescent="0.2">
      <c r="A554" s="22"/>
      <c r="B554" s="12"/>
      <c r="C554" s="9"/>
      <c r="D554" s="9"/>
      <c r="E554" s="13"/>
      <c r="F554" s="14"/>
      <c r="G554" s="12"/>
    </row>
    <row r="555" spans="1:7" ht="15" customHeight="1" x14ac:dyDescent="0.2">
      <c r="A555" s="22"/>
      <c r="B555" s="12"/>
      <c r="C555" s="9"/>
      <c r="D555" s="9"/>
      <c r="E555" s="13"/>
      <c r="F555" s="14"/>
      <c r="G555" s="12"/>
    </row>
    <row r="556" spans="1:7" ht="15" customHeight="1" x14ac:dyDescent="0.2">
      <c r="A556" s="22"/>
      <c r="B556" s="12"/>
      <c r="C556" s="9"/>
      <c r="D556" s="9"/>
      <c r="E556" s="13"/>
      <c r="F556" s="14"/>
      <c r="G556" s="12"/>
    </row>
    <row r="557" spans="1:7" ht="15" customHeight="1" x14ac:dyDescent="0.2">
      <c r="A557" s="22"/>
      <c r="B557" s="12"/>
      <c r="C557" s="9"/>
      <c r="D557" s="9"/>
      <c r="E557" s="13"/>
      <c r="F557" s="14"/>
      <c r="G557" s="12"/>
    </row>
    <row r="558" spans="1:7" ht="15" customHeight="1" x14ac:dyDescent="0.2">
      <c r="A558" s="22"/>
      <c r="B558" s="12"/>
      <c r="C558" s="9"/>
      <c r="D558" s="9"/>
      <c r="E558" s="13"/>
      <c r="F558" s="14"/>
      <c r="G558" s="12"/>
    </row>
    <row r="559" spans="1:7" ht="15" customHeight="1" x14ac:dyDescent="0.2">
      <c r="A559" s="22"/>
      <c r="B559" s="12"/>
      <c r="C559" s="9"/>
      <c r="D559" s="9"/>
      <c r="E559" s="13"/>
      <c r="F559" s="14"/>
      <c r="G559" s="12"/>
    </row>
    <row r="560" spans="1:7" ht="15" customHeight="1" x14ac:dyDescent="0.2">
      <c r="A560" s="22"/>
      <c r="B560" s="12"/>
      <c r="C560" s="9"/>
      <c r="D560" s="9"/>
      <c r="E560" s="13"/>
      <c r="F560" s="14"/>
      <c r="G560" s="12"/>
    </row>
    <row r="561" spans="1:7" ht="15" customHeight="1" x14ac:dyDescent="0.2">
      <c r="A561" s="22"/>
      <c r="B561" s="12"/>
      <c r="C561" s="9"/>
      <c r="D561" s="9"/>
      <c r="E561" s="13"/>
      <c r="F561" s="14"/>
      <c r="G561" s="12"/>
    </row>
    <row r="562" spans="1:7" ht="15" customHeight="1" x14ac:dyDescent="0.2">
      <c r="A562" s="22"/>
      <c r="B562" s="12"/>
      <c r="C562" s="9"/>
      <c r="D562" s="9"/>
      <c r="E562" s="13"/>
      <c r="F562" s="14"/>
      <c r="G562" s="12"/>
    </row>
    <row r="563" spans="1:7" ht="15" customHeight="1" x14ac:dyDescent="0.2">
      <c r="A563" s="22"/>
      <c r="B563" s="12"/>
      <c r="C563" s="9"/>
      <c r="D563" s="9"/>
      <c r="E563" s="13"/>
      <c r="F563" s="14"/>
      <c r="G563" s="12"/>
    </row>
    <row r="564" spans="1:7" ht="15" customHeight="1" x14ac:dyDescent="0.2">
      <c r="A564" s="22"/>
      <c r="B564" s="12"/>
      <c r="C564" s="9"/>
      <c r="D564" s="9"/>
      <c r="E564" s="13"/>
      <c r="F564" s="14"/>
      <c r="G564" s="12"/>
    </row>
    <row r="565" spans="1:7" ht="15" customHeight="1" x14ac:dyDescent="0.2">
      <c r="A565" s="22"/>
      <c r="B565" s="12"/>
      <c r="C565" s="9"/>
      <c r="D565" s="9"/>
      <c r="E565" s="13"/>
      <c r="F565" s="14"/>
      <c r="G565" s="12"/>
    </row>
    <row r="566" spans="1:7" ht="15" customHeight="1" x14ac:dyDescent="0.2">
      <c r="A566" s="22"/>
      <c r="B566" s="12"/>
      <c r="C566" s="9"/>
      <c r="D566" s="9"/>
      <c r="E566" s="13"/>
      <c r="F566" s="14"/>
      <c r="G566" s="12"/>
    </row>
    <row r="567" spans="1:7" ht="15" customHeight="1" x14ac:dyDescent="0.2">
      <c r="A567" s="22"/>
      <c r="B567" s="12"/>
      <c r="C567" s="9"/>
      <c r="D567" s="9"/>
      <c r="E567" s="13"/>
      <c r="F567" s="14"/>
      <c r="G567" s="12"/>
    </row>
    <row r="568" spans="1:7" ht="15" customHeight="1" x14ac:dyDescent="0.2">
      <c r="A568" s="22"/>
      <c r="B568" s="12"/>
      <c r="C568" s="9"/>
      <c r="D568" s="9"/>
      <c r="E568" s="13"/>
      <c r="F568" s="14"/>
      <c r="G568" s="12"/>
    </row>
    <row r="569" spans="1:7" ht="15" customHeight="1" x14ac:dyDescent="0.2">
      <c r="A569" s="22"/>
      <c r="B569" s="12"/>
      <c r="C569" s="9"/>
      <c r="D569" s="9"/>
      <c r="E569" s="13"/>
      <c r="F569" s="14"/>
      <c r="G569" s="12"/>
    </row>
    <row r="570" spans="1:7" ht="15" customHeight="1" x14ac:dyDescent="0.2">
      <c r="A570" s="22"/>
      <c r="B570" s="12"/>
      <c r="C570" s="9"/>
      <c r="D570" s="9"/>
      <c r="E570" s="13"/>
      <c r="F570" s="14"/>
      <c r="G570" s="12"/>
    </row>
    <row r="571" spans="1:7" ht="15" customHeight="1" x14ac:dyDescent="0.2">
      <c r="A571" s="22"/>
      <c r="B571" s="12"/>
      <c r="C571" s="9"/>
      <c r="D571" s="9"/>
      <c r="E571" s="13"/>
      <c r="F571" s="14"/>
      <c r="G571" s="12"/>
    </row>
    <row r="572" spans="1:7" ht="15" customHeight="1" x14ac:dyDescent="0.2">
      <c r="A572" s="22"/>
      <c r="B572" s="12"/>
      <c r="C572" s="9"/>
      <c r="D572" s="9"/>
      <c r="E572" s="13"/>
      <c r="F572" s="14"/>
      <c r="G572" s="12"/>
    </row>
    <row r="573" spans="1:7" ht="15" customHeight="1" x14ac:dyDescent="0.2">
      <c r="A573" s="22"/>
      <c r="B573" s="12"/>
      <c r="C573" s="9"/>
      <c r="D573" s="9"/>
      <c r="E573" s="13"/>
      <c r="F573" s="14"/>
      <c r="G573" s="12"/>
    </row>
    <row r="574" spans="1:7" ht="15" customHeight="1" x14ac:dyDescent="0.2">
      <c r="A574" s="22"/>
      <c r="B574" s="12"/>
      <c r="C574" s="9"/>
      <c r="D574" s="9"/>
      <c r="E574" s="13"/>
      <c r="F574" s="14"/>
      <c r="G574" s="12"/>
    </row>
    <row r="575" spans="1:7" ht="15" customHeight="1" x14ac:dyDescent="0.2">
      <c r="A575" s="22"/>
      <c r="B575" s="12"/>
      <c r="C575" s="9"/>
      <c r="D575" s="9"/>
      <c r="E575" s="13"/>
      <c r="F575" s="14"/>
      <c r="G575" s="12"/>
    </row>
    <row r="576" spans="1:7" ht="15" customHeight="1" x14ac:dyDescent="0.2">
      <c r="A576" s="22"/>
      <c r="B576" s="12"/>
      <c r="C576" s="9"/>
      <c r="D576" s="9"/>
      <c r="E576" s="13"/>
      <c r="F576" s="14"/>
      <c r="G576" s="12"/>
    </row>
    <row r="577" spans="1:7" ht="15" customHeight="1" x14ac:dyDescent="0.2">
      <c r="A577" s="22"/>
      <c r="B577" s="12"/>
      <c r="C577" s="9"/>
      <c r="D577" s="9"/>
      <c r="E577" s="13"/>
      <c r="F577" s="14"/>
      <c r="G577" s="12"/>
    </row>
    <row r="578" spans="1:7" ht="15" customHeight="1" x14ac:dyDescent="0.2">
      <c r="A578" s="22"/>
      <c r="B578" s="12"/>
      <c r="C578" s="9"/>
      <c r="D578" s="9"/>
      <c r="E578" s="13"/>
      <c r="F578" s="14"/>
      <c r="G578" s="12"/>
    </row>
    <row r="579" spans="1:7" ht="15" customHeight="1" x14ac:dyDescent="0.2">
      <c r="A579" s="22"/>
      <c r="B579" s="12"/>
      <c r="C579" s="9"/>
      <c r="D579" s="9"/>
      <c r="E579" s="13"/>
      <c r="F579" s="14"/>
      <c r="G579" s="12"/>
    </row>
    <row r="580" spans="1:7" ht="15" customHeight="1" x14ac:dyDescent="0.2">
      <c r="A580" s="22"/>
      <c r="B580" s="12"/>
      <c r="C580" s="9"/>
      <c r="D580" s="9"/>
      <c r="E580" s="13"/>
      <c r="F580" s="14"/>
      <c r="G580" s="12"/>
    </row>
    <row r="581" spans="1:7" ht="15" customHeight="1" x14ac:dyDescent="0.2">
      <c r="A581" s="22"/>
      <c r="B581" s="12"/>
      <c r="C581" s="9"/>
      <c r="D581" s="9"/>
      <c r="E581" s="13"/>
      <c r="F581" s="14"/>
      <c r="G581" s="12"/>
    </row>
    <row r="582" spans="1:7" ht="15" customHeight="1" x14ac:dyDescent="0.2">
      <c r="A582" s="22"/>
      <c r="B582" s="12"/>
      <c r="C582" s="9"/>
      <c r="D582" s="9"/>
      <c r="E582" s="13"/>
      <c r="F582" s="14"/>
      <c r="G582" s="12"/>
    </row>
    <row r="583" spans="1:7" ht="15" customHeight="1" x14ac:dyDescent="0.2">
      <c r="A583" s="22"/>
      <c r="B583" s="12"/>
      <c r="C583" s="9"/>
      <c r="D583" s="9"/>
      <c r="E583" s="13"/>
      <c r="F583" s="14"/>
      <c r="G583" s="12"/>
    </row>
    <row r="584" spans="1:7" ht="15" customHeight="1" x14ac:dyDescent="0.2">
      <c r="A584" s="22"/>
      <c r="B584" s="12"/>
      <c r="C584" s="9"/>
      <c r="D584" s="9"/>
      <c r="E584" s="13"/>
      <c r="F584" s="14"/>
      <c r="G584" s="12"/>
    </row>
    <row r="585" spans="1:7" ht="15" customHeight="1" x14ac:dyDescent="0.2">
      <c r="A585" s="22"/>
      <c r="B585" s="12"/>
      <c r="C585" s="9"/>
      <c r="D585" s="9"/>
      <c r="E585" s="13"/>
      <c r="F585" s="14"/>
      <c r="G585" s="12"/>
    </row>
    <row r="586" spans="1:7" ht="15" customHeight="1" x14ac:dyDescent="0.2">
      <c r="A586" s="22"/>
      <c r="B586" s="12"/>
      <c r="C586" s="9"/>
      <c r="D586" s="9"/>
      <c r="E586" s="13"/>
      <c r="F586" s="14"/>
      <c r="G586" s="12"/>
    </row>
    <row r="587" spans="1:7" ht="15" customHeight="1" x14ac:dyDescent="0.2">
      <c r="A587" s="22"/>
      <c r="B587" s="12"/>
      <c r="C587" s="9"/>
      <c r="D587" s="9"/>
      <c r="E587" s="13"/>
      <c r="F587" s="14"/>
      <c r="G587" s="12"/>
    </row>
    <row r="588" spans="1:7" ht="15" customHeight="1" x14ac:dyDescent="0.2">
      <c r="A588" s="22"/>
      <c r="B588" s="12"/>
      <c r="C588" s="9"/>
      <c r="D588" s="9"/>
      <c r="E588" s="13"/>
      <c r="F588" s="14"/>
      <c r="G588" s="12"/>
    </row>
    <row r="589" spans="1:7" ht="15" customHeight="1" x14ac:dyDescent="0.2">
      <c r="A589" s="22"/>
      <c r="B589" s="12"/>
      <c r="C589" s="9"/>
      <c r="D589" s="9"/>
      <c r="E589" s="13"/>
      <c r="F589" s="14"/>
      <c r="G589" s="12"/>
    </row>
    <row r="590" spans="1:7" ht="15" customHeight="1" x14ac:dyDescent="0.2">
      <c r="A590" s="22"/>
      <c r="B590" s="12"/>
      <c r="C590" s="9"/>
      <c r="D590" s="9"/>
      <c r="E590" s="13"/>
      <c r="F590" s="14"/>
      <c r="G590" s="12"/>
    </row>
    <row r="591" spans="1:7" ht="15" customHeight="1" x14ac:dyDescent="0.2">
      <c r="A591" s="22"/>
      <c r="B591" s="12"/>
      <c r="C591" s="9"/>
      <c r="D591" s="9"/>
      <c r="E591" s="13"/>
      <c r="F591" s="14"/>
      <c r="G591" s="12"/>
    </row>
    <row r="592" spans="1:7" ht="15" customHeight="1" x14ac:dyDescent="0.2">
      <c r="A592" s="22"/>
      <c r="B592" s="12"/>
      <c r="C592" s="9"/>
      <c r="D592" s="9"/>
      <c r="E592" s="13"/>
      <c r="F592" s="14"/>
      <c r="G592" s="12"/>
    </row>
    <row r="593" spans="1:7" ht="15" customHeight="1" x14ac:dyDescent="0.2">
      <c r="A593" s="22"/>
      <c r="B593" s="12"/>
      <c r="C593" s="9"/>
      <c r="D593" s="9"/>
      <c r="E593" s="13"/>
      <c r="F593" s="14"/>
      <c r="G593" s="12"/>
    </row>
    <row r="594" spans="1:7" ht="15" customHeight="1" x14ac:dyDescent="0.2">
      <c r="A594" s="22"/>
      <c r="B594" s="12"/>
      <c r="C594" s="9"/>
      <c r="D594" s="9"/>
      <c r="E594" s="13"/>
      <c r="F594" s="14"/>
      <c r="G594" s="12"/>
    </row>
    <row r="595" spans="1:7" ht="15" customHeight="1" x14ac:dyDescent="0.2">
      <c r="A595" s="22"/>
      <c r="B595" s="12"/>
      <c r="C595" s="9"/>
      <c r="D595" s="9"/>
      <c r="E595" s="13"/>
      <c r="F595" s="14"/>
      <c r="G595" s="12"/>
    </row>
    <row r="596" spans="1:7" ht="15" customHeight="1" x14ac:dyDescent="0.2">
      <c r="A596" s="22"/>
      <c r="B596" s="12"/>
      <c r="C596" s="9"/>
      <c r="D596" s="9"/>
      <c r="E596" s="13"/>
      <c r="F596" s="14"/>
      <c r="G596" s="12"/>
    </row>
    <row r="597" spans="1:7" ht="15" customHeight="1" x14ac:dyDescent="0.2">
      <c r="A597" s="22"/>
      <c r="B597" s="12"/>
      <c r="C597" s="9"/>
      <c r="D597" s="9"/>
      <c r="E597" s="13"/>
      <c r="F597" s="14"/>
      <c r="G597" s="12"/>
    </row>
    <row r="598" spans="1:7" ht="15" customHeight="1" x14ac:dyDescent="0.2">
      <c r="A598" s="22"/>
      <c r="B598" s="12"/>
      <c r="C598" s="9"/>
      <c r="D598" s="9"/>
      <c r="E598" s="13"/>
      <c r="F598" s="14"/>
      <c r="G598" s="12"/>
    </row>
    <row r="599" spans="1:7" ht="15" customHeight="1" x14ac:dyDescent="0.2">
      <c r="A599" s="22"/>
      <c r="B599" s="12"/>
      <c r="C599" s="9"/>
      <c r="D599" s="9"/>
      <c r="E599" s="13"/>
      <c r="F599" s="14"/>
      <c r="G599" s="12"/>
    </row>
    <row r="600" spans="1:7" ht="15" customHeight="1" x14ac:dyDescent="0.2">
      <c r="A600" s="22"/>
      <c r="B600" s="12"/>
      <c r="C600" s="9"/>
      <c r="D600" s="9"/>
      <c r="E600" s="13"/>
      <c r="F600" s="14"/>
      <c r="G600" s="12"/>
    </row>
    <row r="601" spans="1:7" ht="15" customHeight="1" x14ac:dyDescent="0.2">
      <c r="A601" s="22"/>
      <c r="B601" s="12"/>
      <c r="C601" s="9"/>
      <c r="D601" s="9"/>
      <c r="E601" s="13"/>
      <c r="F601" s="14"/>
      <c r="G601" s="12"/>
    </row>
    <row r="602" spans="1:7" ht="15" customHeight="1" x14ac:dyDescent="0.2">
      <c r="A602" s="22"/>
      <c r="B602" s="12"/>
      <c r="C602" s="9"/>
      <c r="D602" s="9"/>
      <c r="E602" s="13"/>
      <c r="F602" s="14"/>
      <c r="G602" s="12"/>
    </row>
    <row r="603" spans="1:7" ht="15" customHeight="1" x14ac:dyDescent="0.2">
      <c r="A603" s="22"/>
      <c r="B603" s="12"/>
      <c r="C603" s="9"/>
      <c r="D603" s="9"/>
      <c r="E603" s="13"/>
      <c r="F603" s="14"/>
      <c r="G603" s="12"/>
    </row>
    <row r="604" spans="1:7" ht="15" customHeight="1" x14ac:dyDescent="0.2">
      <c r="A604" s="22"/>
      <c r="B604" s="12"/>
      <c r="C604" s="9"/>
      <c r="D604" s="9"/>
      <c r="E604" s="13"/>
      <c r="F604" s="14"/>
      <c r="G604" s="12"/>
    </row>
    <row r="605" spans="1:7" ht="15" customHeight="1" x14ac:dyDescent="0.2">
      <c r="A605" s="22"/>
      <c r="B605" s="12"/>
      <c r="C605" s="9"/>
      <c r="D605" s="9"/>
      <c r="E605" s="13"/>
      <c r="F605" s="14"/>
      <c r="G605" s="12"/>
    </row>
    <row r="606" spans="1:7" ht="15" customHeight="1" x14ac:dyDescent="0.2">
      <c r="A606" s="22"/>
      <c r="B606" s="12"/>
      <c r="C606" s="9"/>
      <c r="D606" s="9"/>
      <c r="E606" s="13"/>
      <c r="F606" s="14"/>
      <c r="G606" s="12"/>
    </row>
    <row r="607" spans="1:7" ht="15" customHeight="1" x14ac:dyDescent="0.2">
      <c r="A607" s="22"/>
      <c r="B607" s="12"/>
      <c r="C607" s="9"/>
      <c r="D607" s="9"/>
      <c r="E607" s="13"/>
      <c r="F607" s="14"/>
      <c r="G607" s="12"/>
    </row>
    <row r="608" spans="1:7" ht="15" customHeight="1" x14ac:dyDescent="0.2">
      <c r="A608" s="22"/>
      <c r="B608" s="12"/>
      <c r="C608" s="9"/>
      <c r="D608" s="9"/>
      <c r="E608" s="13"/>
      <c r="F608" s="14"/>
      <c r="G608" s="12"/>
    </row>
    <row r="609" spans="1:7" ht="15" customHeight="1" x14ac:dyDescent="0.2">
      <c r="A609" s="22"/>
      <c r="B609" s="12"/>
      <c r="C609" s="9"/>
      <c r="D609" s="9"/>
      <c r="E609" s="13"/>
      <c r="F609" s="14"/>
      <c r="G609" s="12"/>
    </row>
    <row r="610" spans="1:7" ht="15" customHeight="1" x14ac:dyDescent="0.2">
      <c r="A610" s="22"/>
      <c r="B610" s="12"/>
      <c r="C610" s="9"/>
      <c r="D610" s="9"/>
      <c r="E610" s="13"/>
      <c r="F610" s="14"/>
      <c r="G610" s="12"/>
    </row>
    <row r="611" spans="1:7" ht="15" customHeight="1" x14ac:dyDescent="0.2">
      <c r="A611" s="22"/>
      <c r="B611" s="12"/>
      <c r="C611" s="9"/>
      <c r="D611" s="9"/>
      <c r="E611" s="13"/>
      <c r="F611" s="14"/>
      <c r="G611" s="12"/>
    </row>
    <row r="612" spans="1:7" ht="15" customHeight="1" x14ac:dyDescent="0.2">
      <c r="A612" s="22"/>
      <c r="B612" s="12"/>
      <c r="C612" s="9"/>
      <c r="D612" s="9"/>
      <c r="E612" s="13"/>
      <c r="F612" s="14"/>
      <c r="G612" s="12"/>
    </row>
    <row r="613" spans="1:7" ht="15" customHeight="1" x14ac:dyDescent="0.2">
      <c r="A613" s="22"/>
      <c r="B613" s="12"/>
      <c r="C613" s="9"/>
      <c r="D613" s="9"/>
      <c r="E613" s="13"/>
      <c r="F613" s="14"/>
      <c r="G613" s="12"/>
    </row>
    <row r="614" spans="1:7" ht="15" customHeight="1" x14ac:dyDescent="0.2">
      <c r="A614" s="22"/>
      <c r="B614" s="12"/>
      <c r="C614" s="9"/>
      <c r="D614" s="9"/>
      <c r="E614" s="13"/>
      <c r="F614" s="14"/>
      <c r="G614" s="12"/>
    </row>
    <row r="615" spans="1:7" ht="15" customHeight="1" x14ac:dyDescent="0.2">
      <c r="A615" s="22"/>
      <c r="B615" s="12"/>
      <c r="C615" s="9"/>
      <c r="D615" s="9"/>
      <c r="E615" s="13"/>
      <c r="F615" s="14"/>
      <c r="G615" s="12"/>
    </row>
    <row r="616" spans="1:7" ht="15" customHeight="1" x14ac:dyDescent="0.2">
      <c r="A616" s="22"/>
      <c r="B616" s="12"/>
      <c r="C616" s="9"/>
      <c r="D616" s="9"/>
      <c r="E616" s="13"/>
      <c r="F616" s="14"/>
      <c r="G616" s="12"/>
    </row>
    <row r="617" spans="1:7" ht="15" customHeight="1" x14ac:dyDescent="0.2">
      <c r="A617" s="22"/>
      <c r="B617" s="12"/>
      <c r="C617" s="9"/>
      <c r="D617" s="9"/>
      <c r="E617" s="13"/>
      <c r="F617" s="14"/>
      <c r="G617" s="12"/>
    </row>
    <row r="618" spans="1:7" ht="15" customHeight="1" x14ac:dyDescent="0.2">
      <c r="A618" s="22"/>
      <c r="B618" s="12"/>
      <c r="C618" s="9"/>
      <c r="D618" s="9"/>
      <c r="E618" s="13"/>
      <c r="F618" s="14"/>
      <c r="G618" s="12"/>
    </row>
    <row r="619" spans="1:7" ht="15" customHeight="1" x14ac:dyDescent="0.2">
      <c r="A619" s="22"/>
      <c r="B619" s="12"/>
      <c r="C619" s="9"/>
      <c r="D619" s="9"/>
      <c r="E619" s="13"/>
      <c r="F619" s="14"/>
      <c r="G619" s="12"/>
    </row>
    <row r="620" spans="1:7" ht="15" customHeight="1" x14ac:dyDescent="0.2">
      <c r="A620" s="22"/>
      <c r="B620" s="12"/>
      <c r="C620" s="9"/>
      <c r="D620" s="9"/>
      <c r="E620" s="13"/>
      <c r="F620" s="14"/>
      <c r="G620" s="12"/>
    </row>
    <row r="621" spans="1:7" ht="15" customHeight="1" x14ac:dyDescent="0.2">
      <c r="A621" s="22"/>
      <c r="B621" s="12"/>
      <c r="C621" s="9"/>
      <c r="D621" s="9"/>
      <c r="E621" s="13"/>
      <c r="F621" s="14"/>
      <c r="G621" s="12"/>
    </row>
    <row r="622" spans="1:7" ht="15" customHeight="1" x14ac:dyDescent="0.2">
      <c r="A622" s="22"/>
      <c r="B622" s="12"/>
      <c r="C622" s="9"/>
      <c r="D622" s="9"/>
      <c r="E622" s="13"/>
      <c r="F622" s="14"/>
      <c r="G622" s="12"/>
    </row>
    <row r="623" spans="1:7" ht="15" customHeight="1" x14ac:dyDescent="0.2">
      <c r="A623" s="22"/>
      <c r="B623" s="12"/>
      <c r="C623" s="9"/>
      <c r="D623" s="9"/>
      <c r="E623" s="13"/>
      <c r="F623" s="14"/>
      <c r="G623" s="12"/>
    </row>
    <row r="624" spans="1:7" ht="15" customHeight="1" x14ac:dyDescent="0.2">
      <c r="A624" s="22"/>
      <c r="B624" s="12"/>
      <c r="C624" s="9"/>
      <c r="D624" s="9"/>
      <c r="E624" s="13"/>
      <c r="F624" s="14"/>
      <c r="G624" s="12"/>
    </row>
    <row r="625" spans="1:7" ht="15" customHeight="1" x14ac:dyDescent="0.2">
      <c r="A625" s="22"/>
      <c r="B625" s="12"/>
      <c r="C625" s="9"/>
      <c r="D625" s="9"/>
      <c r="E625" s="13"/>
      <c r="F625" s="14"/>
      <c r="G625" s="12"/>
    </row>
    <row r="626" spans="1:7" ht="15" customHeight="1" x14ac:dyDescent="0.2">
      <c r="A626" s="22"/>
      <c r="B626" s="12"/>
      <c r="C626" s="9"/>
      <c r="D626" s="9"/>
      <c r="E626" s="13"/>
      <c r="F626" s="14"/>
      <c r="G626" s="12"/>
    </row>
    <row r="627" spans="1:7" ht="15" customHeight="1" x14ac:dyDescent="0.2">
      <c r="A627" s="22"/>
      <c r="B627" s="12"/>
      <c r="C627" s="9"/>
      <c r="D627" s="9"/>
      <c r="E627" s="13"/>
      <c r="F627" s="14"/>
      <c r="G627" s="12"/>
    </row>
    <row r="628" spans="1:7" ht="15" customHeight="1" x14ac:dyDescent="0.2">
      <c r="A628" s="22"/>
      <c r="B628" s="12"/>
      <c r="C628" s="9"/>
      <c r="D628" s="9"/>
      <c r="E628" s="13"/>
      <c r="F628" s="14"/>
      <c r="G628" s="12"/>
    </row>
    <row r="629" spans="1:7" ht="15" customHeight="1" x14ac:dyDescent="0.2">
      <c r="A629" s="22"/>
      <c r="B629" s="12"/>
      <c r="C629" s="9"/>
      <c r="D629" s="9"/>
      <c r="E629" s="13"/>
      <c r="F629" s="14"/>
      <c r="G629" s="12"/>
    </row>
    <row r="630" spans="1:7" ht="15" customHeight="1" x14ac:dyDescent="0.2">
      <c r="A630" s="22"/>
      <c r="B630" s="12"/>
      <c r="C630" s="9"/>
      <c r="D630" s="9"/>
      <c r="E630" s="13"/>
      <c r="F630" s="14"/>
      <c r="G630" s="12"/>
    </row>
    <row r="631" spans="1:7" ht="15" customHeight="1" x14ac:dyDescent="0.2">
      <c r="A631" s="22"/>
      <c r="B631" s="12"/>
      <c r="C631" s="9"/>
      <c r="D631" s="9"/>
      <c r="E631" s="13"/>
      <c r="F631" s="14"/>
      <c r="G631" s="12"/>
    </row>
    <row r="632" spans="1:7" ht="15" customHeight="1" x14ac:dyDescent="0.2">
      <c r="A632" s="22"/>
      <c r="B632" s="12"/>
      <c r="C632" s="9"/>
      <c r="D632" s="9"/>
      <c r="E632" s="13"/>
      <c r="F632" s="14"/>
      <c r="G632" s="12"/>
    </row>
    <row r="633" spans="1:7" ht="15" customHeight="1" x14ac:dyDescent="0.2">
      <c r="A633" s="22"/>
      <c r="B633" s="12"/>
      <c r="C633" s="9"/>
      <c r="D633" s="9"/>
      <c r="E633" s="13"/>
      <c r="F633" s="14"/>
      <c r="G633" s="12"/>
    </row>
    <row r="634" spans="1:7" ht="15" customHeight="1" x14ac:dyDescent="0.2">
      <c r="A634" s="22"/>
      <c r="B634" s="12"/>
      <c r="C634" s="9"/>
      <c r="D634" s="9"/>
      <c r="E634" s="13"/>
      <c r="F634" s="14"/>
      <c r="G634" s="12"/>
    </row>
    <row r="635" spans="1:7" ht="15" customHeight="1" x14ac:dyDescent="0.2">
      <c r="A635" s="22"/>
      <c r="B635" s="12"/>
      <c r="C635" s="9"/>
      <c r="D635" s="9"/>
      <c r="E635" s="13"/>
      <c r="F635" s="14"/>
      <c r="G635" s="12"/>
    </row>
    <row r="636" spans="1:7" ht="15" customHeight="1" x14ac:dyDescent="0.2">
      <c r="A636" s="22"/>
      <c r="B636" s="12"/>
      <c r="C636" s="9"/>
      <c r="D636" s="9"/>
      <c r="E636" s="13"/>
      <c r="F636" s="14"/>
      <c r="G636" s="12"/>
    </row>
    <row r="637" spans="1:7" ht="15" customHeight="1" x14ac:dyDescent="0.2">
      <c r="A637" s="22"/>
      <c r="B637" s="12"/>
      <c r="C637" s="9"/>
      <c r="D637" s="9"/>
      <c r="E637" s="13"/>
      <c r="F637" s="14"/>
      <c r="G637" s="12"/>
    </row>
    <row r="638" spans="1:7" ht="15" customHeight="1" x14ac:dyDescent="0.2">
      <c r="A638" s="22"/>
      <c r="B638" s="12"/>
      <c r="C638" s="9"/>
      <c r="D638" s="9"/>
      <c r="E638" s="13"/>
      <c r="F638" s="14"/>
      <c r="G638" s="12"/>
    </row>
    <row r="639" spans="1:7" ht="15" customHeight="1" x14ac:dyDescent="0.2">
      <c r="A639" s="22"/>
      <c r="B639" s="12"/>
      <c r="C639" s="9"/>
      <c r="D639" s="9"/>
      <c r="E639" s="13"/>
      <c r="F639" s="14"/>
      <c r="G639" s="12"/>
    </row>
    <row r="640" spans="1:7" ht="15" customHeight="1" x14ac:dyDescent="0.2">
      <c r="A640" s="22"/>
      <c r="B640" s="12"/>
      <c r="C640" s="9"/>
      <c r="D640" s="9"/>
      <c r="E640" s="13"/>
      <c r="F640" s="14"/>
      <c r="G640" s="12"/>
    </row>
    <row r="641" spans="1:7" ht="15" customHeight="1" x14ac:dyDescent="0.2">
      <c r="A641" s="22"/>
      <c r="B641" s="12"/>
      <c r="C641" s="9"/>
      <c r="D641" s="9"/>
      <c r="E641" s="13"/>
      <c r="F641" s="14"/>
      <c r="G641" s="12"/>
    </row>
    <row r="642" spans="1:7" ht="15" customHeight="1" x14ac:dyDescent="0.2">
      <c r="A642" s="22"/>
      <c r="B642" s="12"/>
      <c r="C642" s="9"/>
      <c r="D642" s="9"/>
      <c r="E642" s="13"/>
      <c r="F642" s="14"/>
      <c r="G642" s="12"/>
    </row>
    <row r="643" spans="1:7" ht="15" customHeight="1" x14ac:dyDescent="0.2">
      <c r="A643" s="22"/>
      <c r="B643" s="12"/>
      <c r="C643" s="9"/>
      <c r="D643" s="9"/>
      <c r="E643" s="13"/>
      <c r="F643" s="14"/>
      <c r="G643" s="12"/>
    </row>
    <row r="644" spans="1:7" ht="15" customHeight="1" x14ac:dyDescent="0.2">
      <c r="A644" s="22"/>
      <c r="B644" s="12"/>
      <c r="C644" s="9"/>
      <c r="D644" s="9"/>
      <c r="E644" s="13"/>
      <c r="F644" s="14"/>
      <c r="G644" s="12"/>
    </row>
    <row r="645" spans="1:7" ht="15" customHeight="1" x14ac:dyDescent="0.2">
      <c r="A645" s="22"/>
      <c r="B645" s="12"/>
      <c r="C645" s="9"/>
      <c r="D645" s="9"/>
      <c r="E645" s="13"/>
      <c r="F645" s="14"/>
      <c r="G645" s="12"/>
    </row>
    <row r="646" spans="1:7" ht="15" customHeight="1" x14ac:dyDescent="0.2">
      <c r="A646" s="22"/>
      <c r="B646" s="12"/>
      <c r="C646" s="9"/>
      <c r="D646" s="9"/>
      <c r="E646" s="13"/>
      <c r="F646" s="14"/>
      <c r="G646" s="12"/>
    </row>
    <row r="647" spans="1:7" ht="15" customHeight="1" x14ac:dyDescent="0.2">
      <c r="A647" s="22"/>
      <c r="B647" s="12"/>
      <c r="C647" s="9"/>
      <c r="D647" s="9"/>
      <c r="E647" s="13"/>
      <c r="F647" s="14"/>
      <c r="G647" s="12"/>
    </row>
    <row r="648" spans="1:7" ht="15" customHeight="1" x14ac:dyDescent="0.2">
      <c r="A648" s="22"/>
      <c r="B648" s="12"/>
      <c r="C648" s="9"/>
      <c r="D648" s="9"/>
      <c r="E648" s="13"/>
      <c r="F648" s="14"/>
      <c r="G648" s="12"/>
    </row>
    <row r="649" spans="1:7" ht="15" customHeight="1" x14ac:dyDescent="0.2">
      <c r="A649" s="22"/>
      <c r="B649" s="12"/>
      <c r="C649" s="9"/>
      <c r="D649" s="9"/>
      <c r="E649" s="13"/>
      <c r="F649" s="14"/>
      <c r="G649" s="12"/>
    </row>
    <row r="650" spans="1:7" ht="15" customHeight="1" x14ac:dyDescent="0.2">
      <c r="A650" s="22"/>
      <c r="B650" s="12"/>
      <c r="C650" s="9"/>
      <c r="D650" s="9"/>
      <c r="E650" s="13"/>
      <c r="F650" s="14"/>
      <c r="G650" s="12"/>
    </row>
    <row r="651" spans="1:7" ht="15" customHeight="1" x14ac:dyDescent="0.2">
      <c r="A651" s="22"/>
      <c r="B651" s="12"/>
      <c r="C651" s="9"/>
      <c r="D651" s="9"/>
      <c r="E651" s="13"/>
      <c r="F651" s="14"/>
      <c r="G651" s="12"/>
    </row>
    <row r="652" spans="1:7" ht="15" customHeight="1" x14ac:dyDescent="0.2">
      <c r="A652" s="22"/>
      <c r="B652" s="12"/>
      <c r="C652" s="9"/>
      <c r="D652" s="9"/>
      <c r="E652" s="13"/>
      <c r="F652" s="14"/>
      <c r="G652" s="12"/>
    </row>
    <row r="653" spans="1:7" ht="15" customHeight="1" x14ac:dyDescent="0.2">
      <c r="A653" s="22"/>
      <c r="B653" s="12"/>
      <c r="C653" s="9"/>
      <c r="D653" s="9"/>
      <c r="E653" s="13"/>
      <c r="F653" s="14"/>
      <c r="G653" s="12"/>
    </row>
    <row r="654" spans="1:7" ht="15" customHeight="1" x14ac:dyDescent="0.2">
      <c r="A654" s="22"/>
      <c r="B654" s="12"/>
      <c r="C654" s="9"/>
      <c r="D654" s="9"/>
      <c r="E654" s="13"/>
      <c r="F654" s="14"/>
      <c r="G654" s="12"/>
    </row>
    <row r="655" spans="1:7" ht="15" customHeight="1" x14ac:dyDescent="0.2">
      <c r="A655" s="22"/>
      <c r="B655" s="12"/>
      <c r="C655" s="9"/>
      <c r="D655" s="9"/>
      <c r="E655" s="13"/>
      <c r="F655" s="14"/>
      <c r="G655" s="12"/>
    </row>
    <row r="656" spans="1:7" ht="15" customHeight="1" x14ac:dyDescent="0.2">
      <c r="A656" s="22"/>
      <c r="B656" s="12"/>
      <c r="C656" s="9"/>
      <c r="D656" s="9"/>
      <c r="E656" s="13"/>
      <c r="F656" s="14"/>
      <c r="G656" s="12"/>
    </row>
    <row r="657" spans="1:7" ht="15" customHeight="1" x14ac:dyDescent="0.2">
      <c r="A657" s="22"/>
      <c r="B657" s="12"/>
      <c r="C657" s="9"/>
      <c r="D657" s="9"/>
      <c r="E657" s="13"/>
      <c r="F657" s="14"/>
      <c r="G657" s="12"/>
    </row>
    <row r="658" spans="1:7" ht="15" customHeight="1" x14ac:dyDescent="0.2">
      <c r="A658" s="22"/>
      <c r="B658" s="12"/>
      <c r="C658" s="9"/>
      <c r="D658" s="9"/>
      <c r="E658" s="13"/>
      <c r="F658" s="14"/>
      <c r="G658" s="12"/>
    </row>
    <row r="659" spans="1:7" ht="15" customHeight="1" x14ac:dyDescent="0.2">
      <c r="A659" s="22"/>
      <c r="B659" s="12"/>
      <c r="C659" s="9"/>
      <c r="D659" s="9"/>
      <c r="E659" s="13"/>
      <c r="F659" s="14"/>
      <c r="G659" s="12"/>
    </row>
    <row r="660" spans="1:7" ht="15" customHeight="1" x14ac:dyDescent="0.2">
      <c r="A660" s="22"/>
      <c r="B660" s="12"/>
      <c r="C660" s="9"/>
      <c r="D660" s="9"/>
      <c r="E660" s="13"/>
      <c r="F660" s="14"/>
      <c r="G660" s="12"/>
    </row>
    <row r="661" spans="1:7" ht="15" customHeight="1" x14ac:dyDescent="0.2">
      <c r="A661" s="22"/>
      <c r="B661" s="12"/>
      <c r="C661" s="9"/>
      <c r="D661" s="9"/>
      <c r="E661" s="13"/>
      <c r="F661" s="14"/>
      <c r="G661" s="12"/>
    </row>
    <row r="662" spans="1:7" ht="15" customHeight="1" x14ac:dyDescent="0.2">
      <c r="A662" s="22"/>
      <c r="B662" s="12"/>
      <c r="C662" s="9"/>
      <c r="D662" s="9"/>
      <c r="E662" s="13"/>
      <c r="F662" s="14"/>
      <c r="G662" s="12"/>
    </row>
    <row r="663" spans="1:7" ht="15" customHeight="1" x14ac:dyDescent="0.2">
      <c r="A663" s="22"/>
      <c r="B663" s="12"/>
      <c r="C663" s="9"/>
      <c r="D663" s="9"/>
      <c r="E663" s="13"/>
      <c r="F663" s="14"/>
      <c r="G663" s="12"/>
    </row>
    <row r="664" spans="1:7" ht="15" customHeight="1" x14ac:dyDescent="0.2">
      <c r="A664" s="22"/>
      <c r="B664" s="12"/>
      <c r="C664" s="9"/>
      <c r="D664" s="9"/>
      <c r="E664" s="13"/>
      <c r="F664" s="14"/>
      <c r="G664" s="12"/>
    </row>
    <row r="665" spans="1:7" ht="15" customHeight="1" x14ac:dyDescent="0.2">
      <c r="A665" s="22"/>
      <c r="B665" s="12"/>
      <c r="C665" s="9"/>
      <c r="D665" s="9"/>
      <c r="E665" s="13"/>
      <c r="F665" s="14"/>
      <c r="G665" s="12"/>
    </row>
    <row r="666" spans="1:7" ht="15" customHeight="1" x14ac:dyDescent="0.2">
      <c r="A666" s="22"/>
      <c r="B666" s="12"/>
      <c r="C666" s="9"/>
      <c r="D666" s="9"/>
      <c r="E666" s="13"/>
      <c r="F666" s="14"/>
      <c r="G666" s="12"/>
    </row>
    <row r="667" spans="1:7" ht="15" customHeight="1" x14ac:dyDescent="0.2">
      <c r="A667" s="22"/>
      <c r="B667" s="12"/>
      <c r="C667" s="9"/>
      <c r="D667" s="9"/>
      <c r="E667" s="13"/>
      <c r="F667" s="14"/>
      <c r="G667" s="12"/>
    </row>
    <row r="668" spans="1:7" ht="15" customHeight="1" x14ac:dyDescent="0.2">
      <c r="A668" s="22"/>
      <c r="B668" s="12"/>
      <c r="C668" s="9"/>
      <c r="D668" s="9"/>
      <c r="E668" s="13"/>
      <c r="F668" s="14"/>
      <c r="G668" s="12"/>
    </row>
    <row r="669" spans="1:7" ht="15" customHeight="1" x14ac:dyDescent="0.2">
      <c r="A669" s="22"/>
      <c r="B669" s="12"/>
      <c r="C669" s="9"/>
      <c r="D669" s="9"/>
      <c r="E669" s="13"/>
      <c r="F669" s="14"/>
      <c r="G669" s="12"/>
    </row>
    <row r="670" spans="1:7" ht="15" customHeight="1" x14ac:dyDescent="0.2">
      <c r="A670" s="22"/>
      <c r="B670" s="12"/>
      <c r="C670" s="9"/>
      <c r="D670" s="9"/>
      <c r="E670" s="13"/>
      <c r="F670" s="14"/>
      <c r="G670" s="12"/>
    </row>
    <row r="671" spans="1:7" ht="15" customHeight="1" x14ac:dyDescent="0.2">
      <c r="A671" s="22"/>
      <c r="B671" s="12"/>
      <c r="C671" s="9"/>
      <c r="D671" s="9"/>
      <c r="E671" s="13"/>
      <c r="F671" s="14"/>
      <c r="G671" s="12"/>
    </row>
    <row r="672" spans="1:7" ht="15" customHeight="1" x14ac:dyDescent="0.2">
      <c r="A672" s="22"/>
      <c r="B672" s="12"/>
      <c r="C672" s="9"/>
      <c r="D672" s="9"/>
      <c r="E672" s="13"/>
      <c r="F672" s="14"/>
      <c r="G672" s="12"/>
    </row>
    <row r="673" spans="1:7" ht="15" customHeight="1" x14ac:dyDescent="0.2">
      <c r="A673" s="22"/>
      <c r="B673" s="12"/>
      <c r="C673" s="9"/>
      <c r="D673" s="9"/>
      <c r="E673" s="13"/>
      <c r="F673" s="14"/>
      <c r="G673" s="12"/>
    </row>
    <row r="674" spans="1:7" ht="15" customHeight="1" x14ac:dyDescent="0.2">
      <c r="A674" s="22"/>
      <c r="B674" s="12"/>
      <c r="C674" s="9"/>
      <c r="D674" s="9"/>
      <c r="E674" s="13"/>
      <c r="F674" s="14"/>
      <c r="G674" s="12"/>
    </row>
    <row r="675" spans="1:7" ht="15" customHeight="1" x14ac:dyDescent="0.2">
      <c r="A675" s="22"/>
      <c r="B675" s="12"/>
      <c r="C675" s="9"/>
      <c r="D675" s="9"/>
      <c r="E675" s="13"/>
      <c r="F675" s="14"/>
      <c r="G675" s="12"/>
    </row>
    <row r="676" spans="1:7" ht="15" customHeight="1" x14ac:dyDescent="0.2">
      <c r="A676" s="22"/>
      <c r="B676" s="12"/>
      <c r="C676" s="9"/>
      <c r="D676" s="9"/>
      <c r="E676" s="13"/>
      <c r="F676" s="14"/>
      <c r="G676" s="12"/>
    </row>
    <row r="677" spans="1:7" ht="15" customHeight="1" x14ac:dyDescent="0.2">
      <c r="A677" s="22"/>
      <c r="B677" s="12"/>
      <c r="C677" s="9"/>
      <c r="D677" s="9"/>
      <c r="E677" s="13"/>
      <c r="F677" s="14"/>
      <c r="G677" s="12"/>
    </row>
    <row r="678" spans="1:7" ht="15" customHeight="1" x14ac:dyDescent="0.2">
      <c r="A678" s="22"/>
      <c r="B678" s="12"/>
      <c r="C678" s="9"/>
      <c r="D678" s="9"/>
      <c r="E678" s="13"/>
      <c r="F678" s="14"/>
      <c r="G678" s="12"/>
    </row>
    <row r="679" spans="1:7" ht="15" customHeight="1" x14ac:dyDescent="0.2">
      <c r="A679" s="22"/>
      <c r="B679" s="12"/>
      <c r="C679" s="9"/>
      <c r="D679" s="9"/>
      <c r="E679" s="13"/>
      <c r="F679" s="14"/>
      <c r="G679" s="12"/>
    </row>
    <row r="680" spans="1:7" ht="15" customHeight="1" x14ac:dyDescent="0.2">
      <c r="A680" s="22"/>
      <c r="B680" s="12"/>
      <c r="C680" s="9"/>
      <c r="D680" s="9"/>
      <c r="E680" s="13"/>
      <c r="F680" s="14"/>
      <c r="G680" s="12"/>
    </row>
    <row r="681" spans="1:7" ht="15" customHeight="1" x14ac:dyDescent="0.2">
      <c r="A681" s="22"/>
      <c r="B681" s="12"/>
      <c r="C681" s="9"/>
      <c r="D681" s="9"/>
      <c r="E681" s="13"/>
      <c r="F681" s="14"/>
      <c r="G681" s="12"/>
    </row>
    <row r="682" spans="1:7" ht="15" customHeight="1" x14ac:dyDescent="0.2">
      <c r="A682" s="22"/>
      <c r="B682" s="12"/>
      <c r="C682" s="9"/>
      <c r="D682" s="9"/>
      <c r="E682" s="13"/>
      <c r="F682" s="14"/>
      <c r="G682" s="12"/>
    </row>
    <row r="683" spans="1:7" ht="15" customHeight="1" x14ac:dyDescent="0.2">
      <c r="A683" s="22"/>
      <c r="B683" s="12"/>
      <c r="C683" s="9"/>
      <c r="D683" s="9"/>
      <c r="E683" s="13"/>
      <c r="F683" s="14"/>
      <c r="G683" s="12"/>
    </row>
    <row r="684" spans="1:7" ht="15" customHeight="1" x14ac:dyDescent="0.2">
      <c r="A684" s="22"/>
      <c r="B684" s="12"/>
      <c r="C684" s="9"/>
      <c r="D684" s="9"/>
      <c r="E684" s="13"/>
      <c r="F684" s="14"/>
      <c r="G684" s="12"/>
    </row>
    <row r="685" spans="1:7" ht="15" customHeight="1" x14ac:dyDescent="0.2">
      <c r="A685" s="22"/>
      <c r="B685" s="12"/>
      <c r="C685" s="9"/>
      <c r="D685" s="9"/>
      <c r="E685" s="13"/>
      <c r="F685" s="14"/>
      <c r="G685" s="12"/>
    </row>
    <row r="686" spans="1:7" ht="15" customHeight="1" x14ac:dyDescent="0.2">
      <c r="A686" s="22"/>
      <c r="B686" s="12"/>
      <c r="C686" s="9"/>
      <c r="D686" s="9"/>
      <c r="E686" s="13"/>
      <c r="F686" s="14"/>
      <c r="G686" s="12"/>
    </row>
    <row r="687" spans="1:7" ht="15" customHeight="1" x14ac:dyDescent="0.2">
      <c r="A687" s="22"/>
      <c r="B687" s="12"/>
      <c r="C687" s="9"/>
      <c r="D687" s="9"/>
      <c r="E687" s="13"/>
      <c r="F687" s="14"/>
      <c r="G687" s="12"/>
    </row>
    <row r="688" spans="1:7" ht="15" customHeight="1" x14ac:dyDescent="0.2">
      <c r="A688" s="22"/>
      <c r="B688" s="12"/>
      <c r="C688" s="9"/>
      <c r="D688" s="9"/>
      <c r="E688" s="13"/>
      <c r="F688" s="14"/>
      <c r="G688" s="12"/>
    </row>
    <row r="689" spans="1:7" ht="15" customHeight="1" x14ac:dyDescent="0.2">
      <c r="A689" s="22"/>
      <c r="B689" s="12"/>
      <c r="C689" s="9"/>
      <c r="D689" s="9"/>
      <c r="E689" s="13"/>
      <c r="F689" s="14"/>
      <c r="G689" s="12"/>
    </row>
    <row r="690" spans="1:7" ht="15" customHeight="1" x14ac:dyDescent="0.2">
      <c r="A690" s="22"/>
      <c r="B690" s="12"/>
      <c r="C690" s="9"/>
      <c r="D690" s="9"/>
      <c r="E690" s="13"/>
      <c r="F690" s="14"/>
      <c r="G690" s="12"/>
    </row>
    <row r="691" spans="1:7" ht="15" customHeight="1" x14ac:dyDescent="0.2">
      <c r="A691" s="22"/>
      <c r="B691" s="12"/>
      <c r="C691" s="9"/>
      <c r="D691" s="9"/>
      <c r="E691" s="13"/>
      <c r="F691" s="14"/>
      <c r="G691" s="12"/>
    </row>
    <row r="692" spans="1:7" ht="15" customHeight="1" x14ac:dyDescent="0.2">
      <c r="A692" s="22"/>
      <c r="B692" s="12"/>
      <c r="C692" s="9"/>
      <c r="D692" s="9"/>
      <c r="E692" s="13"/>
      <c r="F692" s="14"/>
      <c r="G692" s="12"/>
    </row>
    <row r="693" spans="1:7" ht="15" customHeight="1" x14ac:dyDescent="0.2">
      <c r="A693" s="22"/>
      <c r="B693" s="12"/>
      <c r="C693" s="9"/>
      <c r="D693" s="9"/>
      <c r="E693" s="13"/>
      <c r="F693" s="14"/>
      <c r="G693" s="12"/>
    </row>
    <row r="694" spans="1:7" ht="15" customHeight="1" x14ac:dyDescent="0.2">
      <c r="A694" s="22"/>
      <c r="B694" s="12"/>
      <c r="C694" s="9"/>
      <c r="D694" s="9"/>
      <c r="E694" s="13"/>
      <c r="F694" s="14"/>
      <c r="G694" s="12"/>
    </row>
    <row r="695" spans="1:7" ht="15" customHeight="1" x14ac:dyDescent="0.2">
      <c r="A695" s="22"/>
      <c r="B695" s="12"/>
      <c r="C695" s="9"/>
      <c r="D695" s="9"/>
      <c r="E695" s="13"/>
      <c r="F695" s="14"/>
      <c r="G695" s="12"/>
    </row>
    <row r="696" spans="1:7" ht="15" customHeight="1" x14ac:dyDescent="0.2">
      <c r="A696" s="22"/>
      <c r="B696" s="12"/>
      <c r="C696" s="9"/>
      <c r="D696" s="9"/>
      <c r="E696" s="13"/>
      <c r="F696" s="14"/>
      <c r="G696" s="12"/>
    </row>
    <row r="697" spans="1:7" ht="15" customHeight="1" x14ac:dyDescent="0.2">
      <c r="A697" s="22"/>
      <c r="B697" s="12"/>
      <c r="C697" s="9"/>
      <c r="D697" s="9"/>
      <c r="E697" s="13"/>
      <c r="F697" s="14"/>
      <c r="G697" s="12"/>
    </row>
    <row r="698" spans="1:7" ht="15" customHeight="1" x14ac:dyDescent="0.2">
      <c r="A698" s="22"/>
      <c r="B698" s="12"/>
      <c r="C698" s="9"/>
      <c r="D698" s="9"/>
      <c r="E698" s="13"/>
      <c r="F698" s="14"/>
      <c r="G698" s="12"/>
    </row>
    <row r="699" spans="1:7" ht="15" customHeight="1" x14ac:dyDescent="0.2">
      <c r="A699" s="22"/>
      <c r="B699" s="12"/>
      <c r="C699" s="9"/>
      <c r="D699" s="9"/>
      <c r="E699" s="13"/>
      <c r="F699" s="14"/>
      <c r="G699" s="12"/>
    </row>
    <row r="700" spans="1:7" ht="15" customHeight="1" x14ac:dyDescent="0.2">
      <c r="A700" s="22"/>
      <c r="B700" s="12"/>
      <c r="C700" s="9"/>
      <c r="D700" s="9"/>
      <c r="E700" s="13"/>
      <c r="F700" s="14"/>
      <c r="G700" s="12"/>
    </row>
    <row r="701" spans="1:7" ht="15" customHeight="1" x14ac:dyDescent="0.2">
      <c r="A701" s="22"/>
      <c r="B701" s="12"/>
      <c r="C701" s="9"/>
      <c r="D701" s="9"/>
      <c r="E701" s="13"/>
      <c r="F701" s="14"/>
      <c r="G701" s="12"/>
    </row>
    <row r="702" spans="1:7" ht="15" customHeight="1" x14ac:dyDescent="0.2">
      <c r="A702" s="22"/>
      <c r="B702" s="12"/>
      <c r="C702" s="9"/>
      <c r="D702" s="9"/>
      <c r="E702" s="13"/>
      <c r="F702" s="14"/>
      <c r="G702" s="12"/>
    </row>
    <row r="703" spans="1:7" ht="15" customHeight="1" x14ac:dyDescent="0.2">
      <c r="A703" s="22"/>
      <c r="B703" s="12"/>
      <c r="C703" s="9"/>
      <c r="D703" s="9"/>
      <c r="E703" s="13"/>
      <c r="F703" s="14"/>
      <c r="G703" s="12"/>
    </row>
    <row r="704" spans="1:7" ht="15" customHeight="1" x14ac:dyDescent="0.2">
      <c r="A704" s="22"/>
      <c r="B704" s="12"/>
      <c r="C704" s="9"/>
      <c r="D704" s="9"/>
      <c r="E704" s="13"/>
      <c r="F704" s="14"/>
      <c r="G704" s="12"/>
    </row>
    <row r="705" spans="1:7" ht="15" customHeight="1" x14ac:dyDescent="0.2">
      <c r="A705" s="22"/>
      <c r="B705" s="12"/>
      <c r="C705" s="9"/>
      <c r="D705" s="9"/>
      <c r="E705" s="13"/>
      <c r="F705" s="14"/>
      <c r="G705" s="12"/>
    </row>
    <row r="706" spans="1:7" ht="15" customHeight="1" x14ac:dyDescent="0.2">
      <c r="A706" s="22"/>
      <c r="B706" s="12"/>
      <c r="C706" s="9"/>
      <c r="D706" s="9"/>
      <c r="E706" s="13"/>
      <c r="F706" s="14"/>
      <c r="G706" s="12"/>
    </row>
    <row r="707" spans="1:7" ht="15" customHeight="1" x14ac:dyDescent="0.2">
      <c r="A707" s="22"/>
      <c r="B707" s="12"/>
      <c r="C707" s="9"/>
      <c r="D707" s="9"/>
      <c r="E707" s="13"/>
      <c r="F707" s="14"/>
      <c r="G707" s="12"/>
    </row>
    <row r="708" spans="1:7" ht="15" customHeight="1" x14ac:dyDescent="0.2">
      <c r="A708" s="22"/>
      <c r="B708" s="12"/>
      <c r="C708" s="9"/>
      <c r="D708" s="9"/>
      <c r="E708" s="13"/>
      <c r="F708" s="14"/>
      <c r="G708" s="12"/>
    </row>
    <row r="709" spans="1:7" ht="15" customHeight="1" x14ac:dyDescent="0.2">
      <c r="A709" s="22"/>
      <c r="B709" s="12"/>
      <c r="C709" s="9"/>
      <c r="D709" s="9"/>
      <c r="E709" s="13"/>
      <c r="F709" s="14"/>
      <c r="G709" s="12"/>
    </row>
    <row r="710" spans="1:7" ht="15" customHeight="1" x14ac:dyDescent="0.2">
      <c r="A710" s="22"/>
      <c r="B710" s="12"/>
      <c r="C710" s="9"/>
      <c r="D710" s="9"/>
      <c r="E710" s="13"/>
      <c r="F710" s="14"/>
      <c r="G710" s="12"/>
    </row>
    <row r="711" spans="1:7" ht="15" customHeight="1" x14ac:dyDescent="0.2">
      <c r="A711" s="22"/>
      <c r="B711" s="12"/>
      <c r="C711" s="9"/>
      <c r="D711" s="9"/>
      <c r="E711" s="13"/>
      <c r="F711" s="14"/>
      <c r="G711" s="12"/>
    </row>
    <row r="712" spans="1:7" ht="15" customHeight="1" x14ac:dyDescent="0.2">
      <c r="A712" s="22"/>
      <c r="B712" s="12"/>
      <c r="C712" s="9"/>
      <c r="D712" s="9"/>
      <c r="E712" s="13"/>
      <c r="F712" s="14"/>
      <c r="G712" s="12"/>
    </row>
    <row r="713" spans="1:7" ht="15" customHeight="1" x14ac:dyDescent="0.2">
      <c r="A713" s="22"/>
      <c r="B713" s="12"/>
      <c r="C713" s="9"/>
      <c r="D713" s="9"/>
      <c r="E713" s="13"/>
      <c r="F713" s="14"/>
      <c r="G713" s="12"/>
    </row>
    <row r="714" spans="1:7" ht="15" customHeight="1" x14ac:dyDescent="0.2">
      <c r="A714" s="22"/>
      <c r="B714" s="12"/>
      <c r="C714" s="9"/>
      <c r="D714" s="9"/>
      <c r="E714" s="13"/>
      <c r="F714" s="14"/>
      <c r="G714" s="12"/>
    </row>
    <row r="715" spans="1:7" ht="15" customHeight="1" x14ac:dyDescent="0.2">
      <c r="A715" s="22"/>
      <c r="B715" s="12"/>
      <c r="C715" s="9"/>
      <c r="D715" s="9"/>
      <c r="E715" s="13"/>
      <c r="F715" s="14"/>
      <c r="G715" s="12"/>
    </row>
    <row r="716" spans="1:7" ht="15" customHeight="1" x14ac:dyDescent="0.2">
      <c r="A716" s="22"/>
      <c r="B716" s="12"/>
      <c r="C716" s="9"/>
      <c r="D716" s="9"/>
      <c r="E716" s="13"/>
      <c r="F716" s="14"/>
      <c r="G716" s="12"/>
    </row>
    <row r="717" spans="1:7" ht="15" customHeight="1" x14ac:dyDescent="0.2">
      <c r="A717" s="22"/>
      <c r="B717" s="12"/>
      <c r="C717" s="9"/>
      <c r="D717" s="9"/>
      <c r="E717" s="13"/>
      <c r="F717" s="14"/>
      <c r="G717" s="12"/>
    </row>
    <row r="718" spans="1:7" ht="15" customHeight="1" x14ac:dyDescent="0.2">
      <c r="A718" s="22"/>
      <c r="B718" s="12"/>
      <c r="C718" s="9"/>
      <c r="D718" s="9"/>
      <c r="E718" s="13"/>
      <c r="F718" s="14"/>
      <c r="G718" s="12"/>
    </row>
    <row r="719" spans="1:7" ht="15" customHeight="1" x14ac:dyDescent="0.2">
      <c r="A719" s="22"/>
      <c r="B719" s="12"/>
      <c r="C719" s="9"/>
      <c r="D719" s="9"/>
      <c r="E719" s="13"/>
      <c r="F719" s="14"/>
      <c r="G719" s="12"/>
    </row>
    <row r="720" spans="1:7" ht="15" customHeight="1" x14ac:dyDescent="0.2">
      <c r="A720" s="22"/>
      <c r="B720" s="12"/>
      <c r="C720" s="9"/>
      <c r="D720" s="9"/>
      <c r="E720" s="13"/>
      <c r="F720" s="14"/>
      <c r="G720" s="12"/>
    </row>
    <row r="721" spans="1:7" ht="15" customHeight="1" x14ac:dyDescent="0.2">
      <c r="A721" s="22"/>
      <c r="B721" s="12"/>
      <c r="C721" s="9"/>
      <c r="D721" s="9"/>
      <c r="E721" s="13"/>
      <c r="F721" s="14"/>
      <c r="G721" s="12"/>
    </row>
    <row r="722" spans="1:7" ht="15" customHeight="1" x14ac:dyDescent="0.2">
      <c r="A722" s="22"/>
      <c r="B722" s="12"/>
      <c r="C722" s="9"/>
      <c r="D722" s="9"/>
      <c r="E722" s="13"/>
      <c r="F722" s="14"/>
      <c r="G722" s="12"/>
    </row>
    <row r="723" spans="1:7" ht="15" customHeight="1" x14ac:dyDescent="0.2">
      <c r="A723" s="22"/>
      <c r="B723" s="12"/>
      <c r="C723" s="9"/>
      <c r="D723" s="9"/>
      <c r="E723" s="13"/>
      <c r="F723" s="14"/>
      <c r="G723" s="12"/>
    </row>
    <row r="724" spans="1:7" ht="15" customHeight="1" x14ac:dyDescent="0.2">
      <c r="A724" s="22"/>
      <c r="B724" s="12"/>
      <c r="C724" s="9"/>
      <c r="D724" s="9"/>
      <c r="E724" s="13"/>
      <c r="F724" s="14"/>
      <c r="G724" s="12"/>
    </row>
    <row r="725" spans="1:7" ht="15" customHeight="1" x14ac:dyDescent="0.2">
      <c r="A725" s="22"/>
      <c r="B725" s="12"/>
      <c r="C725" s="9"/>
      <c r="D725" s="9"/>
      <c r="E725" s="13"/>
      <c r="F725" s="14"/>
      <c r="G725" s="12"/>
    </row>
    <row r="726" spans="1:7" ht="15" customHeight="1" x14ac:dyDescent="0.2">
      <c r="A726" s="22"/>
      <c r="B726" s="12"/>
      <c r="C726" s="9"/>
      <c r="D726" s="9"/>
      <c r="E726" s="13"/>
      <c r="F726" s="14"/>
      <c r="G726" s="12"/>
    </row>
    <row r="727" spans="1:7" ht="15" customHeight="1" x14ac:dyDescent="0.2">
      <c r="A727" s="22"/>
      <c r="B727" s="12"/>
      <c r="C727" s="9"/>
      <c r="D727" s="9"/>
      <c r="E727" s="13"/>
      <c r="F727" s="14"/>
      <c r="G727" s="12"/>
    </row>
    <row r="728" spans="1:7" ht="15" customHeight="1" x14ac:dyDescent="0.2">
      <c r="A728" s="22"/>
      <c r="B728" s="12"/>
      <c r="C728" s="9"/>
      <c r="D728" s="9"/>
      <c r="E728" s="13"/>
      <c r="F728" s="14"/>
      <c r="G728" s="12"/>
    </row>
    <row r="729" spans="1:7" ht="15" customHeight="1" x14ac:dyDescent="0.2">
      <c r="A729" s="22"/>
      <c r="B729" s="12"/>
      <c r="C729" s="9"/>
      <c r="D729" s="9"/>
      <c r="E729" s="13"/>
      <c r="F729" s="14"/>
      <c r="G729" s="12"/>
    </row>
    <row r="730" spans="1:7" ht="15" customHeight="1" x14ac:dyDescent="0.2">
      <c r="A730" s="22"/>
      <c r="B730" s="12"/>
      <c r="C730" s="9"/>
      <c r="D730" s="9"/>
      <c r="E730" s="13"/>
      <c r="F730" s="14"/>
      <c r="G730" s="12"/>
    </row>
    <row r="731" spans="1:7" ht="15" customHeight="1" x14ac:dyDescent="0.2">
      <c r="A731" s="22"/>
      <c r="B731" s="12"/>
      <c r="C731" s="9"/>
      <c r="D731" s="9"/>
      <c r="E731" s="13"/>
      <c r="F731" s="14"/>
      <c r="G731" s="12"/>
    </row>
    <row r="732" spans="1:7" ht="15" customHeight="1" x14ac:dyDescent="0.2">
      <c r="A732" s="22"/>
      <c r="B732" s="12"/>
      <c r="C732" s="9"/>
      <c r="D732" s="9"/>
      <c r="E732" s="13"/>
      <c r="F732" s="14"/>
      <c r="G732" s="12"/>
    </row>
    <row r="733" spans="1:7" ht="15" customHeight="1" x14ac:dyDescent="0.2">
      <c r="A733" s="22"/>
      <c r="B733" s="12"/>
      <c r="C733" s="9"/>
      <c r="D733" s="9"/>
      <c r="E733" s="13"/>
      <c r="F733" s="14"/>
      <c r="G733" s="12"/>
    </row>
    <row r="734" spans="1:7" ht="15" customHeight="1" x14ac:dyDescent="0.2">
      <c r="A734" s="22"/>
      <c r="B734" s="12"/>
      <c r="C734" s="9"/>
      <c r="D734" s="9"/>
      <c r="E734" s="13"/>
      <c r="F734" s="14"/>
      <c r="G734" s="12"/>
    </row>
    <row r="735" spans="1:7" ht="15" customHeight="1" x14ac:dyDescent="0.2">
      <c r="A735" s="22"/>
      <c r="B735" s="12"/>
      <c r="C735" s="9"/>
      <c r="D735" s="9"/>
      <c r="E735" s="13"/>
      <c r="F735" s="14"/>
      <c r="G735" s="12"/>
    </row>
    <row r="736" spans="1:7" ht="15" customHeight="1" x14ac:dyDescent="0.2">
      <c r="A736" s="22"/>
      <c r="B736" s="12"/>
      <c r="C736" s="9"/>
      <c r="D736" s="9"/>
      <c r="E736" s="13"/>
      <c r="F736" s="14"/>
      <c r="G736" s="12"/>
    </row>
    <row r="737" spans="1:7" ht="15" customHeight="1" x14ac:dyDescent="0.2">
      <c r="A737" s="22"/>
      <c r="B737" s="12"/>
      <c r="C737" s="9"/>
      <c r="D737" s="9"/>
      <c r="E737" s="13"/>
      <c r="F737" s="14"/>
      <c r="G737" s="12"/>
    </row>
    <row r="738" spans="1:7" ht="15" customHeight="1" x14ac:dyDescent="0.2">
      <c r="A738" s="22"/>
      <c r="B738" s="12"/>
      <c r="C738" s="9"/>
      <c r="D738" s="9"/>
      <c r="E738" s="13"/>
      <c r="F738" s="14"/>
      <c r="G738" s="12"/>
    </row>
    <row r="739" spans="1:7" ht="15" customHeight="1" x14ac:dyDescent="0.2">
      <c r="A739" s="22"/>
      <c r="B739" s="12"/>
      <c r="C739" s="9"/>
      <c r="D739" s="9"/>
      <c r="E739" s="13"/>
      <c r="F739" s="14"/>
      <c r="G739" s="12"/>
    </row>
    <row r="740" spans="1:7" ht="15" customHeight="1" x14ac:dyDescent="0.2">
      <c r="A740" s="22"/>
      <c r="B740" s="12"/>
      <c r="C740" s="9"/>
      <c r="D740" s="9"/>
      <c r="E740" s="13"/>
      <c r="F740" s="14"/>
      <c r="G740" s="12"/>
    </row>
    <row r="741" spans="1:7" ht="15" customHeight="1" x14ac:dyDescent="0.2">
      <c r="A741" s="22"/>
      <c r="B741" s="12"/>
      <c r="C741" s="9"/>
      <c r="D741" s="9"/>
      <c r="E741" s="13"/>
      <c r="F741" s="14"/>
      <c r="G741" s="12"/>
    </row>
    <row r="742" spans="1:7" ht="15" customHeight="1" x14ac:dyDescent="0.2">
      <c r="A742" s="22"/>
      <c r="B742" s="12"/>
      <c r="C742" s="9"/>
      <c r="D742" s="9"/>
      <c r="E742" s="13"/>
      <c r="F742" s="14"/>
      <c r="G742" s="12"/>
    </row>
    <row r="743" spans="1:7" ht="15" customHeight="1" x14ac:dyDescent="0.2">
      <c r="A743" s="22"/>
      <c r="B743" s="12"/>
      <c r="C743" s="9"/>
      <c r="D743" s="9"/>
      <c r="E743" s="13"/>
      <c r="F743" s="14"/>
      <c r="G743" s="12"/>
    </row>
    <row r="744" spans="1:7" ht="15" customHeight="1" x14ac:dyDescent="0.2">
      <c r="A744" s="22"/>
      <c r="B744" s="12"/>
      <c r="C744" s="9"/>
      <c r="D744" s="9"/>
      <c r="E744" s="13"/>
      <c r="F744" s="14"/>
      <c r="G744" s="12"/>
    </row>
    <row r="745" spans="1:7" ht="15" customHeight="1" x14ac:dyDescent="0.2">
      <c r="A745" s="22"/>
      <c r="B745" s="12"/>
      <c r="C745" s="9"/>
      <c r="D745" s="9"/>
      <c r="E745" s="13"/>
      <c r="F745" s="14"/>
      <c r="G745" s="12"/>
    </row>
    <row r="746" spans="1:7" ht="15" customHeight="1" x14ac:dyDescent="0.2">
      <c r="A746" s="22"/>
      <c r="B746" s="12"/>
      <c r="C746" s="9"/>
      <c r="D746" s="9"/>
      <c r="E746" s="13"/>
      <c r="F746" s="14"/>
      <c r="G746" s="12"/>
    </row>
    <row r="747" spans="1:7" ht="15" customHeight="1" x14ac:dyDescent="0.2">
      <c r="A747" s="22"/>
      <c r="B747" s="12"/>
      <c r="C747" s="9"/>
      <c r="D747" s="9"/>
      <c r="E747" s="13"/>
      <c r="F747" s="14"/>
      <c r="G747" s="12"/>
    </row>
    <row r="748" spans="1:7" ht="15" customHeight="1" x14ac:dyDescent="0.2">
      <c r="A748" s="22"/>
      <c r="B748" s="12"/>
      <c r="C748" s="9"/>
      <c r="D748" s="9"/>
      <c r="E748" s="13"/>
      <c r="F748" s="14"/>
      <c r="G748" s="12"/>
    </row>
    <row r="749" spans="1:7" ht="15" customHeight="1" x14ac:dyDescent="0.2">
      <c r="A749" s="22"/>
      <c r="B749" s="12"/>
      <c r="C749" s="9"/>
      <c r="D749" s="9"/>
      <c r="E749" s="13"/>
      <c r="F749" s="14"/>
      <c r="G749" s="12"/>
    </row>
    <row r="750" spans="1:7" ht="15" customHeight="1" x14ac:dyDescent="0.2">
      <c r="A750" s="22"/>
      <c r="B750" s="12"/>
      <c r="C750" s="9"/>
      <c r="D750" s="9"/>
      <c r="E750" s="13"/>
      <c r="F750" s="14"/>
      <c r="G750" s="12"/>
    </row>
    <row r="751" spans="1:7" ht="15" customHeight="1" x14ac:dyDescent="0.2">
      <c r="A751" s="22"/>
      <c r="B751" s="12"/>
      <c r="C751" s="9"/>
      <c r="D751" s="9"/>
      <c r="E751" s="13"/>
      <c r="F751" s="14"/>
      <c r="G751" s="12"/>
    </row>
    <row r="752" spans="1:7" ht="15" customHeight="1" x14ac:dyDescent="0.2">
      <c r="A752" s="22"/>
      <c r="B752" s="12"/>
      <c r="C752" s="9"/>
      <c r="D752" s="9"/>
      <c r="E752" s="13"/>
      <c r="F752" s="14"/>
      <c r="G752" s="12"/>
    </row>
    <row r="753" spans="1:7" ht="15" customHeight="1" x14ac:dyDescent="0.2">
      <c r="A753" s="22"/>
      <c r="B753" s="12"/>
      <c r="C753" s="9"/>
      <c r="D753" s="9"/>
      <c r="E753" s="13"/>
      <c r="F753" s="14"/>
      <c r="G753" s="12"/>
    </row>
    <row r="754" spans="1:7" ht="15" customHeight="1" x14ac:dyDescent="0.2">
      <c r="A754" s="22"/>
      <c r="B754" s="12"/>
      <c r="C754" s="9"/>
      <c r="D754" s="9"/>
      <c r="E754" s="13"/>
      <c r="F754" s="14"/>
      <c r="G754" s="12"/>
    </row>
    <row r="755" spans="1:7" ht="15" customHeight="1" x14ac:dyDescent="0.2">
      <c r="A755" s="22"/>
      <c r="B755" s="12"/>
      <c r="C755" s="9"/>
      <c r="D755" s="9"/>
      <c r="E755" s="13"/>
      <c r="F755" s="14"/>
      <c r="G755" s="12"/>
    </row>
    <row r="756" spans="1:7" ht="15" customHeight="1" x14ac:dyDescent="0.2">
      <c r="A756" s="22"/>
      <c r="B756" s="12"/>
      <c r="C756" s="9"/>
      <c r="D756" s="9"/>
      <c r="E756" s="13"/>
      <c r="F756" s="14"/>
      <c r="G756" s="12"/>
    </row>
    <row r="757" spans="1:7" ht="15" customHeight="1" x14ac:dyDescent="0.2">
      <c r="A757" s="22"/>
      <c r="B757" s="12"/>
      <c r="C757" s="9"/>
      <c r="D757" s="9"/>
      <c r="E757" s="13"/>
      <c r="F757" s="14"/>
      <c r="G757" s="12"/>
    </row>
    <row r="758" spans="1:7" ht="15" customHeight="1" x14ac:dyDescent="0.2">
      <c r="A758" s="22"/>
      <c r="B758" s="12"/>
      <c r="C758" s="9"/>
      <c r="D758" s="9"/>
      <c r="E758" s="13"/>
      <c r="F758" s="14"/>
      <c r="G758" s="12"/>
    </row>
    <row r="759" spans="1:7" ht="15" customHeight="1" x14ac:dyDescent="0.2">
      <c r="A759" s="22"/>
      <c r="B759" s="12"/>
      <c r="C759" s="9"/>
      <c r="D759" s="9"/>
      <c r="E759" s="13"/>
      <c r="F759" s="14"/>
      <c r="G759" s="12"/>
    </row>
    <row r="760" spans="1:7" ht="15" customHeight="1" x14ac:dyDescent="0.2">
      <c r="A760" s="22"/>
      <c r="B760" s="12"/>
      <c r="C760" s="9"/>
      <c r="D760" s="9"/>
      <c r="E760" s="13"/>
      <c r="F760" s="14"/>
      <c r="G760" s="12"/>
    </row>
    <row r="761" spans="1:7" ht="15" customHeight="1" x14ac:dyDescent="0.2">
      <c r="A761" s="22"/>
      <c r="B761" s="12"/>
      <c r="C761" s="9"/>
      <c r="D761" s="9"/>
      <c r="E761" s="13"/>
      <c r="F761" s="14"/>
      <c r="G761" s="12"/>
    </row>
    <row r="762" spans="1:7" ht="15" customHeight="1" x14ac:dyDescent="0.2">
      <c r="A762" s="22"/>
      <c r="B762" s="12"/>
      <c r="C762" s="9"/>
      <c r="D762" s="9"/>
      <c r="E762" s="13"/>
      <c r="F762" s="14"/>
      <c r="G762" s="12"/>
    </row>
    <row r="763" spans="1:7" ht="15" customHeight="1" x14ac:dyDescent="0.2">
      <c r="A763" s="22"/>
      <c r="B763" s="12"/>
      <c r="C763" s="9"/>
      <c r="D763" s="9"/>
      <c r="E763" s="13"/>
      <c r="F763" s="14"/>
      <c r="G763" s="12"/>
    </row>
    <row r="764" spans="1:7" ht="15" customHeight="1" x14ac:dyDescent="0.2">
      <c r="A764" s="22"/>
      <c r="B764" s="12"/>
      <c r="C764" s="9"/>
      <c r="D764" s="9"/>
      <c r="E764" s="13"/>
      <c r="F764" s="14"/>
      <c r="G764" s="12"/>
    </row>
    <row r="765" spans="1:7" ht="15" customHeight="1" x14ac:dyDescent="0.2">
      <c r="A765" s="22"/>
      <c r="B765" s="12"/>
      <c r="C765" s="9"/>
      <c r="D765" s="9"/>
      <c r="E765" s="13"/>
      <c r="F765" s="14"/>
      <c r="G765" s="12"/>
    </row>
    <row r="766" spans="1:7" ht="15" customHeight="1" x14ac:dyDescent="0.2">
      <c r="A766" s="22"/>
      <c r="B766" s="12"/>
      <c r="C766" s="9"/>
      <c r="D766" s="9"/>
      <c r="E766" s="13"/>
      <c r="F766" s="14"/>
      <c r="G766" s="12"/>
    </row>
    <row r="767" spans="1:7" ht="15" customHeight="1" x14ac:dyDescent="0.2">
      <c r="A767" s="22"/>
      <c r="B767" s="12"/>
      <c r="C767" s="9"/>
      <c r="D767" s="9"/>
      <c r="E767" s="13"/>
      <c r="F767" s="14"/>
      <c r="G767" s="12"/>
    </row>
    <row r="768" spans="1:7" ht="15" customHeight="1" x14ac:dyDescent="0.2">
      <c r="A768" s="22"/>
      <c r="B768" s="12"/>
      <c r="C768" s="9"/>
      <c r="D768" s="9"/>
      <c r="E768" s="13"/>
      <c r="F768" s="14"/>
      <c r="G768" s="12"/>
    </row>
    <row r="769" spans="1:7" ht="15" customHeight="1" x14ac:dyDescent="0.2">
      <c r="A769" s="22"/>
      <c r="B769" s="12"/>
      <c r="C769" s="9"/>
      <c r="D769" s="9"/>
      <c r="E769" s="13"/>
      <c r="F769" s="14"/>
      <c r="G769" s="12"/>
    </row>
    <row r="770" spans="1:7" ht="15" customHeight="1" x14ac:dyDescent="0.2">
      <c r="A770" s="22"/>
      <c r="B770" s="12"/>
      <c r="C770" s="9"/>
      <c r="D770" s="9"/>
      <c r="E770" s="13"/>
      <c r="F770" s="14"/>
      <c r="G770" s="12"/>
    </row>
    <row r="771" spans="1:7" ht="15" customHeight="1" x14ac:dyDescent="0.2">
      <c r="A771" s="22"/>
      <c r="B771" s="12"/>
      <c r="C771" s="9"/>
      <c r="D771" s="9"/>
      <c r="E771" s="13"/>
      <c r="F771" s="14"/>
      <c r="G771" s="12"/>
    </row>
    <row r="772" spans="1:7" ht="15" customHeight="1" x14ac:dyDescent="0.2">
      <c r="A772" s="22"/>
      <c r="B772" s="12"/>
      <c r="C772" s="9"/>
      <c r="D772" s="9"/>
      <c r="E772" s="13"/>
      <c r="F772" s="14"/>
      <c r="G772" s="12"/>
    </row>
    <row r="773" spans="1:7" ht="15" customHeight="1" x14ac:dyDescent="0.2">
      <c r="A773" s="22"/>
      <c r="B773" s="12"/>
      <c r="C773" s="9"/>
      <c r="D773" s="9"/>
      <c r="E773" s="13"/>
      <c r="F773" s="14"/>
      <c r="G773" s="12"/>
    </row>
    <row r="774" spans="1:7" ht="15" customHeight="1" x14ac:dyDescent="0.2">
      <c r="A774" s="22"/>
      <c r="B774" s="12"/>
      <c r="C774" s="9"/>
      <c r="D774" s="9"/>
      <c r="E774" s="13"/>
      <c r="F774" s="14"/>
      <c r="G774" s="12"/>
    </row>
    <row r="775" spans="1:7" ht="15" customHeight="1" x14ac:dyDescent="0.2">
      <c r="A775" s="22"/>
      <c r="B775" s="12"/>
      <c r="C775" s="9"/>
      <c r="D775" s="9"/>
      <c r="E775" s="13"/>
      <c r="F775" s="14"/>
      <c r="G775" s="12"/>
    </row>
    <row r="776" spans="1:7" ht="15" customHeight="1" x14ac:dyDescent="0.2">
      <c r="A776" s="22"/>
      <c r="B776" s="12"/>
      <c r="C776" s="9"/>
      <c r="D776" s="9"/>
      <c r="E776" s="13"/>
      <c r="F776" s="14"/>
      <c r="G776" s="12"/>
    </row>
    <row r="777" spans="1:7" ht="15" customHeight="1" x14ac:dyDescent="0.2">
      <c r="A777" s="22"/>
      <c r="B777" s="12"/>
      <c r="C777" s="9"/>
      <c r="D777" s="9"/>
      <c r="E777" s="13"/>
      <c r="F777" s="14"/>
      <c r="G777" s="12"/>
    </row>
    <row r="778" spans="1:7" ht="15" customHeight="1" x14ac:dyDescent="0.2">
      <c r="A778" s="22"/>
      <c r="B778" s="12"/>
      <c r="C778" s="9"/>
      <c r="D778" s="9"/>
      <c r="E778" s="13"/>
      <c r="F778" s="14"/>
      <c r="G778" s="12"/>
    </row>
    <row r="779" spans="1:7" ht="15" customHeight="1" x14ac:dyDescent="0.2">
      <c r="A779" s="22"/>
      <c r="B779" s="12"/>
      <c r="C779" s="9"/>
      <c r="D779" s="9"/>
      <c r="E779" s="13"/>
      <c r="F779" s="14"/>
      <c r="G779" s="12"/>
    </row>
    <row r="780" spans="1:7" ht="15" customHeight="1" x14ac:dyDescent="0.2">
      <c r="A780" s="22"/>
      <c r="B780" s="12"/>
      <c r="C780" s="9"/>
      <c r="D780" s="9"/>
      <c r="E780" s="13"/>
      <c r="F780" s="14"/>
      <c r="G780" s="12"/>
    </row>
    <row r="781" spans="1:7" ht="15" customHeight="1" x14ac:dyDescent="0.2">
      <c r="A781" s="22"/>
      <c r="B781" s="12"/>
      <c r="C781" s="9"/>
      <c r="D781" s="9"/>
      <c r="E781" s="13"/>
      <c r="F781" s="14"/>
      <c r="G781" s="12"/>
    </row>
    <row r="782" spans="1:7" ht="15" customHeight="1" x14ac:dyDescent="0.2">
      <c r="A782" s="22"/>
      <c r="B782" s="12"/>
      <c r="C782" s="9"/>
      <c r="D782" s="9"/>
      <c r="E782" s="13"/>
      <c r="F782" s="14"/>
      <c r="G782" s="12"/>
    </row>
    <row r="783" spans="1:7" ht="15" customHeight="1" x14ac:dyDescent="0.2">
      <c r="A783" s="22"/>
      <c r="B783" s="12"/>
      <c r="C783" s="9"/>
      <c r="D783" s="9"/>
      <c r="E783" s="13"/>
      <c r="F783" s="14"/>
      <c r="G783" s="12"/>
    </row>
    <row r="784" spans="1:7" ht="15" customHeight="1" x14ac:dyDescent="0.2">
      <c r="A784" s="22"/>
      <c r="B784" s="12"/>
      <c r="C784" s="9"/>
      <c r="D784" s="9"/>
      <c r="E784" s="13"/>
      <c r="F784" s="14"/>
      <c r="G784" s="12"/>
    </row>
    <row r="785" spans="1:7" ht="15" customHeight="1" x14ac:dyDescent="0.2">
      <c r="A785" s="22"/>
      <c r="B785" s="12"/>
      <c r="C785" s="9"/>
      <c r="D785" s="9"/>
      <c r="E785" s="13"/>
      <c r="F785" s="14"/>
      <c r="G785" s="12"/>
    </row>
    <row r="786" spans="1:7" ht="15" customHeight="1" x14ac:dyDescent="0.2">
      <c r="A786" s="22"/>
      <c r="B786" s="12"/>
      <c r="C786" s="9"/>
      <c r="D786" s="9"/>
      <c r="E786" s="13"/>
      <c r="F786" s="14"/>
      <c r="G786" s="12"/>
    </row>
    <row r="787" spans="1:7" ht="15" customHeight="1" x14ac:dyDescent="0.2">
      <c r="A787" s="22"/>
      <c r="B787" s="12"/>
      <c r="C787" s="9"/>
      <c r="D787" s="9"/>
      <c r="E787" s="13"/>
      <c r="F787" s="14"/>
      <c r="G787" s="12"/>
    </row>
    <row r="788" spans="1:7" ht="15" customHeight="1" x14ac:dyDescent="0.2">
      <c r="A788" s="22"/>
      <c r="B788" s="12"/>
      <c r="C788" s="9"/>
      <c r="D788" s="9"/>
      <c r="E788" s="13"/>
      <c r="F788" s="14"/>
      <c r="G788" s="12"/>
    </row>
    <row r="789" spans="1:7" ht="15" customHeight="1" x14ac:dyDescent="0.2">
      <c r="A789" s="22"/>
      <c r="B789" s="12"/>
      <c r="C789" s="9"/>
      <c r="D789" s="9"/>
      <c r="E789" s="13"/>
      <c r="F789" s="14"/>
      <c r="G789" s="12"/>
    </row>
    <row r="790" spans="1:7" ht="15" customHeight="1" x14ac:dyDescent="0.2">
      <c r="A790" s="22"/>
      <c r="B790" s="12"/>
      <c r="C790" s="9"/>
      <c r="D790" s="9"/>
      <c r="E790" s="13"/>
      <c r="F790" s="14"/>
      <c r="G790" s="12"/>
    </row>
    <row r="791" spans="1:7" ht="15" customHeight="1" x14ac:dyDescent="0.2">
      <c r="A791" s="22"/>
      <c r="B791" s="12"/>
      <c r="C791" s="9"/>
      <c r="D791" s="9"/>
      <c r="E791" s="13"/>
      <c r="F791" s="14"/>
      <c r="G791" s="12"/>
    </row>
    <row r="792" spans="1:7" ht="15" customHeight="1" x14ac:dyDescent="0.2">
      <c r="A792" s="22"/>
      <c r="B792" s="12"/>
      <c r="C792" s="9"/>
      <c r="D792" s="9"/>
      <c r="E792" s="13"/>
      <c r="F792" s="14"/>
      <c r="G792" s="12"/>
    </row>
    <row r="793" spans="1:7" ht="15" customHeight="1" x14ac:dyDescent="0.2">
      <c r="A793" s="22"/>
      <c r="B793" s="12"/>
      <c r="C793" s="9"/>
      <c r="D793" s="9"/>
      <c r="E793" s="13"/>
      <c r="F793" s="14"/>
      <c r="G793" s="12"/>
    </row>
    <row r="794" spans="1:7" ht="15" customHeight="1" x14ac:dyDescent="0.2">
      <c r="A794" s="22"/>
      <c r="B794" s="12"/>
      <c r="C794" s="9"/>
      <c r="D794" s="9"/>
      <c r="E794" s="13"/>
      <c r="F794" s="14"/>
      <c r="G794" s="12"/>
    </row>
    <row r="795" spans="1:7" ht="15" customHeight="1" x14ac:dyDescent="0.2">
      <c r="A795" s="22"/>
      <c r="B795" s="12"/>
      <c r="C795" s="9"/>
      <c r="D795" s="9"/>
      <c r="E795" s="13"/>
      <c r="F795" s="14"/>
      <c r="G795" s="12"/>
    </row>
    <row r="796" spans="1:7" ht="15" customHeight="1" x14ac:dyDescent="0.2">
      <c r="A796" s="22"/>
      <c r="B796" s="12"/>
      <c r="C796" s="9"/>
      <c r="D796" s="9"/>
      <c r="E796" s="13"/>
      <c r="F796" s="14"/>
      <c r="G796" s="12"/>
    </row>
    <row r="797" spans="1:7" ht="15" customHeight="1" x14ac:dyDescent="0.2">
      <c r="A797" s="22"/>
      <c r="B797" s="12"/>
      <c r="C797" s="9"/>
      <c r="D797" s="9"/>
      <c r="E797" s="13"/>
      <c r="F797" s="14"/>
      <c r="G797" s="12"/>
    </row>
    <row r="798" spans="1:7" ht="15" customHeight="1" x14ac:dyDescent="0.2">
      <c r="A798" s="22"/>
      <c r="B798" s="12"/>
      <c r="C798" s="9"/>
      <c r="D798" s="9"/>
      <c r="E798" s="13"/>
      <c r="F798" s="14"/>
      <c r="G798" s="12"/>
    </row>
    <row r="799" spans="1:7" ht="15" customHeight="1" x14ac:dyDescent="0.2">
      <c r="A799" s="22"/>
      <c r="B799" s="12"/>
      <c r="C799" s="9"/>
      <c r="D799" s="9"/>
      <c r="E799" s="13"/>
      <c r="F799" s="14"/>
      <c r="G799" s="12"/>
    </row>
    <row r="800" spans="1:7" ht="15" customHeight="1" x14ac:dyDescent="0.2">
      <c r="A800" s="22"/>
      <c r="B800" s="12"/>
      <c r="C800" s="9"/>
      <c r="D800" s="9"/>
      <c r="E800" s="13"/>
      <c r="F800" s="14"/>
      <c r="G800" s="12"/>
    </row>
    <row r="801" spans="1:7" ht="15" customHeight="1" x14ac:dyDescent="0.2">
      <c r="A801" s="22"/>
      <c r="B801" s="12"/>
      <c r="C801" s="9"/>
      <c r="D801" s="9"/>
      <c r="E801" s="13"/>
      <c r="F801" s="14"/>
      <c r="G801" s="12"/>
    </row>
    <row r="802" spans="1:7" ht="15" customHeight="1" x14ac:dyDescent="0.2">
      <c r="A802" s="22"/>
      <c r="B802" s="12"/>
      <c r="C802" s="9"/>
      <c r="D802" s="9"/>
      <c r="E802" s="13"/>
      <c r="F802" s="14"/>
      <c r="G802" s="12"/>
    </row>
    <row r="803" spans="1:7" ht="15" customHeight="1" x14ac:dyDescent="0.2">
      <c r="A803" s="22"/>
      <c r="B803" s="12"/>
      <c r="C803" s="9"/>
      <c r="D803" s="9"/>
      <c r="E803" s="13"/>
      <c r="F803" s="14"/>
      <c r="G803" s="12"/>
    </row>
    <row r="804" spans="1:7" ht="15" customHeight="1" x14ac:dyDescent="0.2">
      <c r="A804" s="22"/>
      <c r="B804" s="12"/>
      <c r="C804" s="9"/>
      <c r="D804" s="9"/>
      <c r="E804" s="13"/>
      <c r="F804" s="14"/>
      <c r="G804" s="12"/>
    </row>
    <row r="805" spans="1:7" ht="15" customHeight="1" x14ac:dyDescent="0.2">
      <c r="A805" s="22"/>
      <c r="B805" s="12"/>
      <c r="C805" s="9"/>
      <c r="D805" s="9"/>
      <c r="E805" s="13"/>
      <c r="F805" s="14"/>
      <c r="G805" s="12"/>
    </row>
    <row r="806" spans="1:7" ht="15" customHeight="1" x14ac:dyDescent="0.2">
      <c r="A806" s="22"/>
      <c r="B806" s="12"/>
      <c r="C806" s="9"/>
      <c r="D806" s="9"/>
      <c r="E806" s="13"/>
      <c r="F806" s="14"/>
      <c r="G806" s="12"/>
    </row>
    <row r="807" spans="1:7" ht="15" customHeight="1" x14ac:dyDescent="0.2">
      <c r="A807" s="22"/>
      <c r="B807" s="12"/>
      <c r="C807" s="9"/>
      <c r="D807" s="9"/>
      <c r="E807" s="13"/>
      <c r="F807" s="14"/>
      <c r="G807" s="12"/>
    </row>
    <row r="808" spans="1:7" ht="15" customHeight="1" x14ac:dyDescent="0.2">
      <c r="A808" s="22"/>
      <c r="B808" s="12"/>
      <c r="C808" s="9"/>
      <c r="D808" s="9"/>
      <c r="E808" s="13"/>
      <c r="F808" s="14"/>
      <c r="G808" s="12"/>
    </row>
    <row r="809" spans="1:7" ht="15" customHeight="1" x14ac:dyDescent="0.2">
      <c r="A809" s="22"/>
      <c r="B809" s="12"/>
      <c r="C809" s="9"/>
      <c r="D809" s="9"/>
      <c r="E809" s="13"/>
      <c r="F809" s="14"/>
      <c r="G809" s="12"/>
    </row>
    <row r="810" spans="1:7" ht="15" customHeight="1" x14ac:dyDescent="0.2">
      <c r="A810" s="22"/>
      <c r="B810" s="12"/>
      <c r="C810" s="9"/>
      <c r="D810" s="9"/>
      <c r="E810" s="13"/>
      <c r="F810" s="14"/>
      <c r="G810" s="12"/>
    </row>
    <row r="811" spans="1:7" ht="15" customHeight="1" x14ac:dyDescent="0.2">
      <c r="A811" s="22"/>
      <c r="B811" s="12"/>
      <c r="C811" s="9"/>
      <c r="D811" s="9"/>
      <c r="E811" s="13"/>
      <c r="F811" s="14"/>
      <c r="G811" s="12"/>
    </row>
    <row r="812" spans="1:7" ht="15" customHeight="1" x14ac:dyDescent="0.2">
      <c r="A812" s="22"/>
      <c r="B812" s="12"/>
      <c r="C812" s="9"/>
      <c r="D812" s="9"/>
      <c r="E812" s="13"/>
      <c r="F812" s="14"/>
      <c r="G812" s="12"/>
    </row>
    <row r="813" spans="1:7" ht="15" customHeight="1" x14ac:dyDescent="0.2">
      <c r="A813" s="22"/>
      <c r="B813" s="12"/>
      <c r="C813" s="9"/>
      <c r="D813" s="9"/>
      <c r="E813" s="13"/>
      <c r="F813" s="14"/>
      <c r="G813" s="12"/>
    </row>
    <row r="814" spans="1:7" ht="15" customHeight="1" x14ac:dyDescent="0.2">
      <c r="A814" s="22"/>
      <c r="B814" s="12"/>
      <c r="C814" s="9"/>
      <c r="D814" s="9"/>
      <c r="E814" s="13"/>
      <c r="F814" s="14"/>
      <c r="G814" s="12"/>
    </row>
    <row r="815" spans="1:7" ht="15" customHeight="1" x14ac:dyDescent="0.2">
      <c r="A815" s="22"/>
      <c r="B815" s="12"/>
      <c r="C815" s="9"/>
      <c r="D815" s="9"/>
      <c r="E815" s="13"/>
      <c r="F815" s="14"/>
      <c r="G815" s="12"/>
    </row>
    <row r="816" spans="1:7" ht="15" customHeight="1" x14ac:dyDescent="0.2">
      <c r="A816" s="22"/>
      <c r="B816" s="12"/>
      <c r="C816" s="9"/>
      <c r="D816" s="9"/>
      <c r="E816" s="13"/>
      <c r="F816" s="14"/>
      <c r="G816" s="12"/>
    </row>
    <row r="817" spans="1:7" ht="15" customHeight="1" x14ac:dyDescent="0.2">
      <c r="A817" s="22"/>
      <c r="B817" s="12"/>
      <c r="C817" s="9"/>
      <c r="D817" s="9"/>
      <c r="E817" s="13"/>
      <c r="F817" s="14"/>
      <c r="G817" s="12"/>
    </row>
    <row r="818" spans="1:7" ht="15" customHeight="1" x14ac:dyDescent="0.2">
      <c r="A818" s="22"/>
      <c r="B818" s="12"/>
      <c r="C818" s="9"/>
      <c r="D818" s="9"/>
      <c r="E818" s="13"/>
      <c r="F818" s="14"/>
      <c r="G818" s="12"/>
    </row>
    <row r="819" spans="1:7" ht="15" customHeight="1" x14ac:dyDescent="0.2">
      <c r="A819" s="22"/>
      <c r="B819" s="12"/>
      <c r="C819" s="9"/>
      <c r="D819" s="9"/>
      <c r="E819" s="13"/>
      <c r="F819" s="14"/>
      <c r="G819" s="12"/>
    </row>
    <row r="820" spans="1:7" ht="15" customHeight="1" x14ac:dyDescent="0.2">
      <c r="A820" s="22"/>
      <c r="B820" s="12"/>
      <c r="C820" s="9"/>
      <c r="D820" s="9"/>
      <c r="E820" s="13"/>
      <c r="F820" s="14"/>
      <c r="G820" s="12"/>
    </row>
    <row r="821" spans="1:7" ht="15" customHeight="1" x14ac:dyDescent="0.2">
      <c r="A821" s="22"/>
      <c r="B821" s="12"/>
      <c r="C821" s="9"/>
      <c r="D821" s="9"/>
      <c r="E821" s="13"/>
      <c r="F821" s="14"/>
      <c r="G821" s="12"/>
    </row>
    <row r="822" spans="1:7" ht="15" customHeight="1" x14ac:dyDescent="0.2">
      <c r="A822" s="22"/>
      <c r="B822" s="12"/>
      <c r="C822" s="9"/>
      <c r="D822" s="9"/>
      <c r="E822" s="13"/>
      <c r="F822" s="14"/>
      <c r="G822" s="12"/>
    </row>
    <row r="823" spans="1:7" ht="15" customHeight="1" x14ac:dyDescent="0.2">
      <c r="A823" s="22"/>
      <c r="B823" s="12"/>
      <c r="C823" s="9"/>
      <c r="D823" s="9"/>
      <c r="E823" s="13"/>
      <c r="F823" s="14"/>
      <c r="G823" s="12"/>
    </row>
    <row r="824" spans="1:7" ht="15" customHeight="1" x14ac:dyDescent="0.2">
      <c r="A824" s="22"/>
      <c r="B824" s="12"/>
      <c r="C824" s="9"/>
      <c r="D824" s="9"/>
      <c r="E824" s="13"/>
      <c r="F824" s="14"/>
      <c r="G824" s="12"/>
    </row>
    <row r="825" spans="1:7" ht="15" customHeight="1" x14ac:dyDescent="0.2">
      <c r="A825" s="22"/>
      <c r="B825" s="12"/>
      <c r="C825" s="9"/>
      <c r="D825" s="9"/>
      <c r="E825" s="13"/>
      <c r="F825" s="14"/>
      <c r="G825" s="12"/>
    </row>
    <row r="826" spans="1:7" ht="15" customHeight="1" x14ac:dyDescent="0.2">
      <c r="A826" s="22"/>
      <c r="B826" s="12"/>
      <c r="C826" s="9"/>
      <c r="D826" s="9"/>
      <c r="E826" s="13"/>
      <c r="F826" s="14"/>
      <c r="G826" s="12"/>
    </row>
    <row r="827" spans="1:7" ht="15" customHeight="1" x14ac:dyDescent="0.2">
      <c r="A827" s="22"/>
      <c r="B827" s="12"/>
      <c r="C827" s="9"/>
      <c r="D827" s="9"/>
      <c r="E827" s="13"/>
      <c r="F827" s="14"/>
      <c r="G827" s="12"/>
    </row>
    <row r="828" spans="1:7" ht="15" customHeight="1" x14ac:dyDescent="0.2">
      <c r="A828" s="22"/>
      <c r="B828" s="12"/>
      <c r="C828" s="9"/>
      <c r="D828" s="9"/>
      <c r="E828" s="13"/>
      <c r="F828" s="14"/>
      <c r="G828" s="12"/>
    </row>
    <row r="829" spans="1:7" ht="15" customHeight="1" x14ac:dyDescent="0.2">
      <c r="A829" s="22"/>
      <c r="B829" s="12"/>
      <c r="C829" s="9"/>
      <c r="D829" s="9"/>
      <c r="E829" s="13"/>
      <c r="F829" s="14"/>
      <c r="G829" s="12"/>
    </row>
    <row r="830" spans="1:7" ht="15" customHeight="1" x14ac:dyDescent="0.2">
      <c r="A830" s="22"/>
      <c r="B830" s="12"/>
      <c r="C830" s="9"/>
      <c r="D830" s="9"/>
      <c r="E830" s="13"/>
      <c r="F830" s="14"/>
      <c r="G830" s="12"/>
    </row>
    <row r="831" spans="1:7" ht="15" customHeight="1" x14ac:dyDescent="0.2">
      <c r="A831" s="22"/>
      <c r="B831" s="12"/>
      <c r="C831" s="9"/>
      <c r="D831" s="9"/>
      <c r="E831" s="13"/>
      <c r="F831" s="14"/>
      <c r="G831" s="12"/>
    </row>
    <row r="832" spans="1:7" ht="15" customHeight="1" x14ac:dyDescent="0.2">
      <c r="A832" s="22"/>
      <c r="B832" s="12"/>
      <c r="C832" s="9"/>
      <c r="D832" s="9"/>
      <c r="E832" s="13"/>
      <c r="F832" s="14"/>
      <c r="G832" s="12"/>
    </row>
    <row r="833" spans="1:7" ht="15" customHeight="1" x14ac:dyDescent="0.2">
      <c r="A833" s="22"/>
      <c r="B833" s="12"/>
      <c r="C833" s="9"/>
      <c r="D833" s="9"/>
      <c r="E833" s="13"/>
      <c r="F833" s="14"/>
      <c r="G833" s="12"/>
    </row>
    <row r="834" spans="1:7" ht="15" customHeight="1" x14ac:dyDescent="0.2">
      <c r="A834" s="22"/>
      <c r="B834" s="12"/>
      <c r="C834" s="9"/>
      <c r="D834" s="9"/>
      <c r="E834" s="13"/>
      <c r="F834" s="14"/>
      <c r="G834" s="12"/>
    </row>
    <row r="835" spans="1:7" ht="15" customHeight="1" x14ac:dyDescent="0.2">
      <c r="A835" s="22"/>
      <c r="B835" s="12"/>
      <c r="C835" s="9"/>
      <c r="D835" s="9"/>
      <c r="E835" s="13"/>
      <c r="F835" s="14"/>
      <c r="G835" s="12"/>
    </row>
    <row r="836" spans="1:7" ht="15" customHeight="1" x14ac:dyDescent="0.2">
      <c r="A836" s="22"/>
      <c r="B836" s="12"/>
      <c r="C836" s="9"/>
      <c r="D836" s="9"/>
      <c r="E836" s="13"/>
      <c r="F836" s="14"/>
      <c r="G836" s="12"/>
    </row>
    <row r="837" spans="1:7" ht="15" customHeight="1" x14ac:dyDescent="0.2">
      <c r="A837" s="22"/>
      <c r="B837" s="12"/>
      <c r="C837" s="9"/>
      <c r="D837" s="9"/>
      <c r="E837" s="13"/>
      <c r="F837" s="14"/>
      <c r="G837" s="12"/>
    </row>
    <row r="838" spans="1:7" ht="15" customHeight="1" x14ac:dyDescent="0.2">
      <c r="A838" s="22"/>
      <c r="B838" s="12"/>
      <c r="C838" s="9"/>
      <c r="D838" s="9"/>
      <c r="E838" s="13"/>
      <c r="F838" s="14"/>
      <c r="G838" s="12"/>
    </row>
    <row r="839" spans="1:7" ht="15" customHeight="1" x14ac:dyDescent="0.2">
      <c r="A839" s="22"/>
      <c r="B839" s="12"/>
      <c r="C839" s="9"/>
      <c r="D839" s="9"/>
      <c r="E839" s="13"/>
      <c r="F839" s="14"/>
      <c r="G839" s="12"/>
    </row>
    <row r="840" spans="1:7" ht="15" customHeight="1" x14ac:dyDescent="0.2">
      <c r="A840" s="22"/>
      <c r="B840" s="12"/>
      <c r="C840" s="9"/>
      <c r="D840" s="9"/>
      <c r="E840" s="13"/>
      <c r="F840" s="14"/>
      <c r="G840" s="12"/>
    </row>
    <row r="841" spans="1:7" ht="15" customHeight="1" x14ac:dyDescent="0.2">
      <c r="A841" s="22"/>
      <c r="B841" s="12"/>
      <c r="C841" s="9"/>
      <c r="D841" s="9"/>
      <c r="E841" s="13"/>
      <c r="F841" s="14"/>
      <c r="G841" s="12"/>
    </row>
    <row r="842" spans="1:7" ht="15" customHeight="1" x14ac:dyDescent="0.2">
      <c r="A842" s="22"/>
      <c r="B842" s="12"/>
      <c r="C842" s="9"/>
      <c r="D842" s="9"/>
      <c r="E842" s="13"/>
      <c r="F842" s="14"/>
      <c r="G842" s="12"/>
    </row>
    <row r="843" spans="1:7" ht="15" customHeight="1" x14ac:dyDescent="0.2">
      <c r="A843" s="22"/>
      <c r="B843" s="12"/>
      <c r="C843" s="9"/>
      <c r="D843" s="9"/>
      <c r="E843" s="13"/>
      <c r="F843" s="14"/>
      <c r="G843" s="12"/>
    </row>
    <row r="844" spans="1:7" ht="15" customHeight="1" x14ac:dyDescent="0.2">
      <c r="A844" s="22"/>
      <c r="B844" s="12"/>
      <c r="C844" s="9"/>
      <c r="D844" s="9"/>
      <c r="E844" s="13"/>
      <c r="F844" s="14"/>
      <c r="G844" s="12"/>
    </row>
    <row r="845" spans="1:7" ht="15" customHeight="1" x14ac:dyDescent="0.2">
      <c r="A845" s="22"/>
      <c r="B845" s="12"/>
      <c r="C845" s="9"/>
      <c r="D845" s="9"/>
      <c r="E845" s="13"/>
      <c r="F845" s="14"/>
      <c r="G845" s="12"/>
    </row>
    <row r="846" spans="1:7" ht="15" customHeight="1" x14ac:dyDescent="0.2">
      <c r="A846" s="22"/>
      <c r="B846" s="12"/>
      <c r="C846" s="9"/>
      <c r="D846" s="9"/>
      <c r="E846" s="13"/>
      <c r="F846" s="14"/>
      <c r="G846" s="12"/>
    </row>
    <row r="847" spans="1:7" ht="15" customHeight="1" x14ac:dyDescent="0.2">
      <c r="A847" s="22"/>
      <c r="B847" s="12"/>
      <c r="C847" s="9"/>
      <c r="D847" s="9"/>
      <c r="E847" s="13"/>
      <c r="F847" s="14"/>
      <c r="G847" s="12"/>
    </row>
    <row r="848" spans="1:7" ht="15" customHeight="1" x14ac:dyDescent="0.2">
      <c r="A848" s="22"/>
      <c r="B848" s="12"/>
      <c r="C848" s="9"/>
      <c r="D848" s="9"/>
      <c r="E848" s="13"/>
      <c r="F848" s="14"/>
      <c r="G848" s="12"/>
    </row>
    <row r="849" spans="1:7" ht="15" customHeight="1" x14ac:dyDescent="0.2">
      <c r="A849" s="22"/>
      <c r="B849" s="12"/>
      <c r="C849" s="9"/>
      <c r="D849" s="9"/>
      <c r="E849" s="13"/>
      <c r="F849" s="14"/>
      <c r="G849" s="12"/>
    </row>
    <row r="850" spans="1:7" ht="15" customHeight="1" x14ac:dyDescent="0.2">
      <c r="A850" s="22"/>
      <c r="B850" s="12"/>
      <c r="C850" s="9"/>
      <c r="D850" s="9"/>
      <c r="E850" s="13"/>
      <c r="F850" s="14"/>
      <c r="G850" s="12"/>
    </row>
    <row r="851" spans="1:7" ht="15" customHeight="1" x14ac:dyDescent="0.2">
      <c r="A851" s="22"/>
      <c r="B851" s="12"/>
      <c r="C851" s="9"/>
      <c r="D851" s="9"/>
      <c r="E851" s="13"/>
      <c r="F851" s="14"/>
      <c r="G851" s="12"/>
    </row>
    <row r="852" spans="1:7" ht="15" customHeight="1" x14ac:dyDescent="0.2">
      <c r="A852" s="22"/>
      <c r="B852" s="12"/>
      <c r="C852" s="9"/>
      <c r="D852" s="9"/>
      <c r="E852" s="13"/>
      <c r="F852" s="14"/>
      <c r="G852" s="12"/>
    </row>
    <row r="853" spans="1:7" ht="15" customHeight="1" x14ac:dyDescent="0.2">
      <c r="A853" s="22"/>
      <c r="B853" s="12"/>
      <c r="C853" s="9"/>
      <c r="D853" s="9"/>
      <c r="E853" s="13"/>
      <c r="F853" s="14"/>
      <c r="G853" s="12"/>
    </row>
    <row r="854" spans="1:7" ht="15" customHeight="1" x14ac:dyDescent="0.2">
      <c r="A854" s="22"/>
      <c r="B854" s="12"/>
      <c r="C854" s="9"/>
      <c r="D854" s="9"/>
      <c r="E854" s="13"/>
      <c r="F854" s="14"/>
      <c r="G854" s="12"/>
    </row>
    <row r="855" spans="1:7" ht="15" customHeight="1" x14ac:dyDescent="0.2">
      <c r="A855" s="22"/>
      <c r="B855" s="12"/>
      <c r="C855" s="9"/>
      <c r="D855" s="9"/>
      <c r="E855" s="13"/>
      <c r="F855" s="14"/>
      <c r="G855" s="12"/>
    </row>
    <row r="856" spans="1:7" ht="15" customHeight="1" x14ac:dyDescent="0.2">
      <c r="A856" s="22"/>
      <c r="B856" s="12"/>
      <c r="C856" s="9"/>
      <c r="D856" s="9"/>
      <c r="E856" s="13"/>
      <c r="F856" s="14"/>
      <c r="G856" s="12"/>
    </row>
    <row r="857" spans="1:7" ht="15" customHeight="1" x14ac:dyDescent="0.2">
      <c r="A857" s="22"/>
      <c r="B857" s="12"/>
      <c r="C857" s="9"/>
      <c r="D857" s="9"/>
      <c r="E857" s="13"/>
      <c r="F857" s="14"/>
      <c r="G857" s="12"/>
    </row>
    <row r="858" spans="1:7" ht="15" customHeight="1" x14ac:dyDescent="0.2">
      <c r="A858" s="22"/>
      <c r="B858" s="12"/>
      <c r="C858" s="9"/>
      <c r="D858" s="9"/>
      <c r="E858" s="13"/>
      <c r="F858" s="14"/>
      <c r="G858" s="12"/>
    </row>
    <row r="859" spans="1:7" ht="15" customHeight="1" x14ac:dyDescent="0.2">
      <c r="A859" s="22"/>
      <c r="B859" s="12"/>
      <c r="C859" s="9"/>
      <c r="D859" s="9"/>
      <c r="E859" s="13"/>
      <c r="F859" s="14"/>
      <c r="G859" s="12"/>
    </row>
    <row r="860" spans="1:7" ht="15" customHeight="1" x14ac:dyDescent="0.2">
      <c r="A860" s="22"/>
      <c r="B860" s="12"/>
      <c r="C860" s="9"/>
      <c r="D860" s="9"/>
      <c r="E860" s="13"/>
      <c r="F860" s="14"/>
      <c r="G860" s="12"/>
    </row>
    <row r="861" spans="1:7" ht="15" customHeight="1" x14ac:dyDescent="0.2">
      <c r="A861" s="22"/>
      <c r="B861" s="12"/>
      <c r="C861" s="9"/>
      <c r="D861" s="9"/>
      <c r="E861" s="13"/>
      <c r="F861" s="14"/>
      <c r="G861" s="12"/>
    </row>
    <row r="862" spans="1:7" ht="15" customHeight="1" x14ac:dyDescent="0.2">
      <c r="A862" s="22"/>
      <c r="B862" s="12"/>
      <c r="C862" s="9"/>
      <c r="D862" s="9"/>
      <c r="E862" s="13"/>
      <c r="F862" s="14"/>
      <c r="G862" s="12"/>
    </row>
    <row r="863" spans="1:7" ht="15" customHeight="1" x14ac:dyDescent="0.2">
      <c r="A863" s="22"/>
      <c r="B863" s="12"/>
      <c r="C863" s="9"/>
      <c r="D863" s="9"/>
      <c r="E863" s="13"/>
      <c r="F863" s="14"/>
      <c r="G863" s="12"/>
    </row>
    <row r="864" spans="1:7" ht="15" customHeight="1" x14ac:dyDescent="0.2">
      <c r="A864" s="22"/>
      <c r="B864" s="12"/>
      <c r="C864" s="9"/>
      <c r="D864" s="9"/>
      <c r="E864" s="13"/>
      <c r="F864" s="14"/>
      <c r="G864" s="12"/>
    </row>
    <row r="865" spans="1:7" ht="15" customHeight="1" x14ac:dyDescent="0.2">
      <c r="A865" s="22"/>
      <c r="B865" s="12"/>
      <c r="C865" s="9"/>
      <c r="D865" s="9"/>
      <c r="E865" s="13"/>
      <c r="F865" s="14"/>
      <c r="G865" s="12"/>
    </row>
    <row r="866" spans="1:7" ht="15" customHeight="1" x14ac:dyDescent="0.2">
      <c r="A866" s="22"/>
      <c r="B866" s="12"/>
      <c r="C866" s="9"/>
      <c r="D866" s="9"/>
      <c r="E866" s="13"/>
      <c r="F866" s="14"/>
      <c r="G866" s="12"/>
    </row>
    <row r="867" spans="1:7" ht="15" customHeight="1" x14ac:dyDescent="0.2">
      <c r="A867" s="22"/>
      <c r="B867" s="12"/>
      <c r="C867" s="9"/>
      <c r="D867" s="9"/>
      <c r="E867" s="13"/>
      <c r="F867" s="14"/>
      <c r="G867" s="12"/>
    </row>
    <row r="868" spans="1:7" ht="15" customHeight="1" x14ac:dyDescent="0.2">
      <c r="A868" s="22"/>
      <c r="B868" s="12"/>
      <c r="C868" s="9"/>
      <c r="D868" s="9"/>
      <c r="E868" s="13"/>
      <c r="F868" s="14"/>
      <c r="G868" s="12"/>
    </row>
    <row r="869" spans="1:7" ht="15" customHeight="1" x14ac:dyDescent="0.2">
      <c r="A869" s="22"/>
      <c r="B869" s="12"/>
      <c r="C869" s="9"/>
      <c r="D869" s="9"/>
      <c r="E869" s="13"/>
      <c r="F869" s="14"/>
      <c r="G869" s="12"/>
    </row>
    <row r="870" spans="1:7" ht="15" customHeight="1" x14ac:dyDescent="0.2">
      <c r="A870" s="22"/>
      <c r="B870" s="12"/>
      <c r="C870" s="9"/>
      <c r="D870" s="9"/>
      <c r="E870" s="13"/>
      <c r="F870" s="14"/>
      <c r="G870" s="12"/>
    </row>
    <row r="871" spans="1:7" ht="15" customHeight="1" x14ac:dyDescent="0.2">
      <c r="A871" s="22"/>
      <c r="B871" s="12"/>
      <c r="C871" s="9"/>
      <c r="D871" s="9"/>
      <c r="E871" s="13"/>
      <c r="F871" s="14"/>
      <c r="G871" s="12"/>
    </row>
    <row r="872" spans="1:7" ht="15" customHeight="1" x14ac:dyDescent="0.2">
      <c r="A872" s="22"/>
      <c r="B872" s="12"/>
      <c r="C872" s="9"/>
      <c r="D872" s="9"/>
      <c r="E872" s="13"/>
      <c r="F872" s="14"/>
      <c r="G872" s="12"/>
    </row>
    <row r="873" spans="1:7" ht="15" customHeight="1" x14ac:dyDescent="0.2">
      <c r="A873" s="22"/>
      <c r="B873" s="12"/>
      <c r="C873" s="9"/>
      <c r="D873" s="9"/>
      <c r="E873" s="13"/>
      <c r="F873" s="14"/>
      <c r="G873" s="12"/>
    </row>
    <row r="874" spans="1:7" ht="15" customHeight="1" x14ac:dyDescent="0.2">
      <c r="A874" s="22"/>
      <c r="B874" s="12"/>
      <c r="C874" s="9"/>
      <c r="D874" s="9"/>
      <c r="E874" s="13"/>
      <c r="F874" s="14"/>
      <c r="G874" s="12"/>
    </row>
    <row r="875" spans="1:7" ht="15" customHeight="1" x14ac:dyDescent="0.2">
      <c r="A875" s="22"/>
      <c r="B875" s="12"/>
      <c r="C875" s="9"/>
      <c r="D875" s="9"/>
      <c r="E875" s="13"/>
      <c r="F875" s="14"/>
      <c r="G875" s="12"/>
    </row>
    <row r="876" spans="1:7" ht="15" customHeight="1" x14ac:dyDescent="0.2">
      <c r="A876" s="22"/>
      <c r="B876" s="12"/>
      <c r="C876" s="9"/>
      <c r="D876" s="9"/>
      <c r="E876" s="13"/>
      <c r="F876" s="14"/>
      <c r="G876" s="12"/>
    </row>
    <row r="877" spans="1:7" ht="15" customHeight="1" x14ac:dyDescent="0.2">
      <c r="A877" s="22"/>
      <c r="B877" s="12"/>
      <c r="C877" s="9"/>
      <c r="D877" s="9"/>
      <c r="E877" s="13"/>
      <c r="F877" s="14"/>
      <c r="G877" s="12"/>
    </row>
    <row r="878" spans="1:7" ht="15" customHeight="1" x14ac:dyDescent="0.2">
      <c r="A878" s="22"/>
      <c r="B878" s="12"/>
      <c r="C878" s="9"/>
      <c r="D878" s="9"/>
      <c r="E878" s="13"/>
      <c r="F878" s="14"/>
      <c r="G878" s="12"/>
    </row>
    <row r="879" spans="1:7" ht="15" customHeight="1" x14ac:dyDescent="0.2">
      <c r="A879" s="22"/>
      <c r="B879" s="12"/>
      <c r="C879" s="9"/>
      <c r="D879" s="9"/>
      <c r="E879" s="13"/>
      <c r="F879" s="14"/>
      <c r="G879" s="12"/>
    </row>
    <row r="880" spans="1:7" ht="15" customHeight="1" x14ac:dyDescent="0.2">
      <c r="A880" s="22"/>
      <c r="B880" s="12"/>
      <c r="C880" s="9"/>
      <c r="D880" s="9"/>
      <c r="E880" s="13"/>
      <c r="F880" s="14"/>
      <c r="G880" s="12"/>
    </row>
    <row r="881" spans="1:7" ht="15" customHeight="1" x14ac:dyDescent="0.2">
      <c r="A881" s="22"/>
      <c r="B881" s="12"/>
      <c r="C881" s="9"/>
      <c r="D881" s="9"/>
      <c r="E881" s="13"/>
      <c r="F881" s="14"/>
      <c r="G881" s="12"/>
    </row>
    <row r="882" spans="1:7" ht="15" customHeight="1" x14ac:dyDescent="0.2">
      <c r="A882" s="22"/>
      <c r="B882" s="12"/>
      <c r="C882" s="9"/>
      <c r="D882" s="9"/>
      <c r="E882" s="13"/>
      <c r="F882" s="14"/>
      <c r="G882" s="12"/>
    </row>
    <row r="883" spans="1:7" ht="15" customHeight="1" x14ac:dyDescent="0.2">
      <c r="A883" s="22"/>
      <c r="B883" s="12"/>
      <c r="C883" s="9"/>
      <c r="D883" s="9"/>
      <c r="E883" s="13"/>
      <c r="F883" s="14"/>
      <c r="G883" s="12"/>
    </row>
    <row r="884" spans="1:7" ht="15" customHeight="1" x14ac:dyDescent="0.2">
      <c r="A884" s="22"/>
      <c r="B884" s="12"/>
      <c r="C884" s="9"/>
      <c r="D884" s="9"/>
      <c r="E884" s="13"/>
      <c r="F884" s="14"/>
      <c r="G884" s="12"/>
    </row>
    <row r="885" spans="1:7" ht="15" customHeight="1" x14ac:dyDescent="0.2">
      <c r="A885" s="22"/>
      <c r="B885" s="12"/>
      <c r="C885" s="9"/>
      <c r="D885" s="9"/>
      <c r="E885" s="13"/>
      <c r="F885" s="14"/>
      <c r="G885" s="12"/>
    </row>
    <row r="886" spans="1:7" ht="15" customHeight="1" x14ac:dyDescent="0.2">
      <c r="A886" s="22"/>
      <c r="B886" s="12"/>
      <c r="C886" s="9"/>
      <c r="D886" s="9"/>
      <c r="E886" s="13"/>
      <c r="F886" s="14"/>
      <c r="G886" s="12"/>
    </row>
    <row r="887" spans="1:7" ht="15" customHeight="1" x14ac:dyDescent="0.2">
      <c r="A887" s="22"/>
      <c r="B887" s="12"/>
      <c r="C887" s="9"/>
      <c r="D887" s="9"/>
      <c r="E887" s="13"/>
      <c r="F887" s="14"/>
      <c r="G887" s="12"/>
    </row>
    <row r="888" spans="1:7" ht="15" customHeight="1" x14ac:dyDescent="0.2">
      <c r="A888" s="22"/>
      <c r="B888" s="12"/>
      <c r="C888" s="9"/>
      <c r="D888" s="9"/>
      <c r="E888" s="13"/>
      <c r="F888" s="14"/>
      <c r="G888" s="12"/>
    </row>
    <row r="889" spans="1:7" ht="15" customHeight="1" x14ac:dyDescent="0.2">
      <c r="A889" s="22"/>
      <c r="B889" s="12"/>
      <c r="C889" s="9"/>
      <c r="D889" s="9"/>
      <c r="E889" s="13"/>
      <c r="F889" s="14"/>
      <c r="G889" s="12"/>
    </row>
    <row r="890" spans="1:7" ht="15" customHeight="1" x14ac:dyDescent="0.2">
      <c r="A890" s="22"/>
      <c r="B890" s="12"/>
      <c r="C890" s="9"/>
      <c r="D890" s="9"/>
      <c r="E890" s="13"/>
      <c r="F890" s="14"/>
      <c r="G890" s="12"/>
    </row>
    <row r="891" spans="1:7" ht="15" customHeight="1" x14ac:dyDescent="0.2">
      <c r="A891" s="22"/>
      <c r="B891" s="12"/>
      <c r="C891" s="9"/>
      <c r="D891" s="9"/>
      <c r="E891" s="13"/>
      <c r="F891" s="14"/>
      <c r="G891" s="12"/>
    </row>
    <row r="892" spans="1:7" ht="15" customHeight="1" x14ac:dyDescent="0.2">
      <c r="A892" s="22"/>
      <c r="B892" s="12"/>
      <c r="C892" s="9"/>
      <c r="D892" s="9"/>
      <c r="E892" s="13"/>
      <c r="F892" s="14"/>
      <c r="G892" s="12"/>
    </row>
    <row r="893" spans="1:7" ht="15" customHeight="1" x14ac:dyDescent="0.2">
      <c r="A893" s="22"/>
      <c r="B893" s="12"/>
      <c r="C893" s="9"/>
      <c r="D893" s="9"/>
      <c r="E893" s="13"/>
      <c r="F893" s="14"/>
      <c r="G893" s="12"/>
    </row>
    <row r="894" spans="1:7" ht="15" customHeight="1" x14ac:dyDescent="0.2">
      <c r="A894" s="22"/>
      <c r="B894" s="12"/>
      <c r="C894" s="9"/>
      <c r="D894" s="9"/>
      <c r="E894" s="13"/>
      <c r="F894" s="14"/>
      <c r="G894" s="12"/>
    </row>
    <row r="895" spans="1:7" ht="15" customHeight="1" x14ac:dyDescent="0.2">
      <c r="A895" s="22"/>
      <c r="B895" s="12"/>
      <c r="C895" s="9"/>
      <c r="D895" s="9"/>
      <c r="E895" s="13"/>
      <c r="F895" s="14"/>
      <c r="G895" s="12"/>
    </row>
    <row r="896" spans="1:7" ht="15" customHeight="1" x14ac:dyDescent="0.2">
      <c r="A896" s="22"/>
      <c r="B896" s="12"/>
      <c r="C896" s="9"/>
      <c r="D896" s="9"/>
      <c r="E896" s="13"/>
      <c r="F896" s="14"/>
      <c r="G896" s="12"/>
    </row>
    <row r="897" spans="1:7" ht="15" customHeight="1" x14ac:dyDescent="0.2">
      <c r="A897" s="22"/>
      <c r="B897" s="12"/>
      <c r="C897" s="9"/>
      <c r="D897" s="9"/>
      <c r="E897" s="13"/>
      <c r="F897" s="14"/>
      <c r="G897" s="12"/>
    </row>
    <row r="898" spans="1:7" ht="15" customHeight="1" x14ac:dyDescent="0.2">
      <c r="A898" s="22"/>
      <c r="B898" s="12"/>
      <c r="C898" s="9"/>
      <c r="D898" s="9"/>
      <c r="E898" s="13"/>
      <c r="F898" s="14"/>
      <c r="G898" s="12"/>
    </row>
    <row r="899" spans="1:7" ht="15" customHeight="1" x14ac:dyDescent="0.2">
      <c r="A899" s="22"/>
      <c r="B899" s="12"/>
      <c r="C899" s="9"/>
      <c r="D899" s="9"/>
      <c r="E899" s="13"/>
      <c r="F899" s="14"/>
      <c r="G899" s="12"/>
    </row>
    <row r="900" spans="1:7" ht="15" customHeight="1" x14ac:dyDescent="0.2">
      <c r="A900" s="22"/>
      <c r="B900" s="12"/>
      <c r="C900" s="9"/>
      <c r="D900" s="9"/>
      <c r="E900" s="13"/>
      <c r="F900" s="14"/>
      <c r="G900" s="12"/>
    </row>
    <row r="901" spans="1:7" ht="15" customHeight="1" x14ac:dyDescent="0.2">
      <c r="A901" s="22"/>
      <c r="B901" s="12"/>
      <c r="C901" s="9"/>
      <c r="D901" s="9"/>
      <c r="E901" s="13"/>
      <c r="F901" s="14"/>
      <c r="G901" s="12"/>
    </row>
    <row r="902" spans="1:7" ht="15" customHeight="1" x14ac:dyDescent="0.2">
      <c r="A902" s="22"/>
      <c r="B902" s="12"/>
      <c r="C902" s="9"/>
      <c r="D902" s="9"/>
      <c r="E902" s="13"/>
      <c r="F902" s="14"/>
      <c r="G902" s="12"/>
    </row>
    <row r="903" spans="1:7" ht="15" customHeight="1" x14ac:dyDescent="0.2">
      <c r="A903" s="22"/>
      <c r="B903" s="12"/>
      <c r="C903" s="9"/>
      <c r="D903" s="9"/>
      <c r="E903" s="13"/>
      <c r="F903" s="14"/>
      <c r="G903" s="12"/>
    </row>
    <row r="904" spans="1:7" ht="15" customHeight="1" x14ac:dyDescent="0.2">
      <c r="A904" s="22"/>
      <c r="B904" s="12"/>
      <c r="C904" s="9"/>
      <c r="D904" s="9"/>
      <c r="E904" s="13"/>
      <c r="F904" s="14"/>
      <c r="G904" s="12"/>
    </row>
    <row r="905" spans="1:7" ht="15" customHeight="1" x14ac:dyDescent="0.2">
      <c r="A905" s="22"/>
      <c r="B905" s="12"/>
      <c r="C905" s="9"/>
      <c r="D905" s="9"/>
      <c r="E905" s="13"/>
      <c r="F905" s="14"/>
      <c r="G905" s="12"/>
    </row>
    <row r="906" spans="1:7" ht="15" customHeight="1" x14ac:dyDescent="0.2">
      <c r="A906" s="22"/>
      <c r="B906" s="12"/>
      <c r="C906" s="9"/>
      <c r="D906" s="9"/>
      <c r="E906" s="13"/>
      <c r="F906" s="14"/>
      <c r="G906" s="12"/>
    </row>
    <row r="907" spans="1:7" ht="15" customHeight="1" x14ac:dyDescent="0.2">
      <c r="A907" s="22"/>
      <c r="B907" s="12"/>
      <c r="C907" s="9"/>
      <c r="D907" s="9"/>
      <c r="E907" s="13"/>
      <c r="F907" s="14"/>
      <c r="G907" s="12"/>
    </row>
    <row r="908" spans="1:7" ht="15" customHeight="1" x14ac:dyDescent="0.2">
      <c r="A908" s="22"/>
      <c r="B908" s="12"/>
      <c r="C908" s="9"/>
      <c r="D908" s="9"/>
      <c r="E908" s="13"/>
      <c r="F908" s="14"/>
      <c r="G908" s="12"/>
    </row>
    <row r="909" spans="1:7" ht="15" customHeight="1" x14ac:dyDescent="0.2">
      <c r="A909" s="22"/>
      <c r="B909" s="12"/>
      <c r="C909" s="9"/>
      <c r="D909" s="9"/>
      <c r="E909" s="13"/>
      <c r="F909" s="14"/>
      <c r="G909" s="12"/>
    </row>
    <row r="910" spans="1:7" ht="15" customHeight="1" x14ac:dyDescent="0.2">
      <c r="A910" s="22"/>
      <c r="B910" s="12"/>
      <c r="C910" s="9"/>
      <c r="D910" s="9"/>
      <c r="E910" s="13"/>
      <c r="F910" s="14"/>
      <c r="G910" s="12"/>
    </row>
    <row r="911" spans="1:7" ht="15" customHeight="1" x14ac:dyDescent="0.2">
      <c r="A911" s="22"/>
      <c r="B911" s="12"/>
      <c r="C911" s="9"/>
      <c r="D911" s="9"/>
      <c r="E911" s="13"/>
      <c r="F911" s="14"/>
      <c r="G911" s="12"/>
    </row>
    <row r="912" spans="1:7" ht="15" customHeight="1" x14ac:dyDescent="0.2">
      <c r="A912" s="22"/>
      <c r="B912" s="12"/>
      <c r="C912" s="9"/>
      <c r="D912" s="9"/>
      <c r="E912" s="13"/>
      <c r="F912" s="14"/>
      <c r="G912" s="12"/>
    </row>
    <row r="913" spans="1:7" ht="15" customHeight="1" x14ac:dyDescent="0.2">
      <c r="A913" s="22"/>
      <c r="B913" s="12"/>
      <c r="C913" s="9"/>
      <c r="D913" s="9"/>
      <c r="E913" s="13"/>
      <c r="F913" s="14"/>
      <c r="G913" s="12"/>
    </row>
    <row r="914" spans="1:7" ht="15" customHeight="1" x14ac:dyDescent="0.2">
      <c r="A914" s="22"/>
      <c r="B914" s="12"/>
      <c r="C914" s="9"/>
      <c r="D914" s="9"/>
      <c r="E914" s="13"/>
      <c r="F914" s="14"/>
      <c r="G914" s="12"/>
    </row>
    <row r="915" spans="1:7" ht="15" customHeight="1" x14ac:dyDescent="0.2">
      <c r="A915" s="22"/>
      <c r="B915" s="12"/>
      <c r="C915" s="9"/>
      <c r="D915" s="9"/>
      <c r="E915" s="13"/>
      <c r="F915" s="14"/>
      <c r="G915" s="12"/>
    </row>
    <row r="916" spans="1:7" ht="15" customHeight="1" x14ac:dyDescent="0.2">
      <c r="A916" s="22"/>
      <c r="B916" s="12"/>
      <c r="C916" s="9"/>
      <c r="D916" s="9"/>
      <c r="E916" s="13"/>
      <c r="F916" s="14"/>
      <c r="G916" s="12"/>
    </row>
    <row r="917" spans="1:7" ht="15" customHeight="1" x14ac:dyDescent="0.2">
      <c r="A917" s="22"/>
      <c r="B917" s="12"/>
      <c r="C917" s="9"/>
      <c r="D917" s="9"/>
      <c r="E917" s="13"/>
      <c r="F917" s="14"/>
      <c r="G917" s="12"/>
    </row>
    <row r="918" spans="1:7" ht="15" customHeight="1" x14ac:dyDescent="0.2">
      <c r="A918" s="22"/>
      <c r="B918" s="12"/>
      <c r="C918" s="9"/>
      <c r="D918" s="9"/>
      <c r="E918" s="13"/>
      <c r="F918" s="14"/>
      <c r="G918" s="12"/>
    </row>
    <row r="919" spans="1:7" ht="15" customHeight="1" x14ac:dyDescent="0.2">
      <c r="A919" s="22"/>
      <c r="B919" s="12"/>
      <c r="C919" s="9"/>
      <c r="D919" s="9"/>
      <c r="E919" s="13"/>
      <c r="F919" s="14"/>
      <c r="G919" s="12"/>
    </row>
    <row r="920" spans="1:7" ht="15" customHeight="1" x14ac:dyDescent="0.2">
      <c r="A920" s="22"/>
      <c r="B920" s="12"/>
      <c r="C920" s="9"/>
      <c r="D920" s="9"/>
      <c r="E920" s="13"/>
      <c r="F920" s="14"/>
      <c r="G920" s="12"/>
    </row>
    <row r="921" spans="1:7" ht="15" customHeight="1" x14ac:dyDescent="0.2">
      <c r="A921" s="22"/>
      <c r="B921" s="12"/>
      <c r="C921" s="9"/>
      <c r="D921" s="9"/>
      <c r="E921" s="13"/>
      <c r="F921" s="14"/>
      <c r="G921" s="12"/>
    </row>
    <row r="922" spans="1:7" ht="15" customHeight="1" x14ac:dyDescent="0.2">
      <c r="A922" s="22"/>
      <c r="B922" s="12"/>
      <c r="C922" s="9"/>
      <c r="D922" s="9"/>
      <c r="E922" s="13"/>
      <c r="F922" s="14"/>
      <c r="G922" s="12"/>
    </row>
    <row r="923" spans="1:7" ht="15" customHeight="1" x14ac:dyDescent="0.2">
      <c r="A923" s="22"/>
      <c r="B923" s="12"/>
      <c r="C923" s="9"/>
      <c r="D923" s="9"/>
      <c r="E923" s="13"/>
      <c r="F923" s="14"/>
      <c r="G923" s="12"/>
    </row>
    <row r="924" spans="1:7" ht="15" customHeight="1" x14ac:dyDescent="0.2">
      <c r="A924" s="22"/>
      <c r="B924" s="12"/>
      <c r="C924" s="9"/>
      <c r="D924" s="9"/>
      <c r="E924" s="13"/>
      <c r="F924" s="14"/>
      <c r="G924" s="12"/>
    </row>
    <row r="925" spans="1:7" ht="15" customHeight="1" x14ac:dyDescent="0.2">
      <c r="A925" s="22"/>
      <c r="B925" s="12"/>
      <c r="C925" s="9"/>
      <c r="D925" s="9"/>
      <c r="E925" s="13"/>
      <c r="F925" s="14"/>
      <c r="G925" s="12"/>
    </row>
    <row r="926" spans="1:7" ht="15" customHeight="1" x14ac:dyDescent="0.2">
      <c r="A926" s="22"/>
      <c r="B926" s="12"/>
      <c r="C926" s="9"/>
      <c r="D926" s="9"/>
      <c r="E926" s="13"/>
      <c r="F926" s="14"/>
      <c r="G926" s="12"/>
    </row>
    <row r="927" spans="1:7" ht="15" customHeight="1" x14ac:dyDescent="0.2">
      <c r="A927" s="22"/>
      <c r="B927" s="12"/>
      <c r="C927" s="9"/>
      <c r="D927" s="9"/>
      <c r="E927" s="13"/>
      <c r="F927" s="14"/>
      <c r="G927" s="12"/>
    </row>
    <row r="928" spans="1:7" ht="15" customHeight="1" x14ac:dyDescent="0.2">
      <c r="A928" s="22"/>
      <c r="B928" s="12"/>
      <c r="C928" s="9"/>
      <c r="D928" s="9"/>
      <c r="E928" s="13"/>
      <c r="F928" s="14"/>
      <c r="G928" s="12"/>
    </row>
    <row r="929" spans="1:7" ht="15" customHeight="1" x14ac:dyDescent="0.2">
      <c r="A929" s="22"/>
      <c r="B929" s="12"/>
      <c r="C929" s="9"/>
      <c r="D929" s="9"/>
      <c r="E929" s="13"/>
      <c r="F929" s="14"/>
      <c r="G929" s="12"/>
    </row>
    <row r="930" spans="1:7" ht="15" customHeight="1" x14ac:dyDescent="0.2">
      <c r="A930" s="22"/>
      <c r="B930" s="12"/>
      <c r="C930" s="9"/>
      <c r="D930" s="9"/>
      <c r="E930" s="13"/>
      <c r="F930" s="14"/>
      <c r="G930" s="12"/>
    </row>
    <row r="931" spans="1:7" ht="15" customHeight="1" x14ac:dyDescent="0.2">
      <c r="A931" s="22"/>
      <c r="B931" s="12"/>
      <c r="C931" s="9"/>
      <c r="D931" s="9"/>
      <c r="E931" s="13"/>
      <c r="F931" s="14"/>
      <c r="G931" s="12"/>
    </row>
    <row r="932" spans="1:7" ht="15" customHeight="1" x14ac:dyDescent="0.2">
      <c r="A932" s="22"/>
      <c r="B932" s="12"/>
      <c r="C932" s="9"/>
      <c r="D932" s="9"/>
      <c r="E932" s="13"/>
      <c r="F932" s="14"/>
      <c r="G932" s="12"/>
    </row>
    <row r="933" spans="1:7" ht="15" customHeight="1" x14ac:dyDescent="0.2">
      <c r="A933" s="22"/>
      <c r="B933" s="12"/>
      <c r="C933" s="9"/>
      <c r="D933" s="9"/>
      <c r="E933" s="13"/>
      <c r="F933" s="14"/>
      <c r="G933" s="12"/>
    </row>
    <row r="934" spans="1:7" ht="15" customHeight="1" x14ac:dyDescent="0.2">
      <c r="A934" s="22"/>
      <c r="B934" s="12"/>
      <c r="C934" s="9"/>
      <c r="D934" s="9"/>
      <c r="E934" s="13"/>
      <c r="F934" s="14"/>
      <c r="G934" s="12"/>
    </row>
    <row r="935" spans="1:7" ht="15" customHeight="1" x14ac:dyDescent="0.2">
      <c r="A935" s="22"/>
      <c r="B935" s="12"/>
      <c r="C935" s="9"/>
      <c r="D935" s="9"/>
      <c r="E935" s="13"/>
      <c r="F935" s="14"/>
      <c r="G935" s="12"/>
    </row>
    <row r="936" spans="1:7" ht="15" customHeight="1" x14ac:dyDescent="0.2">
      <c r="A936" s="22"/>
      <c r="B936" s="12"/>
      <c r="C936" s="9"/>
      <c r="D936" s="9"/>
      <c r="E936" s="13"/>
      <c r="F936" s="14"/>
      <c r="G936" s="12"/>
    </row>
    <row r="937" spans="1:7" ht="15" customHeight="1" x14ac:dyDescent="0.2">
      <c r="A937" s="22"/>
      <c r="B937" s="12"/>
      <c r="C937" s="9"/>
      <c r="D937" s="9"/>
      <c r="E937" s="13"/>
      <c r="F937" s="14"/>
      <c r="G937" s="12"/>
    </row>
    <row r="938" spans="1:7" ht="15" customHeight="1" x14ac:dyDescent="0.2">
      <c r="A938" s="22"/>
      <c r="B938" s="12"/>
      <c r="C938" s="9"/>
      <c r="D938" s="9"/>
      <c r="E938" s="13"/>
      <c r="F938" s="14"/>
      <c r="G938" s="12"/>
    </row>
    <row r="939" spans="1:7" ht="15" customHeight="1" x14ac:dyDescent="0.2">
      <c r="A939" s="22"/>
      <c r="B939" s="12"/>
      <c r="C939" s="9"/>
      <c r="D939" s="9"/>
      <c r="E939" s="13"/>
      <c r="F939" s="14"/>
      <c r="G939" s="12"/>
    </row>
    <row r="940" spans="1:7" ht="15" customHeight="1" x14ac:dyDescent="0.2">
      <c r="A940" s="22"/>
      <c r="B940" s="12"/>
      <c r="C940" s="9"/>
      <c r="D940" s="9"/>
      <c r="E940" s="13"/>
      <c r="F940" s="14"/>
      <c r="G940" s="12"/>
    </row>
    <row r="941" spans="1:7" ht="15" customHeight="1" x14ac:dyDescent="0.2">
      <c r="A941" s="22"/>
      <c r="B941" s="12"/>
      <c r="C941" s="9"/>
      <c r="D941" s="9"/>
      <c r="E941" s="13"/>
      <c r="F941" s="14"/>
      <c r="G941" s="12"/>
    </row>
    <row r="942" spans="1:7" ht="15" customHeight="1" x14ac:dyDescent="0.2">
      <c r="A942" s="22"/>
      <c r="B942" s="12"/>
      <c r="C942" s="9"/>
      <c r="D942" s="9"/>
      <c r="E942" s="13"/>
      <c r="F942" s="14"/>
      <c r="G942" s="12"/>
    </row>
    <row r="943" spans="1:7" ht="15" customHeight="1" x14ac:dyDescent="0.2">
      <c r="A943" s="22"/>
      <c r="B943" s="12"/>
      <c r="C943" s="9"/>
      <c r="D943" s="9"/>
      <c r="E943" s="13"/>
      <c r="F943" s="14"/>
      <c r="G943" s="12"/>
    </row>
    <row r="944" spans="1:7" ht="15" customHeight="1" x14ac:dyDescent="0.2">
      <c r="A944" s="22"/>
      <c r="B944" s="12"/>
      <c r="C944" s="9"/>
      <c r="D944" s="9"/>
      <c r="E944" s="13"/>
      <c r="F944" s="14"/>
      <c r="G944" s="12"/>
    </row>
    <row r="945" spans="1:7" ht="15" customHeight="1" x14ac:dyDescent="0.2">
      <c r="A945" s="22"/>
      <c r="B945" s="12"/>
      <c r="C945" s="9"/>
      <c r="D945" s="9"/>
      <c r="E945" s="13"/>
      <c r="F945" s="14"/>
      <c r="G945" s="12"/>
    </row>
    <row r="946" spans="1:7" ht="15" customHeight="1" x14ac:dyDescent="0.2">
      <c r="A946" s="22"/>
      <c r="B946" s="12"/>
      <c r="C946" s="9"/>
      <c r="D946" s="9"/>
      <c r="E946" s="13"/>
      <c r="F946" s="14"/>
      <c r="G946" s="12"/>
    </row>
    <row r="947" spans="1:7" ht="15" customHeight="1" x14ac:dyDescent="0.2">
      <c r="A947" s="22"/>
      <c r="B947" s="12"/>
      <c r="C947" s="9"/>
      <c r="D947" s="9"/>
      <c r="E947" s="13"/>
      <c r="F947" s="14"/>
      <c r="G947" s="12"/>
    </row>
    <row r="948" spans="1:7" ht="15" customHeight="1" x14ac:dyDescent="0.2">
      <c r="A948" s="22"/>
      <c r="B948" s="12"/>
      <c r="C948" s="9"/>
      <c r="D948" s="9"/>
      <c r="E948" s="13"/>
      <c r="F948" s="14"/>
      <c r="G948" s="12"/>
    </row>
    <row r="949" spans="1:7" ht="15" customHeight="1" x14ac:dyDescent="0.2">
      <c r="A949" s="22"/>
      <c r="B949" s="12"/>
      <c r="C949" s="9"/>
      <c r="D949" s="9"/>
      <c r="E949" s="13"/>
      <c r="F949" s="14"/>
      <c r="G949" s="12"/>
    </row>
    <row r="950" spans="1:7" ht="15" customHeight="1" x14ac:dyDescent="0.2">
      <c r="A950" s="22"/>
      <c r="B950" s="12"/>
      <c r="C950" s="9"/>
      <c r="D950" s="9"/>
      <c r="E950" s="13"/>
      <c r="F950" s="14"/>
      <c r="G950" s="12"/>
    </row>
    <row r="951" spans="1:7" ht="15" customHeight="1" x14ac:dyDescent="0.2">
      <c r="A951" s="22"/>
      <c r="B951" s="12"/>
      <c r="C951" s="9"/>
      <c r="D951" s="9"/>
      <c r="E951" s="13"/>
      <c r="F951" s="14"/>
      <c r="G951" s="12"/>
    </row>
    <row r="952" spans="1:7" ht="15" customHeight="1" x14ac:dyDescent="0.2">
      <c r="A952" s="22"/>
      <c r="B952" s="12"/>
      <c r="C952" s="9"/>
      <c r="D952" s="9"/>
      <c r="E952" s="13"/>
      <c r="F952" s="14"/>
      <c r="G952" s="12"/>
    </row>
    <row r="953" spans="1:7" ht="15" customHeight="1" x14ac:dyDescent="0.2">
      <c r="A953" s="22"/>
      <c r="B953" s="12"/>
      <c r="C953" s="9"/>
      <c r="D953" s="9"/>
      <c r="E953" s="13"/>
      <c r="F953" s="14"/>
      <c r="G953" s="12"/>
    </row>
    <row r="954" spans="1:7" ht="15" customHeight="1" x14ac:dyDescent="0.2">
      <c r="A954" s="22"/>
      <c r="B954" s="12"/>
      <c r="C954" s="9"/>
      <c r="D954" s="9"/>
      <c r="E954" s="13"/>
      <c r="F954" s="14"/>
      <c r="G954" s="12"/>
    </row>
    <row r="955" spans="1:7" ht="15" customHeight="1" x14ac:dyDescent="0.2">
      <c r="A955" s="22"/>
      <c r="B955" s="12"/>
      <c r="C955" s="9"/>
      <c r="D955" s="9"/>
      <c r="E955" s="13"/>
      <c r="F955" s="14"/>
      <c r="G955" s="12"/>
    </row>
    <row r="956" spans="1:7" ht="15" customHeight="1" x14ac:dyDescent="0.2">
      <c r="A956" s="22"/>
      <c r="B956" s="12"/>
      <c r="C956" s="9"/>
      <c r="D956" s="9"/>
      <c r="E956" s="13"/>
      <c r="F956" s="14"/>
      <c r="G956" s="12"/>
    </row>
    <row r="957" spans="1:7" ht="15" customHeight="1" x14ac:dyDescent="0.2">
      <c r="A957" s="22"/>
      <c r="B957" s="12"/>
      <c r="C957" s="9"/>
      <c r="D957" s="9"/>
      <c r="E957" s="13"/>
      <c r="F957" s="14"/>
      <c r="G957" s="12"/>
    </row>
    <row r="958" spans="1:7" ht="15" customHeight="1" x14ac:dyDescent="0.2">
      <c r="A958" s="22"/>
      <c r="B958" s="12"/>
      <c r="C958" s="9"/>
      <c r="D958" s="9"/>
      <c r="E958" s="13"/>
      <c r="F958" s="14"/>
      <c r="G958" s="12"/>
    </row>
    <row r="959" spans="1:7" ht="15" customHeight="1" x14ac:dyDescent="0.2">
      <c r="A959" s="22"/>
      <c r="B959" s="12"/>
      <c r="C959" s="9"/>
      <c r="D959" s="9"/>
      <c r="E959" s="13"/>
      <c r="F959" s="14"/>
      <c r="G959" s="12"/>
    </row>
    <row r="960" spans="1:7" ht="15" customHeight="1" x14ac:dyDescent="0.2">
      <c r="A960" s="22"/>
      <c r="B960" s="12"/>
      <c r="C960" s="9"/>
      <c r="D960" s="9"/>
      <c r="E960" s="13"/>
      <c r="F960" s="14"/>
      <c r="G960" s="12"/>
    </row>
    <row r="961" spans="1:7" ht="15" customHeight="1" x14ac:dyDescent="0.2">
      <c r="A961" s="22"/>
      <c r="B961" s="12"/>
      <c r="C961" s="9"/>
      <c r="D961" s="9"/>
      <c r="E961" s="13"/>
      <c r="F961" s="14"/>
      <c r="G961" s="12"/>
    </row>
    <row r="962" spans="1:7" ht="15" customHeight="1" x14ac:dyDescent="0.2">
      <c r="A962" s="22"/>
      <c r="B962" s="12"/>
      <c r="C962" s="9"/>
      <c r="D962" s="9"/>
      <c r="E962" s="13"/>
      <c r="F962" s="14"/>
      <c r="G962" s="12"/>
    </row>
    <row r="963" spans="1:7" ht="15" customHeight="1" x14ac:dyDescent="0.2">
      <c r="A963" s="22"/>
      <c r="B963" s="12"/>
      <c r="C963" s="9"/>
      <c r="D963" s="9"/>
      <c r="E963" s="13"/>
      <c r="F963" s="14"/>
      <c r="G963" s="12"/>
    </row>
    <row r="964" spans="1:7" ht="15" customHeight="1" x14ac:dyDescent="0.2">
      <c r="A964" s="22"/>
      <c r="B964" s="12"/>
      <c r="C964" s="9"/>
      <c r="D964" s="9"/>
      <c r="E964" s="13"/>
      <c r="F964" s="14"/>
      <c r="G964" s="12"/>
    </row>
    <row r="965" spans="1:7" ht="15" customHeight="1" x14ac:dyDescent="0.2">
      <c r="A965" s="22"/>
      <c r="B965" s="12"/>
      <c r="C965" s="9"/>
      <c r="D965" s="9"/>
      <c r="E965" s="13"/>
      <c r="F965" s="14"/>
      <c r="G965" s="12"/>
    </row>
    <row r="966" spans="1:7" ht="15" customHeight="1" x14ac:dyDescent="0.2">
      <c r="A966" s="22"/>
      <c r="B966" s="12"/>
      <c r="C966" s="9"/>
      <c r="D966" s="9"/>
      <c r="E966" s="13"/>
      <c r="F966" s="14"/>
      <c r="G966" s="12"/>
    </row>
    <row r="967" spans="1:7" ht="15" customHeight="1" x14ac:dyDescent="0.2">
      <c r="A967" s="22"/>
      <c r="B967" s="12"/>
      <c r="C967" s="9"/>
      <c r="D967" s="9"/>
      <c r="E967" s="13"/>
      <c r="F967" s="14"/>
      <c r="G967" s="12"/>
    </row>
    <row r="968" spans="1:7" ht="15" customHeight="1" x14ac:dyDescent="0.2">
      <c r="A968" s="22"/>
      <c r="B968" s="12"/>
      <c r="C968" s="9"/>
      <c r="D968" s="9"/>
      <c r="E968" s="13"/>
      <c r="F968" s="14"/>
      <c r="G968" s="12"/>
    </row>
    <row r="969" spans="1:7" ht="15" customHeight="1" x14ac:dyDescent="0.2">
      <c r="A969" s="22"/>
      <c r="B969" s="12"/>
      <c r="C969" s="9"/>
      <c r="D969" s="9"/>
      <c r="E969" s="13"/>
      <c r="F969" s="14"/>
      <c r="G969" s="12"/>
    </row>
    <row r="970" spans="1:7" ht="15" customHeight="1" x14ac:dyDescent="0.2">
      <c r="A970" s="22"/>
      <c r="B970" s="12"/>
      <c r="C970" s="9"/>
      <c r="D970" s="9"/>
      <c r="E970" s="13"/>
      <c r="F970" s="14"/>
      <c r="G970" s="12"/>
    </row>
    <row r="971" spans="1:7" ht="15" customHeight="1" x14ac:dyDescent="0.2">
      <c r="A971" s="22"/>
      <c r="B971" s="12"/>
      <c r="C971" s="9"/>
      <c r="D971" s="9"/>
      <c r="E971" s="13"/>
      <c r="F971" s="14"/>
      <c r="G971" s="12"/>
    </row>
    <row r="972" spans="1:7" ht="15" customHeight="1" x14ac:dyDescent="0.2">
      <c r="A972" s="22"/>
      <c r="B972" s="12"/>
      <c r="C972" s="9"/>
      <c r="D972" s="9"/>
      <c r="E972" s="13"/>
      <c r="F972" s="14"/>
      <c r="G972" s="12"/>
    </row>
    <row r="973" spans="1:7" ht="15" customHeight="1" x14ac:dyDescent="0.2">
      <c r="A973" s="22"/>
      <c r="B973" s="12"/>
      <c r="C973" s="9"/>
      <c r="D973" s="9"/>
      <c r="E973" s="13"/>
      <c r="F973" s="14"/>
      <c r="G973" s="12"/>
    </row>
    <row r="974" spans="1:7" ht="15" customHeight="1" x14ac:dyDescent="0.2">
      <c r="A974" s="22"/>
      <c r="B974" s="12"/>
      <c r="C974" s="9"/>
      <c r="D974" s="9"/>
      <c r="E974" s="13"/>
      <c r="F974" s="14"/>
      <c r="G974" s="12"/>
    </row>
    <row r="975" spans="1:7" ht="15" customHeight="1" x14ac:dyDescent="0.2">
      <c r="A975" s="22"/>
      <c r="B975" s="12"/>
      <c r="C975" s="9"/>
      <c r="D975" s="9"/>
      <c r="E975" s="13"/>
      <c r="F975" s="14"/>
      <c r="G975" s="12"/>
    </row>
    <row r="976" spans="1:7" ht="15" customHeight="1" x14ac:dyDescent="0.2">
      <c r="A976" s="22"/>
      <c r="B976" s="12"/>
      <c r="C976" s="9"/>
      <c r="D976" s="9"/>
      <c r="E976" s="13"/>
      <c r="F976" s="14"/>
      <c r="G976" s="12"/>
    </row>
    <row r="977" spans="1:7" ht="15" customHeight="1" x14ac:dyDescent="0.2">
      <c r="A977" s="22"/>
      <c r="B977" s="12"/>
      <c r="C977" s="9"/>
      <c r="D977" s="9"/>
      <c r="E977" s="13"/>
      <c r="F977" s="14"/>
      <c r="G977" s="12"/>
    </row>
    <row r="978" spans="1:7" ht="15" customHeight="1" x14ac:dyDescent="0.2">
      <c r="A978" s="22"/>
      <c r="B978" s="12"/>
      <c r="C978" s="9"/>
      <c r="D978" s="9"/>
      <c r="E978" s="13"/>
      <c r="F978" s="14"/>
      <c r="G978" s="12"/>
    </row>
    <row r="979" spans="1:7" ht="15" customHeight="1" x14ac:dyDescent="0.2">
      <c r="A979" s="22"/>
      <c r="B979" s="12"/>
      <c r="C979" s="9"/>
      <c r="D979" s="9"/>
      <c r="E979" s="13"/>
      <c r="F979" s="14"/>
      <c r="G979" s="12"/>
    </row>
    <row r="980" spans="1:7" ht="15" customHeight="1" x14ac:dyDescent="0.2">
      <c r="A980" s="22"/>
      <c r="B980" s="12"/>
      <c r="C980" s="9"/>
      <c r="D980" s="9"/>
      <c r="E980" s="13"/>
      <c r="F980" s="14"/>
      <c r="G980" s="12"/>
    </row>
    <row r="981" spans="1:7" ht="15" customHeight="1" x14ac:dyDescent="0.2">
      <c r="A981" s="22"/>
      <c r="B981" s="12"/>
      <c r="C981" s="9"/>
      <c r="D981" s="9"/>
      <c r="E981" s="13"/>
      <c r="F981" s="14"/>
      <c r="G981" s="12"/>
    </row>
    <row r="982" spans="1:7" ht="15" customHeight="1" x14ac:dyDescent="0.2">
      <c r="A982" s="22"/>
      <c r="B982" s="12"/>
      <c r="C982" s="9"/>
      <c r="D982" s="9"/>
      <c r="E982" s="13"/>
      <c r="F982" s="14"/>
      <c r="G982" s="12"/>
    </row>
    <row r="983" spans="1:7" ht="15" customHeight="1" x14ac:dyDescent="0.2">
      <c r="A983" s="22"/>
      <c r="B983" s="12"/>
      <c r="C983" s="9"/>
      <c r="D983" s="9"/>
      <c r="E983" s="13"/>
      <c r="F983" s="14"/>
      <c r="G983" s="12"/>
    </row>
    <row r="984" spans="1:7" ht="15" customHeight="1" x14ac:dyDescent="0.2">
      <c r="A984" s="22"/>
      <c r="B984" s="12"/>
      <c r="C984" s="9"/>
      <c r="D984" s="9"/>
      <c r="E984" s="13"/>
      <c r="F984" s="14"/>
      <c r="G984" s="12"/>
    </row>
    <row r="985" spans="1:7" ht="15" customHeight="1" x14ac:dyDescent="0.2">
      <c r="A985" s="22"/>
      <c r="B985" s="12"/>
      <c r="C985" s="9"/>
      <c r="D985" s="9"/>
      <c r="E985" s="13"/>
      <c r="F985" s="14"/>
      <c r="G985" s="12"/>
    </row>
    <row r="986" spans="1:7" ht="15" customHeight="1" x14ac:dyDescent="0.2">
      <c r="A986" s="22"/>
      <c r="B986" s="12"/>
      <c r="C986" s="9"/>
      <c r="D986" s="9"/>
      <c r="E986" s="13"/>
      <c r="F986" s="14"/>
      <c r="G986" s="12"/>
    </row>
    <row r="987" spans="1:7" ht="15" customHeight="1" x14ac:dyDescent="0.2">
      <c r="A987" s="22"/>
      <c r="B987" s="12"/>
      <c r="C987" s="9"/>
      <c r="D987" s="9"/>
      <c r="E987" s="13"/>
      <c r="F987" s="14"/>
      <c r="G987" s="12"/>
    </row>
    <row r="988" spans="1:7" ht="15" customHeight="1" x14ac:dyDescent="0.2">
      <c r="A988" s="22"/>
      <c r="B988" s="12"/>
      <c r="C988" s="9"/>
      <c r="D988" s="9"/>
      <c r="E988" s="13"/>
      <c r="F988" s="14"/>
      <c r="G988" s="12"/>
    </row>
    <row r="989" spans="1:7" ht="15" customHeight="1" x14ac:dyDescent="0.2">
      <c r="A989" s="22"/>
      <c r="B989" s="12"/>
      <c r="C989" s="9"/>
      <c r="D989" s="9"/>
      <c r="E989" s="13"/>
      <c r="F989" s="14"/>
      <c r="G989" s="12"/>
    </row>
    <row r="990" spans="1:7" ht="15" customHeight="1" x14ac:dyDescent="0.2">
      <c r="A990" s="22"/>
      <c r="B990" s="12"/>
      <c r="C990" s="9"/>
      <c r="D990" s="9"/>
      <c r="E990" s="13"/>
      <c r="F990" s="14"/>
      <c r="G990" s="12"/>
    </row>
    <row r="991" spans="1:7" ht="15" customHeight="1" x14ac:dyDescent="0.2">
      <c r="A991" s="22"/>
      <c r="B991" s="12"/>
      <c r="C991" s="9"/>
      <c r="D991" s="9"/>
      <c r="E991" s="13"/>
      <c r="F991" s="14"/>
      <c r="G991" s="12"/>
    </row>
    <row r="992" spans="1:7" ht="15" customHeight="1" x14ac:dyDescent="0.2">
      <c r="A992" s="22"/>
      <c r="B992" s="12"/>
      <c r="C992" s="9"/>
      <c r="D992" s="9"/>
      <c r="E992" s="13"/>
      <c r="F992" s="14"/>
      <c r="G992" s="12"/>
    </row>
    <row r="993" spans="1:7" ht="15" customHeight="1" x14ac:dyDescent="0.2">
      <c r="A993" s="22"/>
      <c r="B993" s="12"/>
      <c r="C993" s="9"/>
      <c r="D993" s="9"/>
      <c r="E993" s="13"/>
      <c r="F993" s="14"/>
      <c r="G993" s="12"/>
    </row>
    <row r="994" spans="1:7" ht="15" customHeight="1" x14ac:dyDescent="0.2">
      <c r="A994" s="22"/>
      <c r="B994" s="12"/>
      <c r="C994" s="9"/>
      <c r="D994" s="9"/>
      <c r="E994" s="13"/>
      <c r="F994" s="14"/>
      <c r="G994" s="12"/>
    </row>
    <row r="995" spans="1:7" ht="15" customHeight="1" x14ac:dyDescent="0.2">
      <c r="A995" s="22"/>
      <c r="B995" s="12"/>
      <c r="C995" s="9"/>
      <c r="D995" s="9"/>
      <c r="E995" s="13"/>
      <c r="F995" s="14"/>
      <c r="G995" s="12"/>
    </row>
    <row r="996" spans="1:7" ht="15" customHeight="1" x14ac:dyDescent="0.2">
      <c r="A996" s="22"/>
      <c r="B996" s="12"/>
      <c r="C996" s="9"/>
      <c r="D996" s="9"/>
      <c r="E996" s="13"/>
      <c r="F996" s="14"/>
      <c r="G996" s="12"/>
    </row>
    <row r="997" spans="1:7" ht="15" customHeight="1" x14ac:dyDescent="0.2">
      <c r="A997" s="22"/>
      <c r="B997" s="12"/>
      <c r="C997" s="9"/>
      <c r="D997" s="9"/>
      <c r="E997" s="13"/>
      <c r="F997" s="14"/>
      <c r="G997" s="12"/>
    </row>
    <row r="998" spans="1:7" ht="15" customHeight="1" x14ac:dyDescent="0.2">
      <c r="A998" s="22"/>
      <c r="B998" s="12"/>
      <c r="C998" s="9"/>
      <c r="D998" s="9"/>
      <c r="E998" s="13"/>
      <c r="F998" s="14"/>
      <c r="G998" s="12"/>
    </row>
    <row r="999" spans="1:7" ht="15" customHeight="1" x14ac:dyDescent="0.2">
      <c r="A999" s="22"/>
      <c r="B999" s="12"/>
      <c r="C999" s="9"/>
      <c r="D999" s="9"/>
      <c r="E999" s="13"/>
      <c r="F999" s="14"/>
      <c r="G999" s="12"/>
    </row>
    <row r="1000" spans="1:7" ht="15" customHeight="1" x14ac:dyDescent="0.2">
      <c r="A1000" s="22"/>
      <c r="B1000" s="12"/>
      <c r="C1000" s="9"/>
      <c r="D1000" s="9"/>
      <c r="E1000" s="13"/>
      <c r="F1000" s="14"/>
      <c r="G1000" s="12"/>
    </row>
    <row r="1001" spans="1:7" ht="15" customHeight="1" x14ac:dyDescent="0.2">
      <c r="A1001" s="22"/>
      <c r="B1001" s="12"/>
      <c r="C1001" s="9"/>
      <c r="D1001" s="9"/>
      <c r="E1001" s="13"/>
      <c r="F1001" s="14"/>
      <c r="G1001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MGS5</vt:lpstr>
      <vt:lpstr>Formule v1.1</vt:lpstr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TESONE</dc:creator>
  <dcterms:created xsi:type="dcterms:W3CDTF">2026-05-22T19:44:47Z</dcterms:created>
  <dcterms:modified xsi:type="dcterms:W3CDTF">2026-05-23T21:39:43Z</dcterms:modified>
</cp:coreProperties>
</file>